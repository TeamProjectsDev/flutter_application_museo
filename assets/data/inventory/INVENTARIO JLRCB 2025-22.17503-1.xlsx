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os\Instituto\Museo Ciencias\INVENTARIOS\"/>
    </mc:Choice>
  </mc:AlternateContent>
  <bookViews>
    <workbookView xWindow="-28920" yWindow="-120" windowWidth="29040" windowHeight="16440"/>
  </bookViews>
  <sheets>
    <sheet name="INVENTARIO" sheetId="1" r:id="rId1"/>
    <sheet name="TABLAS ACCESORIAS" sheetId="2" r:id="rId2"/>
    <sheet name="Hoja3" sheetId="3" r:id="rId3"/>
  </sheets>
  <definedNames>
    <definedName name="_xlnm._FilterDatabase" localSheetId="0" hidden="1">INVENTARIO!$Z$1:$Z$4589</definedName>
    <definedName name="TIPOLOGÍA" comment="Pecisar el nombre o grupo: Clasificación científica, subcategoría funcional, denominación comercial, ">INVENTARIO!$D$1</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X2639" i="1" l="1"/>
  <c r="X2640" i="1"/>
  <c r="W2639" i="1"/>
  <c r="W2640" i="1" s="1"/>
  <c r="W1685" i="1" l="1"/>
  <c r="W1684" i="1"/>
  <c r="W1683" i="1"/>
  <c r="W2599" i="1" l="1"/>
  <c r="W2600" i="1" s="1"/>
  <c r="W2601" i="1" s="1"/>
  <c r="W2602" i="1" s="1"/>
  <c r="W2603" i="1" s="1"/>
  <c r="W2604" i="1" s="1"/>
  <c r="W2605" i="1" s="1"/>
  <c r="W2606" i="1" s="1"/>
  <c r="W2607" i="1" s="1"/>
  <c r="W2608" i="1" s="1"/>
  <c r="W2609" i="1" s="1"/>
  <c r="W2610" i="1" s="1"/>
  <c r="W2611" i="1" s="1"/>
  <c r="W2612" i="1" s="1"/>
  <c r="W2613" i="1" s="1"/>
  <c r="W2614" i="1" s="1"/>
  <c r="W2615" i="1" s="1"/>
  <c r="W2616" i="1" s="1"/>
  <c r="W2617" i="1" s="1"/>
  <c r="W2618" i="1" s="1"/>
  <c r="W2619" i="1" s="1"/>
  <c r="W2620" i="1" s="1"/>
  <c r="W2621" i="1" s="1"/>
  <c r="W2622" i="1" s="1"/>
  <c r="W2623" i="1" s="1"/>
  <c r="W2624" i="1" s="1"/>
  <c r="W2625" i="1" s="1"/>
  <c r="W3098" i="1"/>
  <c r="W3099" i="1" s="1"/>
  <c r="W3242" i="1" l="1"/>
  <c r="W3243" i="1" s="1"/>
  <c r="W3244" i="1" s="1"/>
  <c r="W3245" i="1" s="1"/>
  <c r="W3246" i="1" s="1"/>
  <c r="W3247" i="1" s="1"/>
  <c r="W3248" i="1" s="1"/>
  <c r="W3249" i="1" s="1"/>
  <c r="W3250" i="1" s="1"/>
  <c r="W3251" i="1" s="1"/>
  <c r="W3252" i="1" s="1"/>
  <c r="W3253" i="1" s="1"/>
  <c r="W3254" i="1" s="1"/>
  <c r="W3255" i="1" s="1"/>
  <c r="W3256" i="1" s="1"/>
  <c r="W3259" i="1" s="1"/>
  <c r="W3260" i="1" s="1"/>
  <c r="W3261" i="1" s="1"/>
  <c r="W3262" i="1" s="1"/>
  <c r="W3263" i="1" s="1"/>
  <c r="W3264" i="1" s="1"/>
  <c r="W3265" i="1" s="1"/>
  <c r="W3266" i="1" s="1"/>
  <c r="W3267" i="1" s="1"/>
  <c r="W3268" i="1" s="1"/>
  <c r="W3269" i="1" s="1"/>
  <c r="W3270" i="1" s="1"/>
  <c r="W3271" i="1" s="1"/>
  <c r="W2236" i="1"/>
  <c r="W2237" i="1" s="1"/>
  <c r="W2238" i="1" s="1"/>
  <c r="W2239" i="1" s="1"/>
  <c r="W2240" i="1" s="1"/>
  <c r="W2241" i="1" s="1"/>
  <c r="W2242" i="1" s="1"/>
  <c r="W2243" i="1" s="1"/>
  <c r="W2244" i="1" s="1"/>
  <c r="W2245" i="1" s="1"/>
  <c r="W2246" i="1" s="1"/>
  <c r="W2247" i="1" s="1"/>
  <c r="W2248" i="1" s="1"/>
  <c r="W2249" i="1" s="1"/>
  <c r="W2250" i="1" s="1"/>
  <c r="W2251" i="1" s="1"/>
  <c r="W1721" i="1"/>
  <c r="W1722" i="1" s="1"/>
  <c r="W1723" i="1" s="1"/>
  <c r="W87" i="1"/>
  <c r="W88" i="1" s="1"/>
  <c r="W89" i="1" s="1"/>
  <c r="W90" i="1" s="1"/>
  <c r="W91" i="1" s="1"/>
  <c r="W92" i="1" s="1"/>
  <c r="W93" i="1" s="1"/>
  <c r="W94" i="1" s="1"/>
  <c r="W95" i="1" s="1"/>
  <c r="W96" i="1" s="1"/>
  <c r="W97" i="1" s="1"/>
  <c r="W98" i="1" s="1"/>
  <c r="W99" i="1" s="1"/>
  <c r="W100" i="1" s="1"/>
  <c r="W101" i="1" s="1"/>
  <c r="W102" i="1" s="1"/>
  <c r="W103" i="1" s="1"/>
  <c r="W104" i="1" s="1"/>
  <c r="W105" i="1" s="1"/>
  <c r="W106" i="1" s="1"/>
  <c r="W107" i="1" s="1"/>
  <c r="W108" i="1" s="1"/>
  <c r="W109" i="1" s="1"/>
  <c r="W110" i="1" s="1"/>
  <c r="W111" i="1" s="1"/>
  <c r="W112" i="1" s="1"/>
  <c r="W113" i="1" s="1"/>
  <c r="W114" i="1" s="1"/>
  <c r="W115" i="1" s="1"/>
  <c r="W116" i="1" s="1"/>
  <c r="W117" i="1" s="1"/>
  <c r="W118" i="1" s="1"/>
  <c r="W119" i="1" s="1"/>
  <c r="W120" i="1" s="1"/>
  <c r="W121" i="1" s="1"/>
  <c r="W122" i="1" s="1"/>
  <c r="W123" i="1" s="1"/>
  <c r="W124" i="1" s="1"/>
  <c r="W125" i="1" s="1"/>
  <c r="W126" i="1" s="1"/>
  <c r="W127" i="1" s="1"/>
  <c r="W128" i="1" s="1"/>
  <c r="W129" i="1" s="1"/>
  <c r="W130" i="1" s="1"/>
  <c r="W131" i="1" s="1"/>
  <c r="W132" i="1" s="1"/>
  <c r="W133" i="1" s="1"/>
  <c r="W134" i="1" s="1"/>
  <c r="W135" i="1" s="1"/>
  <c r="W136" i="1" s="1"/>
  <c r="W137" i="1" s="1"/>
  <c r="W138" i="1" s="1"/>
  <c r="W139" i="1" s="1"/>
  <c r="W140" i="1" s="1"/>
  <c r="W141" i="1" s="1"/>
  <c r="W142" i="1" s="1"/>
  <c r="W143" i="1" s="1"/>
  <c r="W144" i="1" s="1"/>
  <c r="W145" i="1" s="1"/>
  <c r="W146" i="1" s="1"/>
  <c r="W147" i="1" s="1"/>
  <c r="W148" i="1" s="1"/>
  <c r="W149" i="1" s="1"/>
  <c r="W150" i="1" s="1"/>
  <c r="W151" i="1" s="1"/>
  <c r="W152" i="1" s="1"/>
  <c r="W153" i="1" s="1"/>
  <c r="W154" i="1" s="1"/>
  <c r="W155" i="1" s="1"/>
  <c r="W156" i="1" s="1"/>
  <c r="W157" i="1" s="1"/>
  <c r="W158" i="1" s="1"/>
  <c r="W159" i="1" s="1"/>
  <c r="W160" i="1" s="1"/>
  <c r="W161" i="1" s="1"/>
  <c r="W162" i="1" s="1"/>
  <c r="W163" i="1" s="1"/>
  <c r="W164" i="1" s="1"/>
  <c r="W165" i="1" s="1"/>
  <c r="W166" i="1" s="1"/>
  <c r="W167" i="1" s="1"/>
  <c r="W168" i="1" s="1"/>
  <c r="W169" i="1" s="1"/>
  <c r="W170" i="1" s="1"/>
  <c r="W171" i="1" s="1"/>
  <c r="W172" i="1" s="1"/>
  <c r="W173" i="1" s="1"/>
  <c r="W174" i="1" s="1"/>
  <c r="W175" i="1" s="1"/>
  <c r="W176" i="1" s="1"/>
  <c r="W177" i="1" s="1"/>
  <c r="W178" i="1" s="1"/>
  <c r="W179" i="1" s="1"/>
  <c r="W180" i="1" s="1"/>
  <c r="W181" i="1" s="1"/>
  <c r="W182" i="1" s="1"/>
  <c r="W183" i="1" s="1"/>
  <c r="W184" i="1" s="1"/>
  <c r="W185" i="1" s="1"/>
  <c r="W186" i="1" s="1"/>
  <c r="W187" i="1" s="1"/>
  <c r="W188" i="1" s="1"/>
  <c r="W189" i="1" s="1"/>
  <c r="W190" i="1" s="1"/>
  <c r="W191" i="1" s="1"/>
  <c r="W192" i="1" s="1"/>
  <c r="W193" i="1" s="1"/>
  <c r="W194" i="1" s="1"/>
  <c r="W195" i="1" s="1"/>
  <c r="W196" i="1" s="1"/>
  <c r="W197" i="1" s="1"/>
  <c r="W198" i="1" s="1"/>
  <c r="W199" i="1" s="1"/>
  <c r="W200" i="1" s="1"/>
  <c r="W201" i="1" s="1"/>
  <c r="W202" i="1" s="1"/>
  <c r="W203" i="1" s="1"/>
  <c r="W204" i="1" s="1"/>
  <c r="W205" i="1" s="1"/>
  <c r="W206" i="1" s="1"/>
  <c r="W207" i="1" s="1"/>
  <c r="W208" i="1" s="1"/>
  <c r="W209" i="1" s="1"/>
  <c r="W210" i="1" s="1"/>
  <c r="W211" i="1" s="1"/>
  <c r="W212" i="1" s="1"/>
  <c r="W213" i="1" s="1"/>
  <c r="W214" i="1" s="1"/>
  <c r="W215" i="1" s="1"/>
  <c r="W216" i="1" s="1"/>
  <c r="W217" i="1" s="1"/>
  <c r="W218" i="1" s="1"/>
  <c r="W219" i="1" s="1"/>
  <c r="W220" i="1" s="1"/>
  <c r="W1213" i="1"/>
  <c r="W1214" i="1" s="1"/>
  <c r="W1215" i="1" s="1"/>
  <c r="W1216" i="1" s="1"/>
  <c r="W1217" i="1" s="1"/>
  <c r="W1218" i="1" s="1"/>
  <c r="W1219" i="1" s="1"/>
  <c r="W1220" i="1" s="1"/>
  <c r="W1221" i="1" s="1"/>
  <c r="W1222" i="1" s="1"/>
  <c r="W1223" i="1" s="1"/>
  <c r="W221" i="1" l="1"/>
  <c r="W222" i="1" s="1"/>
  <c r="W223" i="1" s="1"/>
  <c r="W224" i="1" s="1"/>
  <c r="W225" i="1" s="1"/>
  <c r="W226" i="1" s="1"/>
  <c r="W227" i="1" s="1"/>
  <c r="W228" i="1" s="1"/>
  <c r="W229" i="1" s="1"/>
  <c r="W230" i="1" s="1"/>
  <c r="W231" i="1" s="1"/>
  <c r="W232" i="1" s="1"/>
  <c r="W233" i="1" s="1"/>
  <c r="W234" i="1" s="1"/>
  <c r="W235" i="1" s="1"/>
  <c r="W236" i="1" s="1"/>
  <c r="W237" i="1" s="1"/>
  <c r="W238" i="1" s="1"/>
  <c r="W239" i="1" s="1"/>
  <c r="W240" i="1" s="1"/>
  <c r="W241" i="1" s="1"/>
  <c r="W242" i="1" s="1"/>
  <c r="W243" i="1" s="1"/>
  <c r="W244" i="1" s="1"/>
  <c r="W245" i="1" s="1"/>
  <c r="W246" i="1" s="1"/>
  <c r="W247" i="1" s="1"/>
  <c r="W248" i="1" s="1"/>
  <c r="W249" i="1" s="1"/>
  <c r="W250" i="1" s="1"/>
  <c r="W251" i="1" s="1"/>
  <c r="W252" i="1" s="1"/>
  <c r="W253" i="1" s="1"/>
  <c r="W254" i="1" s="1"/>
  <c r="W255" i="1" s="1"/>
  <c r="W256" i="1" s="1"/>
  <c r="W257" i="1" s="1"/>
  <c r="W258" i="1" s="1"/>
  <c r="W259" i="1" s="1"/>
  <c r="W260" i="1" s="1"/>
  <c r="W261" i="1" s="1"/>
  <c r="W262" i="1" s="1"/>
  <c r="W263" i="1" s="1"/>
  <c r="W264" i="1" s="1"/>
  <c r="W265" i="1" s="1"/>
  <c r="W266" i="1" s="1"/>
  <c r="W267" i="1" s="1"/>
  <c r="W268" i="1" s="1"/>
  <c r="W269" i="1" s="1"/>
  <c r="W270" i="1" s="1"/>
  <c r="W271" i="1" s="1"/>
  <c r="W272" i="1" s="1"/>
  <c r="W273" i="1" s="1"/>
  <c r="W274" i="1" s="1"/>
  <c r="W275" i="1" s="1"/>
  <c r="W276" i="1" s="1"/>
  <c r="W277" i="1" s="1"/>
  <c r="W278" i="1" s="1"/>
  <c r="W279" i="1" s="1"/>
  <c r="W280" i="1" s="1"/>
  <c r="W281" i="1" s="1"/>
  <c r="W282" i="1" s="1"/>
  <c r="W283" i="1" s="1"/>
  <c r="W284" i="1" s="1"/>
  <c r="W285" i="1" s="1"/>
  <c r="W286" i="1" s="1"/>
  <c r="W287" i="1" s="1"/>
  <c r="W288" i="1" s="1"/>
  <c r="W289" i="1" s="1"/>
  <c r="W290" i="1" s="1"/>
  <c r="W291" i="1" s="1"/>
  <c r="W292" i="1" s="1"/>
  <c r="W293" i="1" s="1"/>
  <c r="W294" i="1" s="1"/>
  <c r="W295" i="1" s="1"/>
  <c r="W296" i="1" s="1"/>
  <c r="W297" i="1" s="1"/>
  <c r="W298" i="1" s="1"/>
  <c r="W299" i="1" s="1"/>
  <c r="W300" i="1" s="1"/>
  <c r="W301" i="1" s="1"/>
  <c r="W302" i="1" s="1"/>
  <c r="W303" i="1" s="1"/>
  <c r="W304" i="1" s="1"/>
  <c r="W305" i="1" s="1"/>
  <c r="W306" i="1" s="1"/>
  <c r="W307" i="1" s="1"/>
  <c r="W308" i="1" s="1"/>
  <c r="W309" i="1" s="1"/>
  <c r="W310" i="1" s="1"/>
  <c r="W311" i="1" s="1"/>
  <c r="W312" i="1" s="1"/>
  <c r="W313" i="1" s="1"/>
  <c r="W314" i="1" s="1"/>
  <c r="W315" i="1" s="1"/>
  <c r="W316" i="1" s="1"/>
  <c r="W317" i="1" s="1"/>
  <c r="W318" i="1" s="1"/>
  <c r="W319" i="1" s="1"/>
  <c r="W320" i="1" s="1"/>
  <c r="W321" i="1" s="1"/>
  <c r="W322" i="1" s="1"/>
  <c r="W323" i="1" s="1"/>
  <c r="W324" i="1" s="1"/>
  <c r="W325" i="1" s="1"/>
  <c r="W326" i="1" s="1"/>
  <c r="W327" i="1" s="1"/>
  <c r="W328" i="1" s="1"/>
  <c r="W329" i="1" s="1"/>
  <c r="W330" i="1" s="1"/>
  <c r="W331" i="1" s="1"/>
  <c r="W332" i="1" s="1"/>
  <c r="W333" i="1" s="1"/>
  <c r="W334" i="1" s="1"/>
  <c r="W335" i="1" s="1"/>
  <c r="W336" i="1" s="1"/>
  <c r="W337" i="1" s="1"/>
  <c r="W338" i="1" s="1"/>
  <c r="W339" i="1" s="1"/>
  <c r="W340" i="1" s="1"/>
  <c r="W341" i="1" s="1"/>
  <c r="W342" i="1" s="1"/>
  <c r="W343" i="1" s="1"/>
  <c r="W344" i="1" s="1"/>
  <c r="W345" i="1" s="1"/>
  <c r="W346" i="1" s="1"/>
  <c r="W347" i="1" s="1"/>
  <c r="W348" i="1" s="1"/>
  <c r="W349" i="1" s="1"/>
  <c r="W350" i="1" s="1"/>
  <c r="W351" i="1" s="1"/>
  <c r="W352" i="1" s="1"/>
  <c r="W353" i="1" s="1"/>
  <c r="W354" i="1" s="1"/>
  <c r="W355" i="1" s="1"/>
  <c r="W356" i="1" s="1"/>
  <c r="W357" i="1" s="1"/>
  <c r="W358" i="1" s="1"/>
  <c r="W359" i="1" s="1"/>
  <c r="W360" i="1" s="1"/>
  <c r="W361" i="1" s="1"/>
  <c r="W362" i="1" s="1"/>
  <c r="W363" i="1" s="1"/>
  <c r="W364" i="1" s="1"/>
  <c r="W365" i="1" s="1"/>
  <c r="W366" i="1" s="1"/>
  <c r="W367" i="1" s="1"/>
  <c r="W368" i="1" s="1"/>
  <c r="W369" i="1" s="1"/>
  <c r="W370" i="1" s="1"/>
  <c r="W371" i="1" s="1"/>
  <c r="W372" i="1" s="1"/>
  <c r="W373" i="1" s="1"/>
  <c r="W374" i="1" s="1"/>
  <c r="W375" i="1" s="1"/>
  <c r="W376" i="1" s="1"/>
  <c r="W377" i="1" s="1"/>
  <c r="W378" i="1" s="1"/>
  <c r="W379" i="1" s="1"/>
  <c r="W380" i="1" s="1"/>
  <c r="W381" i="1" s="1"/>
  <c r="W382" i="1" s="1"/>
  <c r="W383" i="1" s="1"/>
  <c r="W384" i="1" s="1"/>
  <c r="W385" i="1" s="1"/>
  <c r="W386" i="1" s="1"/>
  <c r="W387" i="1" s="1"/>
  <c r="W388" i="1" s="1"/>
  <c r="W389" i="1" s="1"/>
  <c r="W390" i="1" s="1"/>
  <c r="W391" i="1" s="1"/>
  <c r="W392" i="1" s="1"/>
  <c r="W393" i="1" s="1"/>
  <c r="W394" i="1" s="1"/>
  <c r="W395" i="1" s="1"/>
  <c r="W396" i="1" s="1"/>
  <c r="W397" i="1" s="1"/>
  <c r="W398" i="1" s="1"/>
  <c r="W399" i="1" s="1"/>
  <c r="W400" i="1" s="1"/>
  <c r="W401" i="1" s="1"/>
  <c r="W402" i="1" s="1"/>
  <c r="W403" i="1" s="1"/>
  <c r="W404" i="1" s="1"/>
  <c r="W1224" i="1"/>
  <c r="W1225" i="1" s="1"/>
  <c r="W71" i="1"/>
  <c r="W72" i="1" s="1"/>
  <c r="W73" i="1" s="1"/>
  <c r="U3273" i="1"/>
  <c r="V3273" i="1"/>
  <c r="W3194" i="1"/>
  <c r="W3199" i="1" s="1"/>
  <c r="U3238" i="1"/>
  <c r="X5" i="1"/>
  <c r="X6" i="1" s="1"/>
  <c r="X7" i="1" s="1"/>
  <c r="X8" i="1" s="1"/>
  <c r="X9" i="1" s="1"/>
  <c r="X10" i="1" s="1"/>
  <c r="X11" i="1" s="1"/>
  <c r="X12" i="1" s="1"/>
  <c r="X13" i="1" s="1"/>
  <c r="X14" i="1" s="1"/>
  <c r="X15" i="1" s="1"/>
  <c r="X16" i="1" s="1"/>
  <c r="X17" i="1" s="1"/>
  <c r="X18" i="1" s="1"/>
  <c r="X19" i="1" s="1"/>
  <c r="X20" i="1" s="1"/>
  <c r="X21" i="1" s="1"/>
  <c r="X22" i="1" s="1"/>
  <c r="X23" i="1" s="1"/>
  <c r="X25" i="1" s="1"/>
  <c r="X26" i="1" s="1"/>
  <c r="X27" i="1" s="1"/>
  <c r="X28" i="1" s="1"/>
  <c r="X29" i="1" s="1"/>
  <c r="X30" i="1" s="1"/>
  <c r="X31" i="1" s="1"/>
  <c r="X32" i="1" s="1"/>
  <c r="X33" i="1" s="1"/>
  <c r="X34" i="1" s="1"/>
  <c r="X35" i="1" s="1"/>
  <c r="X36" i="1" s="1"/>
  <c r="X37" i="1" s="1"/>
  <c r="X38" i="1" s="1"/>
  <c r="X39" i="1" s="1"/>
  <c r="X40" i="1" s="1"/>
  <c r="X41" i="1" s="1"/>
  <c r="X42" i="1" s="1"/>
  <c r="X43" i="1" s="1"/>
  <c r="X45" i="1" s="1"/>
  <c r="X3241" i="1"/>
  <c r="X3242" i="1" s="1"/>
  <c r="X3243" i="1" s="1"/>
  <c r="X3244" i="1" s="1"/>
  <c r="X3245" i="1" s="1"/>
  <c r="X3246" i="1" s="1"/>
  <c r="X3247" i="1" s="1"/>
  <c r="X3248" i="1" s="1"/>
  <c r="X3249" i="1" s="1"/>
  <c r="X3250" i="1" s="1"/>
  <c r="X3251" i="1" s="1"/>
  <c r="X3252" i="1" s="1"/>
  <c r="X3253" i="1" s="1"/>
  <c r="X3254" i="1" s="1"/>
  <c r="X3255" i="1" s="1"/>
  <c r="X3256" i="1" s="1"/>
  <c r="X3259" i="1" s="1"/>
  <c r="X3260" i="1" s="1"/>
  <c r="X3261" i="1" s="1"/>
  <c r="X3262" i="1" s="1"/>
  <c r="X3263" i="1" s="1"/>
  <c r="X3264" i="1" s="1"/>
  <c r="X3265" i="1" s="1"/>
  <c r="X3266" i="1" s="1"/>
  <c r="X3267" i="1" s="1"/>
  <c r="X3268" i="1" s="1"/>
  <c r="X3269" i="1" s="1"/>
  <c r="X3270" i="1" s="1"/>
  <c r="X3271" i="1" s="1"/>
  <c r="V3238" i="1"/>
  <c r="W3202" i="1"/>
  <c r="W3203" i="1" s="1"/>
  <c r="W3204" i="1" s="1"/>
  <c r="W2594" i="1"/>
  <c r="W2595" i="1" s="1"/>
  <c r="W2596" i="1" s="1"/>
  <c r="W2578" i="1"/>
  <c r="W2579" i="1" s="1"/>
  <c r="W2580" i="1" s="1"/>
  <c r="W2581" i="1" s="1"/>
  <c r="W2582" i="1" s="1"/>
  <c r="W1616" i="1"/>
  <c r="W1617" i="1" s="1"/>
  <c r="W1618" i="1" s="1"/>
  <c r="W1619" i="1" s="1"/>
  <c r="W1620" i="1" s="1"/>
  <c r="W1621" i="1" s="1"/>
  <c r="W1622" i="1" s="1"/>
  <c r="W1623" i="1" s="1"/>
  <c r="W1624" i="1" s="1"/>
  <c r="W1625" i="1" s="1"/>
  <c r="W1626" i="1" s="1"/>
  <c r="W1627" i="1" s="1"/>
  <c r="W1628" i="1" s="1"/>
  <c r="W1629" i="1" s="1"/>
  <c r="W1630" i="1" s="1"/>
  <c r="W1631" i="1" s="1"/>
  <c r="W1632" i="1" s="1"/>
  <c r="W1633" i="1" s="1"/>
  <c r="W1634" i="1" s="1"/>
  <c r="W1635" i="1" s="1"/>
  <c r="W1636" i="1" s="1"/>
  <c r="W1637" i="1" s="1"/>
  <c r="W1638" i="1" s="1"/>
  <c r="W1639" i="1" s="1"/>
  <c r="W1640" i="1" s="1"/>
  <c r="W1641" i="1" s="1"/>
  <c r="W1642" i="1" s="1"/>
  <c r="W1643" i="1" s="1"/>
  <c r="W1644" i="1" s="1"/>
  <c r="W1645" i="1" s="1"/>
  <c r="W1646" i="1" s="1"/>
  <c r="W1647" i="1" s="1"/>
  <c r="W1648" i="1" s="1"/>
  <c r="W1649" i="1" s="1"/>
  <c r="W1650" i="1" s="1"/>
  <c r="W1651" i="1" s="1"/>
  <c r="W1652" i="1" s="1"/>
  <c r="W3070" i="1"/>
  <c r="W3071" i="1" s="1"/>
  <c r="W3072" i="1" s="1"/>
  <c r="W2629" i="1"/>
  <c r="W2630" i="1" s="1"/>
  <c r="W2631" i="1" s="1"/>
  <c r="W2632" i="1" s="1"/>
  <c r="W2633" i="1" s="1"/>
  <c r="W2634" i="1" s="1"/>
  <c r="W2635" i="1" s="1"/>
  <c r="W2636" i="1" s="1"/>
  <c r="W2637" i="1" s="1"/>
  <c r="W2638" i="1" s="1"/>
  <c r="W2641" i="1" s="1"/>
  <c r="W2642" i="1" s="1"/>
  <c r="W2643" i="1" s="1"/>
  <c r="W2644" i="1" s="1"/>
  <c r="W2645" i="1" s="1"/>
  <c r="W2646" i="1" s="1"/>
  <c r="W2647" i="1" s="1"/>
  <c r="W2648" i="1" s="1"/>
  <c r="W2649" i="1" s="1"/>
  <c r="W2650" i="1" s="1"/>
  <c r="W2651" i="1" s="1"/>
  <c r="W2652" i="1" s="1"/>
  <c r="W2653" i="1" s="1"/>
  <c r="W2654" i="1" s="1"/>
  <c r="W2655" i="1" s="1"/>
  <c r="W2656" i="1" s="1"/>
  <c r="W2657" i="1" s="1"/>
  <c r="W2658" i="1" s="1"/>
  <c r="W2659" i="1" s="1"/>
  <c r="W2660" i="1" s="1"/>
  <c r="W2661" i="1" s="1"/>
  <c r="W2662" i="1" s="1"/>
  <c r="W2663" i="1" s="1"/>
  <c r="W2664" i="1" s="1"/>
  <c r="W2665" i="1" s="1"/>
  <c r="W2666" i="1" s="1"/>
  <c r="W2667" i="1" s="1"/>
  <c r="W2668" i="1" s="1"/>
  <c r="W2669" i="1" s="1"/>
  <c r="W3108" i="1"/>
  <c r="W3109" i="1" s="1"/>
  <c r="W3110" i="1" s="1"/>
  <c r="W3111" i="1" s="1"/>
  <c r="W3112" i="1" s="1"/>
  <c r="W3113" i="1" s="1"/>
  <c r="W3114" i="1" s="1"/>
  <c r="W3115" i="1" s="1"/>
  <c r="W3116" i="1" s="1"/>
  <c r="W3117" i="1" s="1"/>
  <c r="W3118" i="1" s="1"/>
  <c r="W3119" i="1" s="1"/>
  <c r="W3120" i="1" s="1"/>
  <c r="W3121" i="1" s="1"/>
  <c r="W3122" i="1" s="1"/>
  <c r="W3123" i="1" s="1"/>
  <c r="W3124" i="1" s="1"/>
  <c r="W3125" i="1" s="1"/>
  <c r="W3126" i="1" s="1"/>
  <c r="W3127" i="1" s="1"/>
  <c r="W3128" i="1" s="1"/>
  <c r="W3129" i="1" s="1"/>
  <c r="W3130" i="1" s="1"/>
  <c r="W3131" i="1" s="1"/>
  <c r="W3132" i="1" s="1"/>
  <c r="W3133" i="1" s="1"/>
  <c r="W3134" i="1" s="1"/>
  <c r="W3135" i="1" s="1"/>
  <c r="W3136" i="1" s="1"/>
  <c r="W3137" i="1" s="1"/>
  <c r="W3138" i="1" s="1"/>
  <c r="W3139" i="1" s="1"/>
  <c r="W3140" i="1" s="1"/>
  <c r="W3141" i="1" s="1"/>
  <c r="W3142" i="1" s="1"/>
  <c r="W3143" i="1" s="1"/>
  <c r="W3144" i="1" s="1"/>
  <c r="W3145" i="1" s="1"/>
  <c r="W3146" i="1" s="1"/>
  <c r="W3147" i="1" s="1"/>
  <c r="W3148" i="1" s="1"/>
  <c r="W3149" i="1" s="1"/>
  <c r="W3150" i="1" s="1"/>
  <c r="W3151" i="1" s="1"/>
  <c r="W3152" i="1" s="1"/>
  <c r="W3153" i="1" s="1"/>
  <c r="W3154" i="1" s="1"/>
  <c r="W3155" i="1" s="1"/>
  <c r="W3156" i="1" s="1"/>
  <c r="W3157" i="1" s="1"/>
  <c r="W3158" i="1" s="1"/>
  <c r="W3159" i="1" s="1"/>
  <c r="W3160" i="1" s="1"/>
  <c r="W3161" i="1" s="1"/>
  <c r="W3162" i="1" s="1"/>
  <c r="W3163" i="1" s="1"/>
  <c r="W3164" i="1" s="1"/>
  <c r="W3165" i="1" s="1"/>
  <c r="W3166" i="1" s="1"/>
  <c r="W3167" i="1" s="1"/>
  <c r="W3168" i="1" s="1"/>
  <c r="W3169" i="1" s="1"/>
  <c r="W3170" i="1" s="1"/>
  <c r="W3171" i="1" s="1"/>
  <c r="W3172" i="1" s="1"/>
  <c r="W3173" i="1" s="1"/>
  <c r="W3174" i="1" s="1"/>
  <c r="W3175" i="1" s="1"/>
  <c r="W3176" i="1" s="1"/>
  <c r="W3177" i="1" s="1"/>
  <c r="W3178" i="1" s="1"/>
  <c r="W2426" i="1"/>
  <c r="W2427" i="1" s="1"/>
  <c r="W2428" i="1" s="1"/>
  <c r="W2429" i="1" s="1"/>
  <c r="W2430" i="1" s="1"/>
  <c r="W2431" i="1" s="1"/>
  <c r="W2432" i="1" s="1"/>
  <c r="W2433" i="1" s="1"/>
  <c r="W2434" i="1" s="1"/>
  <c r="W2435" i="1" s="1"/>
  <c r="W2436" i="1" s="1"/>
  <c r="W2437" i="1" s="1"/>
  <c r="W2438" i="1" s="1"/>
  <c r="W2439" i="1" s="1"/>
  <c r="W2440" i="1" s="1"/>
  <c r="W2441" i="1" s="1"/>
  <c r="W2673" i="1"/>
  <c r="W2674" i="1" s="1"/>
  <c r="W2675" i="1" s="1"/>
  <c r="W2676" i="1" s="1"/>
  <c r="W2677" i="1" s="1"/>
  <c r="W2678" i="1" s="1"/>
  <c r="W2679" i="1" s="1"/>
  <c r="W2680" i="1" s="1"/>
  <c r="W2681" i="1" s="1"/>
  <c r="W2495" i="1"/>
  <c r="W2496" i="1" s="1"/>
  <c r="W2497" i="1" s="1"/>
  <c r="W2498" i="1" s="1"/>
  <c r="W2499" i="1" s="1"/>
  <c r="W2500" i="1" s="1"/>
  <c r="W2501" i="1" s="1"/>
  <c r="W2502" i="1" s="1"/>
  <c r="W2503" i="1" s="1"/>
  <c r="W77" i="1"/>
  <c r="W78" i="1" s="1"/>
  <c r="W79" i="1" s="1"/>
  <c r="W2471" i="1"/>
  <c r="W2472" i="1" s="1"/>
  <c r="W2473" i="1" s="1"/>
  <c r="W2474" i="1" s="1"/>
  <c r="W2475" i="1" s="1"/>
  <c r="W2476" i="1" s="1"/>
  <c r="W2477" i="1" s="1"/>
  <c r="W2478" i="1" s="1"/>
  <c r="W2479" i="1" s="1"/>
  <c r="W2352" i="1"/>
  <c r="W2353" i="1" s="1"/>
  <c r="W2556" i="1"/>
  <c r="W2557" i="1" s="1"/>
  <c r="W2558" i="1" s="1"/>
  <c r="W2559" i="1" s="1"/>
  <c r="W2560" i="1" s="1"/>
  <c r="W2561" i="1" s="1"/>
  <c r="W2562" i="1" s="1"/>
  <c r="W3181" i="1"/>
  <c r="W3182" i="1" s="1"/>
  <c r="W3183" i="1" s="1"/>
  <c r="W3184" i="1" s="1"/>
  <c r="W3185" i="1" s="1"/>
  <c r="W3186" i="1" s="1"/>
  <c r="W3187" i="1" s="1"/>
  <c r="W3188" i="1" s="1"/>
  <c r="W3189" i="1" s="1"/>
  <c r="W59" i="1"/>
  <c r="W2505" i="1"/>
  <c r="W2704" i="1"/>
  <c r="W2705" i="1" s="1"/>
  <c r="W2706" i="1" s="1"/>
  <c r="W2707" i="1" s="1"/>
  <c r="W2708" i="1" s="1"/>
  <c r="W2709" i="1" s="1"/>
  <c r="W2710" i="1" s="1"/>
  <c r="W2711" i="1" s="1"/>
  <c r="W2712" i="1" s="1"/>
  <c r="W2713" i="1" s="1"/>
  <c r="W2714" i="1" s="1"/>
  <c r="W2715" i="1" s="1"/>
  <c r="W2716" i="1" s="1"/>
  <c r="W2717" i="1" s="1"/>
  <c r="W2718" i="1" s="1"/>
  <c r="W2719" i="1" s="1"/>
  <c r="W2720" i="1" s="1"/>
  <c r="W2721" i="1" s="1"/>
  <c r="W2961" i="1"/>
  <c r="W2962" i="1" s="1"/>
  <c r="W2963" i="1" s="1"/>
  <c r="W2964" i="1" s="1"/>
  <c r="W2965" i="1" s="1"/>
  <c r="W2966" i="1" s="1"/>
  <c r="W2967" i="1" s="1"/>
  <c r="W2968" i="1" s="1"/>
  <c r="W2969" i="1" s="1"/>
  <c r="W2970" i="1" s="1"/>
  <c r="W2971" i="1" s="1"/>
  <c r="W3017" i="1"/>
  <c r="W3018" i="1" s="1"/>
  <c r="W3019" i="1" s="1"/>
  <c r="W1167" i="1"/>
  <c r="W1168" i="1" s="1"/>
  <c r="W1169" i="1" s="1"/>
  <c r="W1170" i="1" s="1"/>
  <c r="W1171" i="1" s="1"/>
  <c r="W2229" i="1"/>
  <c r="W2230" i="1" s="1"/>
  <c r="W2231" i="1" s="1"/>
  <c r="W2232" i="1" s="1"/>
  <c r="W2254" i="1"/>
  <c r="W2255" i="1" s="1"/>
  <c r="W2256" i="1" s="1"/>
  <c r="W2257" i="1" s="1"/>
  <c r="W2258" i="1" s="1"/>
  <c r="W2259" i="1" s="1"/>
  <c r="W2260" i="1" s="1"/>
  <c r="W2261" i="1" s="1"/>
  <c r="W2262" i="1" s="1"/>
  <c r="W2263" i="1" s="1"/>
  <c r="W2264" i="1" s="1"/>
  <c r="W2265" i="1" s="1"/>
  <c r="W2266" i="1" s="1"/>
  <c r="W2267" i="1" s="1"/>
  <c r="W2268" i="1" s="1"/>
  <c r="W2269" i="1" s="1"/>
  <c r="W2270" i="1" s="1"/>
  <c r="W2271" i="1" s="1"/>
  <c r="W2272" i="1" s="1"/>
  <c r="W2273" i="1" s="1"/>
  <c r="W2274" i="1" s="1"/>
  <c r="W2275" i="1" s="1"/>
  <c r="W2276" i="1" s="1"/>
  <c r="W2277" i="1" s="1"/>
  <c r="W2278" i="1" s="1"/>
  <c r="W1334" i="1"/>
  <c r="W1335" i="1" s="1"/>
  <c r="W647" i="1"/>
  <c r="W648" i="1" s="1"/>
  <c r="W649" i="1" s="1"/>
  <c r="W650" i="1" s="1"/>
  <c r="W651" i="1" s="1"/>
  <c r="W652" i="1" s="1"/>
  <c r="W653" i="1" s="1"/>
  <c r="W654" i="1" s="1"/>
  <c r="W655" i="1" s="1"/>
  <c r="W656" i="1" s="1"/>
  <c r="W657" i="1" s="1"/>
  <c r="W658" i="1" s="1"/>
  <c r="W659" i="1" s="1"/>
  <c r="W660" i="1" s="1"/>
  <c r="W1203" i="1"/>
  <c r="W1204" i="1" s="1"/>
  <c r="W1205" i="1" s="1"/>
  <c r="W1206" i="1" s="1"/>
  <c r="W1207" i="1" s="1"/>
  <c r="W1208" i="1" s="1"/>
  <c r="W1209" i="1" s="1"/>
  <c r="W1210" i="1" s="1"/>
  <c r="W1121" i="1"/>
  <c r="W1318" i="1"/>
  <c r="W1319" i="1" s="1"/>
  <c r="W1320" i="1" s="1"/>
  <c r="W3064" i="1"/>
  <c r="W3065" i="1" s="1"/>
  <c r="W3066" i="1" s="1"/>
  <c r="W3067" i="1" s="1"/>
  <c r="W3068" i="1" s="1"/>
  <c r="W1153" i="1"/>
  <c r="W1200" i="1"/>
  <c r="W1380" i="1"/>
  <c r="W1381" i="1" s="1"/>
  <c r="W1382" i="1" s="1"/>
  <c r="W1383" i="1" s="1"/>
  <c r="W1384" i="1" s="1"/>
  <c r="W1385" i="1" s="1"/>
  <c r="W1386" i="1" s="1"/>
  <c r="W1387" i="1" s="1"/>
  <c r="W1388" i="1" s="1"/>
  <c r="W1389" i="1" s="1"/>
  <c r="W1390" i="1" s="1"/>
  <c r="W1391" i="1" s="1"/>
  <c r="W1392" i="1" s="1"/>
  <c r="W1393" i="1" s="1"/>
  <c r="W1394" i="1" s="1"/>
  <c r="W1395" i="1" s="1"/>
  <c r="W1396" i="1" s="1"/>
  <c r="W1397" i="1" s="1"/>
  <c r="W1398" i="1" s="1"/>
  <c r="W1399" i="1" s="1"/>
  <c r="W1400" i="1" s="1"/>
  <c r="W1401" i="1" s="1"/>
  <c r="W1402" i="1" s="1"/>
  <c r="W1403" i="1" s="1"/>
  <c r="W1404" i="1" s="1"/>
  <c r="W1405" i="1" s="1"/>
  <c r="W1406" i="1" s="1"/>
  <c r="W1407" i="1" s="1"/>
  <c r="W1408" i="1" s="1"/>
  <c r="W1409" i="1" s="1"/>
  <c r="W1410" i="1" s="1"/>
  <c r="W1411" i="1" s="1"/>
  <c r="W1412" i="1" s="1"/>
  <c r="W1413" i="1" s="1"/>
  <c r="W1414" i="1" s="1"/>
  <c r="W1415" i="1" s="1"/>
  <c r="W1416" i="1" s="1"/>
  <c r="W1417" i="1" s="1"/>
  <c r="W1418" i="1" s="1"/>
  <c r="W1419" i="1" s="1"/>
  <c r="W1420" i="1" s="1"/>
  <c r="W1421" i="1" s="1"/>
  <c r="W1422" i="1" s="1"/>
  <c r="W1423" i="1" s="1"/>
  <c r="W1424" i="1" s="1"/>
  <c r="W1425" i="1" s="1"/>
  <c r="W1426" i="1" s="1"/>
  <c r="W1427" i="1" s="1"/>
  <c r="W1428" i="1" s="1"/>
  <c r="W1429" i="1" s="1"/>
  <c r="W1430" i="1" s="1"/>
  <c r="W1431" i="1" s="1"/>
  <c r="W1432" i="1" s="1"/>
  <c r="W1433" i="1" s="1"/>
  <c r="W2312" i="1"/>
  <c r="W2313" i="1" s="1"/>
  <c r="W2314" i="1" s="1"/>
  <c r="W2315" i="1" s="1"/>
  <c r="W2316" i="1" s="1"/>
  <c r="W2317" i="1" s="1"/>
  <c r="W2318" i="1" s="1"/>
  <c r="W2319" i="1" s="1"/>
  <c r="W2320" i="1" s="1"/>
  <c r="W1230" i="1"/>
  <c r="W1231" i="1" s="1"/>
  <c r="W504" i="1"/>
  <c r="W505" i="1" s="1"/>
  <c r="W506" i="1" s="1"/>
  <c r="W507" i="1" s="1"/>
  <c r="W508" i="1" s="1"/>
  <c r="W509" i="1" s="1"/>
  <c r="W510" i="1" s="1"/>
  <c r="W511" i="1" s="1"/>
  <c r="W512" i="1" s="1"/>
  <c r="W513" i="1" s="1"/>
  <c r="W514" i="1" s="1"/>
  <c r="W515" i="1" s="1"/>
  <c r="W516" i="1" s="1"/>
  <c r="W517" i="1" s="1"/>
  <c r="W518" i="1" s="1"/>
  <c r="W519" i="1" s="1"/>
  <c r="W520" i="1" s="1"/>
  <c r="W521" i="1" s="1"/>
  <c r="W522" i="1" s="1"/>
  <c r="W523" i="1" s="1"/>
  <c r="W524" i="1" s="1"/>
  <c r="W525" i="1" s="1"/>
  <c r="W526" i="1" s="1"/>
  <c r="W527" i="1" s="1"/>
  <c r="W528" i="1" s="1"/>
  <c r="W529" i="1" s="1"/>
  <c r="W530" i="1" s="1"/>
  <c r="W531" i="1" s="1"/>
  <c r="W532" i="1" s="1"/>
  <c r="W533" i="1" s="1"/>
  <c r="W534" i="1" s="1"/>
  <c r="W535" i="1" s="1"/>
  <c r="W536" i="1" s="1"/>
  <c r="W537" i="1" s="1"/>
  <c r="W538" i="1" s="1"/>
  <c r="W539" i="1" s="1"/>
  <c r="W540" i="1" s="1"/>
  <c r="W541" i="1" s="1"/>
  <c r="W542" i="1" s="1"/>
  <c r="W543" i="1" s="1"/>
  <c r="W544" i="1" s="1"/>
  <c r="W545" i="1" s="1"/>
  <c r="W546" i="1" s="1"/>
  <c r="W547" i="1" s="1"/>
  <c r="W548" i="1" s="1"/>
  <c r="W549" i="1" s="1"/>
  <c r="W550" i="1" s="1"/>
  <c r="W551" i="1" s="1"/>
  <c r="W552" i="1" s="1"/>
  <c r="W553" i="1" s="1"/>
  <c r="W554" i="1" s="1"/>
  <c r="W555" i="1" s="1"/>
  <c r="W556" i="1" s="1"/>
  <c r="W557" i="1" s="1"/>
  <c r="W558" i="1" s="1"/>
  <c r="W559" i="1" s="1"/>
  <c r="W560" i="1" s="1"/>
  <c r="W561" i="1" s="1"/>
  <c r="W562" i="1" s="1"/>
  <c r="W563" i="1" s="1"/>
  <c r="W564" i="1" s="1"/>
  <c r="W565" i="1" s="1"/>
  <c r="W566" i="1" s="1"/>
  <c r="W567" i="1" s="1"/>
  <c r="W568" i="1" s="1"/>
  <c r="W569" i="1" s="1"/>
  <c r="W570" i="1" s="1"/>
  <c r="W571" i="1" s="1"/>
  <c r="W572" i="1" s="1"/>
  <c r="W573" i="1" s="1"/>
  <c r="W574" i="1" s="1"/>
  <c r="W575" i="1" s="1"/>
  <c r="W576" i="1" s="1"/>
  <c r="W577" i="1" s="1"/>
  <c r="W578" i="1" s="1"/>
  <c r="W579" i="1" s="1"/>
  <c r="W580" i="1" s="1"/>
  <c r="W581" i="1" s="1"/>
  <c r="W582" i="1" s="1"/>
  <c r="W583" i="1" s="1"/>
  <c r="W584" i="1" s="1"/>
  <c r="W585" i="1" s="1"/>
  <c r="W586" i="1" s="1"/>
  <c r="W587" i="1" s="1"/>
  <c r="W588" i="1" s="1"/>
  <c r="W589" i="1" s="1"/>
  <c r="W590" i="1" s="1"/>
  <c r="W591" i="1" s="1"/>
  <c r="W592" i="1" s="1"/>
  <c r="W593" i="1" s="1"/>
  <c r="W1717" i="1"/>
  <c r="W1718" i="1" s="1"/>
  <c r="W1724" i="1"/>
  <c r="W1725" i="1" s="1"/>
  <c r="W1726" i="1" s="1"/>
  <c r="W1727" i="1" s="1"/>
  <c r="W1728" i="1" s="1"/>
  <c r="W1729" i="1" s="1"/>
  <c r="W1730" i="1" s="1"/>
  <c r="W1731" i="1" s="1"/>
  <c r="W1732" i="1" s="1"/>
  <c r="W1733" i="1" s="1"/>
  <c r="W1734" i="1" s="1"/>
  <c r="W61" i="1"/>
  <c r="W62" i="1" s="1"/>
  <c r="W63" i="1" s="1"/>
  <c r="W64" i="1" s="1"/>
  <c r="W75" i="1"/>
  <c r="W596" i="1"/>
  <c r="W597" i="1" s="1"/>
  <c r="W598" i="1" s="1"/>
  <c r="W599" i="1" s="1"/>
  <c r="W600" i="1" s="1"/>
  <c r="W601" i="1" s="1"/>
  <c r="W602" i="1" s="1"/>
  <c r="W603" i="1" s="1"/>
  <c r="W604" i="1" s="1"/>
  <c r="W605" i="1" s="1"/>
  <c r="W606" i="1" s="1"/>
  <c r="W607" i="1" s="1"/>
  <c r="W608" i="1" s="1"/>
  <c r="W609" i="1" s="1"/>
  <c r="W610" i="1" s="1"/>
  <c r="W611" i="1" s="1"/>
  <c r="W612" i="1" s="1"/>
  <c r="W613" i="1" s="1"/>
  <c r="W614" i="1" s="1"/>
  <c r="W615" i="1" s="1"/>
  <c r="W616" i="1" s="1"/>
  <c r="W617" i="1" s="1"/>
  <c r="W618" i="1" s="1"/>
  <c r="W619" i="1" s="1"/>
  <c r="W620" i="1" s="1"/>
  <c r="W621" i="1" s="1"/>
  <c r="W622" i="1" s="1"/>
  <c r="W623" i="1" s="1"/>
  <c r="W624" i="1" s="1"/>
  <c r="W625" i="1" s="1"/>
  <c r="W626" i="1" s="1"/>
  <c r="W627" i="1" s="1"/>
  <c r="W628" i="1" s="1"/>
  <c r="W629" i="1" s="1"/>
  <c r="W630" i="1" s="1"/>
  <c r="W631" i="1" s="1"/>
  <c r="W632" i="1" s="1"/>
  <c r="W25" i="1"/>
  <c r="W26" i="1" s="1"/>
  <c r="W27" i="1" s="1"/>
  <c r="W28" i="1" s="1"/>
  <c r="W29" i="1" s="1"/>
  <c r="W30" i="1" s="1"/>
  <c r="W31" i="1" s="1"/>
  <c r="W32" i="1" s="1"/>
  <c r="W33" i="1" s="1"/>
  <c r="W34" i="1" s="1"/>
  <c r="W35" i="1" s="1"/>
  <c r="W36" i="1" s="1"/>
  <c r="W37" i="1" s="1"/>
  <c r="W38" i="1" s="1"/>
  <c r="W39" i="1" s="1"/>
  <c r="W40" i="1" s="1"/>
  <c r="W41" i="1" s="1"/>
  <c r="W42" i="1" s="1"/>
  <c r="W43" i="1" s="1"/>
  <c r="W2684" i="1"/>
  <c r="W2685" i="1" s="1"/>
  <c r="W2686" i="1" s="1"/>
  <c r="W2687" i="1" s="1"/>
  <c r="W2688" i="1" s="1"/>
  <c r="W2689" i="1" s="1"/>
  <c r="W2690" i="1" s="1"/>
  <c r="W2691" i="1" s="1"/>
  <c r="W2692" i="1" s="1"/>
  <c r="W2693" i="1" s="1"/>
  <c r="W2694" i="1" s="1"/>
  <c r="W2695" i="1" s="1"/>
  <c r="W2696" i="1" s="1"/>
  <c r="W2697" i="1" s="1"/>
  <c r="W2698" i="1" s="1"/>
  <c r="W2699" i="1" s="1"/>
  <c r="W2700" i="1" s="1"/>
  <c r="W2701" i="1" s="1"/>
  <c r="W2702" i="1" s="1"/>
  <c r="W423" i="1"/>
  <c r="W424" i="1" s="1"/>
  <c r="W425" i="1" s="1"/>
  <c r="W426" i="1" s="1"/>
  <c r="W427" i="1" s="1"/>
  <c r="W428" i="1" s="1"/>
  <c r="W429" i="1" s="1"/>
  <c r="W430" i="1" s="1"/>
  <c r="W431" i="1" s="1"/>
  <c r="W432" i="1" s="1"/>
  <c r="W433" i="1" s="1"/>
  <c r="W434" i="1" s="1"/>
  <c r="W435" i="1" s="1"/>
  <c r="W436" i="1" s="1"/>
  <c r="W437" i="1" s="1"/>
  <c r="W438" i="1" s="1"/>
  <c r="W439" i="1" s="1"/>
  <c r="W440" i="1" s="1"/>
  <c r="W441" i="1" s="1"/>
  <c r="W442" i="1" s="1"/>
  <c r="W443" i="1" s="1"/>
  <c r="W444" i="1" s="1"/>
  <c r="W445" i="1" s="1"/>
  <c r="W446" i="1" s="1"/>
  <c r="W447" i="1" s="1"/>
  <c r="W448" i="1" s="1"/>
  <c r="W449" i="1" s="1"/>
  <c r="W450" i="1" s="1"/>
  <c r="W451" i="1" s="1"/>
  <c r="W452" i="1" s="1"/>
  <c r="W453" i="1" s="1"/>
  <c r="W454" i="1" s="1"/>
  <c r="W455" i="1" s="1"/>
  <c r="W456" i="1" s="1"/>
  <c r="W457" i="1" s="1"/>
  <c r="W458" i="1" s="1"/>
  <c r="W459" i="1" s="1"/>
  <c r="W460" i="1" s="1"/>
  <c r="W461" i="1" s="1"/>
  <c r="W462" i="1" s="1"/>
  <c r="W463" i="1" s="1"/>
  <c r="W464" i="1" s="1"/>
  <c r="W465" i="1" s="1"/>
  <c r="W466" i="1" s="1"/>
  <c r="W467" i="1" s="1"/>
  <c r="W468" i="1" s="1"/>
  <c r="W469" i="1" s="1"/>
  <c r="W470" i="1" s="1"/>
  <c r="W471" i="1" s="1"/>
  <c r="W472" i="1" s="1"/>
  <c r="W473" i="1" s="1"/>
  <c r="W474" i="1" s="1"/>
  <c r="W475" i="1" s="1"/>
  <c r="W476" i="1" s="1"/>
  <c r="W477" i="1" s="1"/>
  <c r="W478" i="1" s="1"/>
  <c r="W479" i="1" s="1"/>
  <c r="W480" i="1" s="1"/>
  <c r="W481" i="1" s="1"/>
  <c r="W482" i="1" s="1"/>
  <c r="W483" i="1" s="1"/>
  <c r="W484" i="1" s="1"/>
  <c r="W2422" i="1"/>
  <c r="W2423" i="1" s="1"/>
  <c r="W2424" i="1" s="1"/>
  <c r="W2209" i="1"/>
  <c r="W2210" i="1" s="1"/>
  <c r="W2211" i="1" s="1"/>
  <c r="W2340" i="1"/>
  <c r="W2341" i="1" s="1"/>
  <c r="W2342" i="1" s="1"/>
  <c r="W2343" i="1" s="1"/>
  <c r="W2344" i="1" s="1"/>
  <c r="W2345" i="1" s="1"/>
  <c r="W2346" i="1" s="1"/>
  <c r="W2347" i="1" s="1"/>
  <c r="W2348" i="1" s="1"/>
  <c r="W2349" i="1" s="1"/>
  <c r="W2350" i="1" s="1"/>
  <c r="W2466" i="1"/>
  <c r="W2467" i="1" s="1"/>
  <c r="W2468" i="1" s="1"/>
  <c r="W2469" i="1" s="1"/>
  <c r="W2568" i="1"/>
  <c r="W2569" i="1" s="1"/>
  <c r="W2570" i="1" s="1"/>
  <c r="W2571" i="1" s="1"/>
  <c r="W2572" i="1" s="1"/>
  <c r="W2573" i="1" s="1"/>
  <c r="W2574" i="1" s="1"/>
  <c r="W2575" i="1" s="1"/>
  <c r="W2576" i="1" s="1"/>
  <c r="W5" i="1"/>
  <c r="W6" i="1" s="1"/>
  <c r="W7" i="1" s="1"/>
  <c r="W8" i="1" s="1"/>
  <c r="W9" i="1" s="1"/>
  <c r="W10" i="1" s="1"/>
  <c r="W11" i="1" s="1"/>
  <c r="W12" i="1" s="1"/>
  <c r="W13" i="1" s="1"/>
  <c r="W14" i="1" s="1"/>
  <c r="W15" i="1" s="1"/>
  <c r="W16" i="1" s="1"/>
  <c r="W17" i="1" s="1"/>
  <c r="W18" i="1" s="1"/>
  <c r="W19" i="1" s="1"/>
  <c r="W20" i="1" s="1"/>
  <c r="W21" i="1" s="1"/>
  <c r="W22" i="1" s="1"/>
  <c r="W23" i="1" s="1"/>
  <c r="W55" i="1"/>
  <c r="W56" i="1" s="1"/>
  <c r="W57" i="1" s="1"/>
  <c r="W634" i="1"/>
  <c r="W2218" i="1"/>
  <c r="W2219" i="1" s="1"/>
  <c r="W2220" i="1" s="1"/>
  <c r="W2221" i="1" s="1"/>
  <c r="W2222" i="1" s="1"/>
  <c r="W2223" i="1" s="1"/>
  <c r="W2224" i="1" s="1"/>
  <c r="W2225" i="1" s="1"/>
  <c r="W2226" i="1" s="1"/>
  <c r="W2722" i="1" l="1"/>
  <c r="W2723" i="1" s="1"/>
  <c r="W2724" i="1" s="1"/>
  <c r="W2725" i="1" s="1"/>
  <c r="W485" i="1"/>
  <c r="W486" i="1" s="1"/>
  <c r="W487" i="1" s="1"/>
  <c r="W488" i="1" s="1"/>
  <c r="W489" i="1" s="1"/>
  <c r="W490" i="1" s="1"/>
  <c r="W491" i="1" s="1"/>
  <c r="W492" i="1" s="1"/>
  <c r="W493" i="1" s="1"/>
  <c r="W494" i="1" s="1"/>
  <c r="W495" i="1" s="1"/>
  <c r="W496" i="1" s="1"/>
  <c r="W497" i="1" s="1"/>
  <c r="W498" i="1" s="1"/>
  <c r="W499" i="1" s="1"/>
  <c r="W500" i="1" s="1"/>
  <c r="W501" i="1" s="1"/>
  <c r="W2480" i="1"/>
  <c r="W2481" i="1" s="1"/>
  <c r="W2482" i="1" s="1"/>
  <c r="W2483" i="1" s="1"/>
  <c r="W2484" i="1" s="1"/>
  <c r="W2485" i="1" s="1"/>
  <c r="W2486" i="1" s="1"/>
  <c r="W2487" i="1" s="1"/>
  <c r="W2488" i="1" s="1"/>
  <c r="W2489" i="1" s="1"/>
  <c r="W2490" i="1" s="1"/>
  <c r="W2491" i="1" s="1"/>
  <c r="W2492" i="1" s="1"/>
  <c r="W2493" i="1" s="1"/>
  <c r="W2972" i="1"/>
  <c r="W2973" i="1" s="1"/>
  <c r="W2974" i="1" s="1"/>
  <c r="W2975" i="1" s="1"/>
  <c r="W2976" i="1" s="1"/>
  <c r="W2977" i="1" s="1"/>
  <c r="W2978" i="1" s="1"/>
  <c r="W2979" i="1" s="1"/>
  <c r="W2980" i="1" s="1"/>
  <c r="W2981" i="1" s="1"/>
  <c r="W2982" i="1" s="1"/>
  <c r="W2983" i="1" s="1"/>
  <c r="W2984" i="1" s="1"/>
  <c r="W2985" i="1" s="1"/>
  <c r="W2986" i="1" s="1"/>
  <c r="W2987" i="1" s="1"/>
  <c r="W2988" i="1" s="1"/>
  <c r="W2989" i="1" s="1"/>
  <c r="W2990" i="1" s="1"/>
  <c r="W2991" i="1" s="1"/>
  <c r="W2992" i="1" s="1"/>
  <c r="W2993" i="1" s="1"/>
  <c r="W2994" i="1" s="1"/>
  <c r="W2995" i="1" s="1"/>
  <c r="W2996" i="1" s="1"/>
  <c r="W2997" i="1" s="1"/>
  <c r="W2998" i="1" s="1"/>
  <c r="W2999" i="1" s="1"/>
  <c r="W3000" i="1" s="1"/>
  <c r="W3001" i="1" s="1"/>
  <c r="W3002" i="1" s="1"/>
  <c r="W3003" i="1" s="1"/>
  <c r="W3004" i="1" s="1"/>
  <c r="W3005" i="1" s="1"/>
  <c r="W3006" i="1" s="1"/>
  <c r="W3007" i="1" s="1"/>
  <c r="W3008" i="1" s="1"/>
  <c r="W3009" i="1" s="1"/>
  <c r="W3010" i="1" s="1"/>
  <c r="W3011" i="1" s="1"/>
  <c r="W3012" i="1" s="1"/>
  <c r="W3013" i="1" s="1"/>
  <c r="W3014" i="1" s="1"/>
  <c r="W3015" i="1" s="1"/>
  <c r="W661" i="1"/>
  <c r="W662" i="1" s="1"/>
  <c r="W663" i="1" s="1"/>
  <c r="W664" i="1" s="1"/>
  <c r="W665" i="1" s="1"/>
  <c r="W666" i="1" s="1"/>
  <c r="W667" i="1" s="1"/>
  <c r="W668" i="1" s="1"/>
  <c r="W669" i="1" s="1"/>
  <c r="W670" i="1" s="1"/>
  <c r="W671" i="1" s="1"/>
  <c r="W672" i="1" s="1"/>
  <c r="W673" i="1" s="1"/>
  <c r="W674" i="1" s="1"/>
  <c r="W675" i="1" s="1"/>
  <c r="W2279" i="1"/>
  <c r="W2280" i="1" s="1"/>
  <c r="W2281" i="1" s="1"/>
  <c r="W2282" i="1" s="1"/>
  <c r="W2283" i="1" s="1"/>
  <c r="W2284" i="1" s="1"/>
  <c r="W2285" i="1" s="1"/>
  <c r="W2286" i="1" s="1"/>
  <c r="W2563" i="1"/>
  <c r="W2565" i="1" s="1"/>
  <c r="W2564" i="1"/>
  <c r="W3073" i="1"/>
  <c r="W1434" i="1"/>
  <c r="W1435" i="1" s="1"/>
  <c r="W1436" i="1" s="1"/>
  <c r="W1437" i="1" s="1"/>
  <c r="W1438" i="1" s="1"/>
  <c r="W1439" i="1" s="1"/>
  <c r="W1440" i="1" s="1"/>
  <c r="W1441" i="1" s="1"/>
  <c r="W1442" i="1" s="1"/>
  <c r="W1443" i="1" s="1"/>
  <c r="W1444" i="1" s="1"/>
  <c r="W1445" i="1" s="1"/>
  <c r="W1446" i="1" s="1"/>
  <c r="W1447" i="1" s="1"/>
  <c r="W1448" i="1" s="1"/>
  <c r="W1449" i="1" s="1"/>
  <c r="W1450" i="1" s="1"/>
  <c r="W1451" i="1" s="1"/>
  <c r="W1452" i="1" s="1"/>
  <c r="W1453" i="1" s="1"/>
  <c r="W1454" i="1" s="1"/>
  <c r="W1455" i="1" s="1"/>
  <c r="W1456" i="1" s="1"/>
  <c r="W1457" i="1" s="1"/>
  <c r="W1458" i="1" s="1"/>
  <c r="W1459" i="1" s="1"/>
  <c r="W1460" i="1" s="1"/>
  <c r="W1461" i="1" s="1"/>
  <c r="W1462" i="1" s="1"/>
  <c r="W1463" i="1" s="1"/>
  <c r="W1464" i="1" s="1"/>
  <c r="W1465" i="1" s="1"/>
  <c r="W1466" i="1" s="1"/>
  <c r="W1467" i="1" s="1"/>
  <c r="W1468" i="1" s="1"/>
  <c r="W1469" i="1" s="1"/>
  <c r="W1470" i="1" s="1"/>
  <c r="W1471" i="1" s="1"/>
  <c r="W1472" i="1" s="1"/>
  <c r="W1473" i="1" s="1"/>
  <c r="W1474" i="1" s="1"/>
  <c r="W1475" i="1" s="1"/>
  <c r="W1476" i="1" s="1"/>
  <c r="W1477" i="1" s="1"/>
  <c r="W1478" i="1" s="1"/>
  <c r="W1479" i="1" s="1"/>
  <c r="W1480" i="1" s="1"/>
  <c r="W1481" i="1" s="1"/>
  <c r="W1482" i="1" s="1"/>
  <c r="W1483" i="1" s="1"/>
  <c r="W1484" i="1" s="1"/>
  <c r="W1485" i="1" s="1"/>
  <c r="W1486" i="1" s="1"/>
  <c r="W1487" i="1" s="1"/>
  <c r="W1488" i="1" s="1"/>
  <c r="W1489" i="1" s="1"/>
  <c r="W1490" i="1" s="1"/>
  <c r="W1491" i="1" s="1"/>
  <c r="W1492" i="1" s="1"/>
  <c r="W1493" i="1" s="1"/>
  <c r="W1494" i="1" s="1"/>
  <c r="W1495" i="1" s="1"/>
  <c r="W1496" i="1" s="1"/>
  <c r="W1497" i="1" s="1"/>
  <c r="W1498" i="1" s="1"/>
  <c r="W1499" i="1" s="1"/>
  <c r="W1500" i="1" s="1"/>
  <c r="W1501" i="1" s="1"/>
  <c r="W1502" i="1" s="1"/>
  <c r="W1503" i="1" s="1"/>
  <c r="W1504" i="1" s="1"/>
  <c r="W1505" i="1" s="1"/>
  <c r="W1506" i="1" s="1"/>
  <c r="W1507" i="1" s="1"/>
  <c r="W1508" i="1" s="1"/>
  <c r="W1509" i="1" s="1"/>
  <c r="W1510" i="1" s="1"/>
  <c r="W1511" i="1" s="1"/>
  <c r="W1512" i="1" s="1"/>
  <c r="W1513" i="1" s="1"/>
  <c r="W1514" i="1" s="1"/>
  <c r="W1515" i="1" s="1"/>
  <c r="W1516" i="1" s="1"/>
  <c r="W1517" i="1" s="1"/>
  <c r="W1518" i="1" s="1"/>
  <c r="W1519" i="1" s="1"/>
  <c r="W1520" i="1" s="1"/>
  <c r="W1521" i="1" s="1"/>
  <c r="W1522" i="1" s="1"/>
  <c r="W1523" i="1" s="1"/>
  <c r="W1524" i="1" s="1"/>
  <c r="W1525" i="1" s="1"/>
  <c r="W1526" i="1" s="1"/>
  <c r="W1527" i="1" s="1"/>
  <c r="W1528" i="1" s="1"/>
  <c r="W1529" i="1" s="1"/>
  <c r="W1530" i="1" s="1"/>
  <c r="W1531" i="1" s="1"/>
  <c r="W1532" i="1" s="1"/>
  <c r="W1533" i="1" s="1"/>
  <c r="W1534" i="1" s="1"/>
  <c r="W1535" i="1" s="1"/>
  <c r="W1536" i="1" s="1"/>
  <c r="W1537" i="1" s="1"/>
  <c r="W1538" i="1" s="1"/>
  <c r="W3100" i="1"/>
  <c r="W3020" i="1"/>
  <c r="W3021" i="1" s="1"/>
  <c r="W3022" i="1" s="1"/>
  <c r="W3023" i="1" s="1"/>
  <c r="W3024" i="1" s="1"/>
  <c r="W3025" i="1" s="1"/>
  <c r="W3026" i="1" s="1"/>
  <c r="W3027" i="1" s="1"/>
  <c r="W3028" i="1" s="1"/>
  <c r="W3029" i="1" s="1"/>
  <c r="W3030" i="1" s="1"/>
  <c r="W3031" i="1" s="1"/>
  <c r="W3032" i="1" s="1"/>
  <c r="W3033" i="1" s="1"/>
  <c r="W3034" i="1" s="1"/>
  <c r="W3035" i="1" s="1"/>
  <c r="W3036" i="1" s="1"/>
  <c r="W3037" i="1" s="1"/>
  <c r="W3038" i="1" s="1"/>
  <c r="W3039" i="1" s="1"/>
  <c r="W3040" i="1" s="1"/>
  <c r="W3041" i="1" s="1"/>
  <c r="W3042" i="1" s="1"/>
  <c r="W3043" i="1" s="1"/>
  <c r="W2321" i="1"/>
  <c r="W3205" i="1"/>
  <c r="W3206" i="1" s="1"/>
  <c r="W3207" i="1" s="1"/>
  <c r="W3208" i="1" s="1"/>
  <c r="W3209" i="1" s="1"/>
  <c r="W3210" i="1" s="1"/>
  <c r="W3211" i="1" s="1"/>
  <c r="W3212" i="1" s="1"/>
  <c r="W3213" i="1" s="1"/>
  <c r="W3214" i="1" s="1"/>
  <c r="W2506" i="1"/>
  <c r="W2507" i="1" s="1"/>
  <c r="W2508" i="1" s="1"/>
  <c r="W2509" i="1" s="1"/>
  <c r="W2510" i="1" s="1"/>
  <c r="W2511" i="1" s="1"/>
  <c r="W2512" i="1" s="1"/>
  <c r="W2513" i="1" s="1"/>
  <c r="W2514" i="1" s="1"/>
  <c r="W2515" i="1" s="1"/>
  <c r="W2516" i="1" s="1"/>
  <c r="W2517" i="1" s="1"/>
  <c r="W2518" i="1" s="1"/>
  <c r="W2519" i="1" s="1"/>
  <c r="W2520" i="1" s="1"/>
  <c r="W2521" i="1" s="1"/>
  <c r="W2522" i="1" s="1"/>
  <c r="W2523" i="1" s="1"/>
  <c r="W2524" i="1" s="1"/>
  <c r="W2525" i="1" s="1"/>
  <c r="W2526" i="1" s="1"/>
  <c r="W2527" i="1" s="1"/>
  <c r="W2528" i="1" s="1"/>
  <c r="W2529" i="1" s="1"/>
  <c r="W2530" i="1" s="1"/>
  <c r="W2531" i="1" s="1"/>
  <c r="W2532" i="1" s="1"/>
  <c r="W2533" i="1" s="1"/>
  <c r="W2534" i="1" s="1"/>
  <c r="W3190" i="1"/>
  <c r="W3191" i="1" s="1"/>
  <c r="W2420" i="1" s="1"/>
  <c r="W2212" i="1"/>
  <c r="W2213" i="1" s="1"/>
  <c r="W2214" i="1" s="1"/>
  <c r="W2215" i="1" s="1"/>
  <c r="W2442" i="1"/>
  <c r="W2443" i="1" s="1"/>
  <c r="W2444" i="1" s="1"/>
  <c r="W2445" i="1" s="1"/>
  <c r="W2446" i="1" s="1"/>
  <c r="W636" i="1"/>
  <c r="W1232" i="1"/>
  <c r="W637" i="1" s="1"/>
  <c r="W638" i="1" s="1"/>
  <c r="W635" i="1"/>
  <c r="W2726" i="1" l="1"/>
  <c r="W2727" i="1" s="1"/>
  <c r="W2728" i="1" s="1"/>
  <c r="W3044" i="1"/>
  <c r="W3045" i="1" s="1"/>
  <c r="W3046" i="1" s="1"/>
  <c r="W3047" i="1" s="1"/>
  <c r="W3048" i="1" s="1"/>
  <c r="W3049" i="1" s="1"/>
  <c r="W3050" i="1" s="1"/>
  <c r="W3051" i="1" s="1"/>
  <c r="W3052" i="1" s="1"/>
  <c r="W3053" i="1" s="1"/>
  <c r="W3054" i="1" s="1"/>
  <c r="W3055" i="1" s="1"/>
  <c r="W3056" i="1" s="1"/>
  <c r="W3057" i="1" s="1"/>
  <c r="W3058" i="1" s="1"/>
  <c r="W3059" i="1" s="1"/>
  <c r="W3060" i="1" s="1"/>
  <c r="W3061" i="1" s="1"/>
  <c r="W3062" i="1" s="1"/>
  <c r="W3074" i="1"/>
  <c r="W3101" i="1"/>
  <c r="W3102" i="1" s="1"/>
  <c r="W3103" i="1" s="1"/>
  <c r="W3104" i="1" s="1"/>
  <c r="W2322" i="1"/>
  <c r="W3215" i="1"/>
  <c r="W3216" i="1" s="1"/>
  <c r="W3217" i="1" s="1"/>
  <c r="W3218" i="1" s="1"/>
  <c r="W3219" i="1" s="1"/>
  <c r="W3220" i="1" s="1"/>
  <c r="W3221" i="1" l="1"/>
  <c r="W3222" i="1" s="1"/>
  <c r="W3223" i="1" s="1"/>
  <c r="W3224" i="1" s="1"/>
  <c r="W3225" i="1" s="1"/>
  <c r="W2729" i="1"/>
  <c r="W2730" i="1" s="1"/>
  <c r="W2731" i="1" s="1"/>
  <c r="W2732" i="1" s="1"/>
  <c r="W2733" i="1" s="1"/>
  <c r="W2734" i="1" s="1"/>
  <c r="W2735" i="1" s="1"/>
  <c r="W2736" i="1" s="1"/>
  <c r="W2737" i="1" s="1"/>
  <c r="W2738" i="1" s="1"/>
  <c r="W2739" i="1" s="1"/>
  <c r="W2740" i="1" s="1"/>
  <c r="W2741" i="1" s="1"/>
  <c r="W2742" i="1" s="1"/>
  <c r="W2743" i="1" s="1"/>
  <c r="W2744" i="1" s="1"/>
  <c r="W3075" i="1"/>
  <c r="W3076" i="1" s="1"/>
  <c r="W3077" i="1" s="1"/>
  <c r="W3078" i="1" s="1"/>
  <c r="W3079" i="1" s="1"/>
  <c r="W3226" i="1"/>
  <c r="X46" i="1"/>
  <c r="X47" i="1" s="1"/>
  <c r="X48" i="1" s="1"/>
  <c r="W639" i="1"/>
  <c r="W1336" i="1"/>
  <c r="W1337" i="1" s="1"/>
  <c r="W1338" i="1" s="1"/>
  <c r="W1339" i="1" s="1"/>
  <c r="W1340" i="1" s="1"/>
  <c r="W1341" i="1" s="1"/>
  <c r="W1342" i="1" s="1"/>
  <c r="W1343" i="1" s="1"/>
  <c r="W2233" i="1"/>
  <c r="W2234" i="1" s="1"/>
  <c r="W2323" i="1"/>
  <c r="W2324" i="1" s="1"/>
  <c r="W2325" i="1" s="1"/>
  <c r="W2326" i="1" s="1"/>
  <c r="W2327" i="1" s="1"/>
  <c r="W2328" i="1" s="1"/>
  <c r="W2329" i="1" s="1"/>
  <c r="W2330" i="1" s="1"/>
  <c r="W2331" i="1" s="1"/>
  <c r="W2332" i="1" s="1"/>
  <c r="W2333" i="1" s="1"/>
  <c r="W2334" i="1" s="1"/>
  <c r="W2335" i="1" s="1"/>
  <c r="W2336" i="1" s="1"/>
  <c r="W2337" i="1" s="1"/>
  <c r="W2338" i="1" s="1"/>
  <c r="W2287" i="1"/>
  <c r="W2288" i="1" s="1"/>
  <c r="W2289" i="1" s="1"/>
  <c r="W2290" i="1" s="1"/>
  <c r="W1653" i="1"/>
  <c r="W1654" i="1" s="1"/>
  <c r="W1655" i="1" s="1"/>
  <c r="W1656" i="1" s="1"/>
  <c r="W1657" i="1" s="1"/>
  <c r="W1658" i="1" s="1"/>
  <c r="W1659" i="1" s="1"/>
  <c r="W1660" i="1" s="1"/>
  <c r="W1661" i="1" s="1"/>
  <c r="W1662" i="1" s="1"/>
  <c r="W1663" i="1" s="1"/>
  <c r="W1664" i="1" s="1"/>
  <c r="W1665" i="1" s="1"/>
  <c r="W1666" i="1" s="1"/>
  <c r="W1667" i="1" s="1"/>
  <c r="W1668" i="1" s="1"/>
  <c r="W1669" i="1" s="1"/>
  <c r="W1670" i="1" s="1"/>
  <c r="W1671" i="1" s="1"/>
  <c r="W1672" i="1" s="1"/>
  <c r="W1673" i="1" s="1"/>
  <c r="W1674" i="1" s="1"/>
  <c r="W1675" i="1" s="1"/>
  <c r="W1676" i="1" s="1"/>
  <c r="W1677" i="1" s="1"/>
  <c r="W1678" i="1" s="1"/>
  <c r="W1679" i="1" s="1"/>
  <c r="W1680" i="1" s="1"/>
  <c r="W1681" i="1" s="1"/>
  <c r="W2583" i="1"/>
  <c r="W2584" i="1" s="1"/>
  <c r="W2585" i="1" s="1"/>
  <c r="W2586" i="1" s="1"/>
  <c r="W2587" i="1" s="1"/>
  <c r="W2588" i="1" s="1"/>
  <c r="W2589" i="1" s="1"/>
  <c r="W2590" i="1" s="1"/>
  <c r="W2591" i="1" s="1"/>
  <c r="W1539" i="1"/>
  <c r="W1540" i="1" s="1"/>
  <c r="W1541" i="1" s="1"/>
  <c r="W1542" i="1" s="1"/>
  <c r="W1543" i="1" s="1"/>
  <c r="W1544" i="1" s="1"/>
  <c r="W1545" i="1" s="1"/>
  <c r="W1546" i="1" s="1"/>
  <c r="W1547" i="1" s="1"/>
  <c r="W1548" i="1" s="1"/>
  <c r="W1549" i="1" s="1"/>
  <c r="W1550" i="1" s="1"/>
  <c r="W1551" i="1" s="1"/>
  <c r="W1552" i="1" s="1"/>
  <c r="W1553" i="1" s="1"/>
  <c r="W1554" i="1" s="1"/>
  <c r="W1555" i="1" s="1"/>
  <c r="W1556" i="1" s="1"/>
  <c r="W1557" i="1" s="1"/>
  <c r="W1558" i="1" s="1"/>
  <c r="W1559" i="1" s="1"/>
  <c r="W1560" i="1" s="1"/>
  <c r="W1561" i="1" s="1"/>
  <c r="W1562" i="1" s="1"/>
  <c r="W1563" i="1" s="1"/>
  <c r="W1564" i="1" s="1"/>
  <c r="W1565" i="1" s="1"/>
  <c r="W1566" i="1" s="1"/>
  <c r="W1567" i="1" s="1"/>
  <c r="W1568" i="1" s="1"/>
  <c r="W1569" i="1" s="1"/>
  <c r="W1570" i="1" s="1"/>
  <c r="W1571" i="1" s="1"/>
  <c r="W1572" i="1" s="1"/>
  <c r="W1573" i="1" s="1"/>
  <c r="W1574" i="1" s="1"/>
  <c r="W1575" i="1" s="1"/>
  <c r="W1576" i="1" s="1"/>
  <c r="W1577" i="1" s="1"/>
  <c r="W1578" i="1" s="1"/>
  <c r="W1579" i="1" s="1"/>
  <c r="W1580" i="1" s="1"/>
  <c r="W1581" i="1" s="1"/>
  <c r="W1582" i="1" s="1"/>
  <c r="W1583" i="1" s="1"/>
  <c r="W1584" i="1" s="1"/>
  <c r="W1585" i="1" s="1"/>
  <c r="W1586" i="1" s="1"/>
  <c r="W1587" i="1" s="1"/>
  <c r="W1588" i="1" s="1"/>
  <c r="W1589" i="1" s="1"/>
  <c r="W1590" i="1" s="1"/>
  <c r="W1591" i="1" s="1"/>
  <c r="W1592" i="1" s="1"/>
  <c r="W1593" i="1" s="1"/>
  <c r="W1594" i="1" s="1"/>
  <c r="W1595" i="1" s="1"/>
  <c r="W1596" i="1" s="1"/>
  <c r="W1597" i="1" s="1"/>
  <c r="W1598" i="1" s="1"/>
  <c r="W1599" i="1" s="1"/>
  <c r="W1600" i="1" s="1"/>
  <c r="W1601" i="1" s="1"/>
  <c r="W1602" i="1" s="1"/>
  <c r="W1603" i="1" s="1"/>
  <c r="W1604" i="1" s="1"/>
  <c r="W1605" i="1" s="1"/>
  <c r="W1606" i="1" s="1"/>
  <c r="W1607" i="1" s="1"/>
  <c r="W1608" i="1" s="1"/>
  <c r="W1609" i="1" s="1"/>
  <c r="W1610" i="1" s="1"/>
  <c r="W1611" i="1" s="1"/>
  <c r="W1612" i="1" s="1"/>
  <c r="W1613" i="1" s="1"/>
  <c r="W1686" i="1"/>
  <c r="W66" i="1"/>
  <c r="W67" i="1" s="1"/>
  <c r="W68" i="1" s="1"/>
  <c r="W69" i="1" s="1"/>
  <c r="W1321" i="1"/>
  <c r="W1322" i="1" s="1"/>
  <c r="W1323" i="1" s="1"/>
  <c r="W1324" i="1" s="1"/>
  <c r="W1325" i="1" s="1"/>
  <c r="W1326" i="1" s="1"/>
  <c r="W1327" i="1" s="1"/>
  <c r="W1328" i="1" s="1"/>
  <c r="W1329" i="1" s="1"/>
  <c r="W1330" i="1" s="1"/>
  <c r="W1331" i="1" s="1"/>
  <c r="W1154" i="1"/>
  <c r="W2368" i="1"/>
  <c r="W2369" i="1" s="1"/>
  <c r="W2370" i="1" s="1"/>
  <c r="W2371" i="1" s="1"/>
  <c r="W2372" i="1" s="1"/>
  <c r="W2373" i="1" s="1"/>
  <c r="W2374" i="1" s="1"/>
  <c r="W2375" i="1" s="1"/>
  <c r="W2376" i="1" s="1"/>
  <c r="W2377" i="1" s="1"/>
  <c r="W2378" i="1" s="1"/>
  <c r="W2379" i="1" s="1"/>
  <c r="W2380" i="1" s="1"/>
  <c r="W2381" i="1" s="1"/>
  <c r="W2382" i="1" s="1"/>
  <c r="W2383" i="1" s="1"/>
  <c r="W2384" i="1" s="1"/>
  <c r="W2385" i="1" s="1"/>
  <c r="W2386" i="1" s="1"/>
  <c r="W2387" i="1" s="1"/>
  <c r="W2388" i="1" s="1"/>
  <c r="W2389" i="1" s="1"/>
  <c r="W2390" i="1" s="1"/>
  <c r="W2391" i="1" s="1"/>
  <c r="W2392" i="1" s="1"/>
  <c r="W2393" i="1" s="1"/>
  <c r="W2394" i="1" s="1"/>
  <c r="W2395" i="1" s="1"/>
  <c r="W2396" i="1" s="1"/>
  <c r="W2397" i="1" s="1"/>
  <c r="W2398" i="1" s="1"/>
  <c r="W2399" i="1" s="1"/>
  <c r="W2400" i="1" s="1"/>
  <c r="W2401" i="1" s="1"/>
  <c r="W2402" i="1" s="1"/>
  <c r="W2403" i="1" s="1"/>
  <c r="W2404" i="1" s="1"/>
  <c r="W2405" i="1" s="1"/>
  <c r="W2406" i="1" s="1"/>
  <c r="W2407" i="1" s="1"/>
  <c r="W2408" i="1" s="1"/>
  <c r="W2409" i="1" s="1"/>
  <c r="W2410" i="1" s="1"/>
  <c r="W2411" i="1" s="1"/>
  <c r="W2412" i="1" s="1"/>
  <c r="W2413" i="1" s="1"/>
  <c r="W2414" i="1" s="1"/>
  <c r="W2415" i="1" s="1"/>
  <c r="W2416" i="1" s="1"/>
  <c r="W2417" i="1" s="1"/>
  <c r="W2418" i="1" s="1"/>
  <c r="W2419" i="1" s="1"/>
  <c r="W1735" i="1"/>
  <c r="W1736" i="1" s="1"/>
  <c r="W1737" i="1" s="1"/>
  <c r="W1738" i="1" s="1"/>
  <c r="W1739" i="1" s="1"/>
  <c r="W1740" i="1" s="1"/>
  <c r="W1172" i="1"/>
  <c r="W1173" i="1" s="1"/>
  <c r="W1174" i="1" s="1"/>
  <c r="W1175" i="1" s="1"/>
  <c r="W1176" i="1" s="1"/>
  <c r="W1177" i="1" s="1"/>
  <c r="W1178" i="1" s="1"/>
  <c r="W1179" i="1" s="1"/>
  <c r="W1180" i="1" s="1"/>
  <c r="W1181" i="1" s="1"/>
  <c r="W1182" i="1" s="1"/>
  <c r="W1183" i="1" s="1"/>
  <c r="W1184" i="1" s="1"/>
  <c r="W1185" i="1" s="1"/>
  <c r="W1186" i="1" s="1"/>
  <c r="W1187" i="1" s="1"/>
  <c r="W1188" i="1" s="1"/>
  <c r="W1189" i="1" s="1"/>
  <c r="W1190" i="1" s="1"/>
  <c r="W1191" i="1" s="1"/>
  <c r="W1192" i="1" s="1"/>
  <c r="W1193" i="1" s="1"/>
  <c r="W1194" i="1" s="1"/>
  <c r="W1197" i="1" s="1"/>
  <c r="W81" i="1"/>
  <c r="W82" i="1" s="1"/>
  <c r="W83" i="1" s="1"/>
  <c r="W45" i="1"/>
  <c r="W46" i="1" s="1"/>
  <c r="W47" i="1" s="1"/>
  <c r="W48" i="1" s="1"/>
  <c r="W49" i="1" s="1"/>
  <c r="W50" i="1" s="1"/>
  <c r="W51" i="1" s="1"/>
  <c r="W52" i="1" s="1"/>
  <c r="W53" i="1" s="1"/>
  <c r="W2354" i="1"/>
  <c r="W2355" i="1" s="1"/>
  <c r="W1201" i="1"/>
  <c r="W1235" i="1"/>
  <c r="W1236" i="1" s="1"/>
  <c r="W1237" i="1" s="1"/>
  <c r="W1238" i="1" s="1"/>
  <c r="W1239" i="1" s="1"/>
  <c r="W1240" i="1" s="1"/>
  <c r="W1241" i="1" s="1"/>
  <c r="W1242" i="1" s="1"/>
  <c r="W1243" i="1" s="1"/>
  <c r="W1244" i="1" s="1"/>
  <c r="W1245" i="1" s="1"/>
  <c r="W1246" i="1" s="1"/>
  <c r="W1247" i="1" s="1"/>
  <c r="W1248" i="1" s="1"/>
  <c r="W1249" i="1" s="1"/>
  <c r="W1250" i="1" s="1"/>
  <c r="W676" i="1"/>
  <c r="W677" i="1" s="1"/>
  <c r="W678" i="1" s="1"/>
  <c r="W1122" i="1"/>
  <c r="W1123" i="1" s="1"/>
  <c r="W1124" i="1" s="1"/>
  <c r="W1125" i="1" s="1"/>
  <c r="W1126" i="1" s="1"/>
  <c r="W1127" i="1" s="1"/>
  <c r="W1128" i="1" s="1"/>
  <c r="W1129" i="1" s="1"/>
  <c r="W1130" i="1" s="1"/>
  <c r="W1131" i="1" s="1"/>
  <c r="W1132" i="1" s="1"/>
  <c r="W1133" i="1" s="1"/>
  <c r="W1134" i="1" s="1"/>
  <c r="W1135" i="1" s="1"/>
  <c r="W1136" i="1" s="1"/>
  <c r="W1687" i="1" l="1"/>
  <c r="W1688" i="1" s="1"/>
  <c r="W1689" i="1" s="1"/>
  <c r="W1690" i="1" s="1"/>
  <c r="W1691" i="1" s="1"/>
  <c r="W1692" i="1" s="1"/>
  <c r="W1693" i="1" s="1"/>
  <c r="W1694" i="1" s="1"/>
  <c r="W1695" i="1" s="1"/>
  <c r="W1696" i="1" s="1"/>
  <c r="W1697" i="1" s="1"/>
  <c r="W1698" i="1" s="1"/>
  <c r="W1699" i="1" s="1"/>
  <c r="W1700" i="1" s="1"/>
  <c r="W1701" i="1" s="1"/>
  <c r="W1702" i="1" s="1"/>
  <c r="W1703" i="1" s="1"/>
  <c r="W1704" i="1" s="1"/>
  <c r="W1705" i="1" s="1"/>
  <c r="W1706" i="1" s="1"/>
  <c r="W1707" i="1" s="1"/>
  <c r="W1708" i="1" s="1"/>
  <c r="W1709" i="1" s="1"/>
  <c r="W1710" i="1" s="1"/>
  <c r="W1711" i="1" s="1"/>
  <c r="W1712" i="1" s="1"/>
  <c r="W1713" i="1" s="1"/>
  <c r="W1714" i="1" s="1"/>
  <c r="W2356" i="1"/>
  <c r="W2357" i="1" s="1"/>
  <c r="W2358" i="1" s="1"/>
  <c r="W2359" i="1" s="1"/>
  <c r="W2360" i="1" s="1"/>
  <c r="W2361" i="1" s="1"/>
  <c r="W2362" i="1" s="1"/>
  <c r="W2363" i="1" s="1"/>
  <c r="W2364" i="1" s="1"/>
  <c r="W2365" i="1" s="1"/>
  <c r="W2366" i="1" s="1"/>
  <c r="W1344" i="1"/>
  <c r="W1345" i="1" s="1"/>
  <c r="W1346" i="1" s="1"/>
  <c r="W1347" i="1" s="1"/>
  <c r="W1348" i="1" s="1"/>
  <c r="W1349" i="1" s="1"/>
  <c r="W1350" i="1" s="1"/>
  <c r="W1351" i="1" s="1"/>
  <c r="W1352" i="1" s="1"/>
  <c r="W1353" i="1" s="1"/>
  <c r="W1354" i="1" s="1"/>
  <c r="W1355" i="1" s="1"/>
  <c r="W1356" i="1" s="1"/>
  <c r="W1357" i="1" s="1"/>
  <c r="W1358" i="1" s="1"/>
  <c r="W1359" i="1" s="1"/>
  <c r="W1360" i="1" s="1"/>
  <c r="W1361" i="1" s="1"/>
  <c r="W1362" i="1" s="1"/>
  <c r="W1363" i="1" s="1"/>
  <c r="W1364" i="1" s="1"/>
  <c r="W1365" i="1" s="1"/>
  <c r="W1366" i="1" s="1"/>
  <c r="W1367" i="1" s="1"/>
  <c r="W1368" i="1" s="1"/>
  <c r="W1369" i="1" s="1"/>
  <c r="W1370" i="1" s="1"/>
  <c r="W1371" i="1" s="1"/>
  <c r="W1372" i="1" s="1"/>
  <c r="W1373" i="1" s="1"/>
  <c r="W1374" i="1" s="1"/>
  <c r="W1375" i="1" s="1"/>
  <c r="W1376" i="1" s="1"/>
  <c r="W1377" i="1" s="1"/>
  <c r="W2745" i="1"/>
  <c r="W2746" i="1" s="1"/>
  <c r="W2747" i="1" s="1"/>
  <c r="W2748" i="1" s="1"/>
  <c r="W2749" i="1" s="1"/>
  <c r="W2750" i="1" s="1"/>
  <c r="W2751" i="1" s="1"/>
  <c r="W2752" i="1" s="1"/>
  <c r="W2291" i="1"/>
  <c r="W2292" i="1" s="1"/>
  <c r="W2293" i="1" s="1"/>
  <c r="W2294" i="1" s="1"/>
  <c r="W2295" i="1" s="1"/>
  <c r="W2296" i="1" s="1"/>
  <c r="W2297" i="1" s="1"/>
  <c r="W2298" i="1" s="1"/>
  <c r="W2299" i="1" s="1"/>
  <c r="W2300" i="1" s="1"/>
  <c r="W2301" i="1" s="1"/>
  <c r="W2302" i="1" s="1"/>
  <c r="W2303" i="1" s="1"/>
  <c r="W2304" i="1" s="1"/>
  <c r="W2305" i="1" s="1"/>
  <c r="W2306" i="1" s="1"/>
  <c r="W2307" i="1" s="1"/>
  <c r="W2308" i="1" s="1"/>
  <c r="W2309" i="1" s="1"/>
  <c r="W2310" i="1" s="1"/>
  <c r="W2592" i="1"/>
  <c r="W3080" i="1"/>
  <c r="W3081" i="1" s="1"/>
  <c r="W3082" i="1" s="1"/>
  <c r="W3083" i="1" s="1"/>
  <c r="W3084" i="1" s="1"/>
  <c r="W2535" i="1"/>
  <c r="W2536" i="1" s="1"/>
  <c r="W2537" i="1" s="1"/>
  <c r="W2538" i="1" s="1"/>
  <c r="W2539" i="1" s="1"/>
  <c r="W2540" i="1" s="1"/>
  <c r="W2541" i="1" s="1"/>
  <c r="W2542" i="1" s="1"/>
  <c r="W2543" i="1" s="1"/>
  <c r="W2544" i="1" s="1"/>
  <c r="W2545" i="1" s="1"/>
  <c r="W2546" i="1" s="1"/>
  <c r="W2547" i="1" s="1"/>
  <c r="W2548" i="1" s="1"/>
  <c r="W2549" i="1" s="1"/>
  <c r="W2550" i="1" s="1"/>
  <c r="W2551" i="1" s="1"/>
  <c r="W2552" i="1" s="1"/>
  <c r="W2553" i="1" s="1"/>
  <c r="W640" i="1"/>
  <c r="W641" i="1" s="1"/>
  <c r="W642" i="1" s="1"/>
  <c r="W643" i="1" s="1"/>
  <c r="W644" i="1" s="1"/>
  <c r="W679" i="1"/>
  <c r="W680" i="1" s="1"/>
  <c r="W681" i="1" s="1"/>
  <c r="W682" i="1" s="1"/>
  <c r="W683" i="1" s="1"/>
  <c r="W684" i="1" s="1"/>
  <c r="W685" i="1" s="1"/>
  <c r="W686" i="1" s="1"/>
  <c r="W687" i="1" s="1"/>
  <c r="W688" i="1" s="1"/>
  <c r="W689" i="1" s="1"/>
  <c r="W690" i="1" s="1"/>
  <c r="W691" i="1" s="1"/>
  <c r="W692" i="1" s="1"/>
  <c r="W693" i="1" s="1"/>
  <c r="W694" i="1" s="1"/>
  <c r="W695" i="1" s="1"/>
  <c r="W696" i="1" s="1"/>
  <c r="W697" i="1" s="1"/>
  <c r="W698" i="1" s="1"/>
  <c r="W699" i="1" s="1"/>
  <c r="W700" i="1" s="1"/>
  <c r="W701" i="1" s="1"/>
  <c r="W702" i="1" s="1"/>
  <c r="W703" i="1" s="1"/>
  <c r="W704" i="1" s="1"/>
  <c r="W705" i="1" s="1"/>
  <c r="W706" i="1" s="1"/>
  <c r="W707" i="1" s="1"/>
  <c r="W708" i="1" s="1"/>
  <c r="W709" i="1" s="1"/>
  <c r="W710" i="1" s="1"/>
  <c r="W711" i="1" s="1"/>
  <c r="W712" i="1" s="1"/>
  <c r="W713" i="1" s="1"/>
  <c r="W714" i="1" s="1"/>
  <c r="W715" i="1" s="1"/>
  <c r="W716" i="1" s="1"/>
  <c r="W717" i="1" s="1"/>
  <c r="W718" i="1" s="1"/>
  <c r="W719" i="1" s="1"/>
  <c r="W720" i="1" s="1"/>
  <c r="W721" i="1" s="1"/>
  <c r="W722" i="1" s="1"/>
  <c r="W723" i="1" s="1"/>
  <c r="W724" i="1" s="1"/>
  <c r="W725" i="1" s="1"/>
  <c r="W726" i="1" s="1"/>
  <c r="W727" i="1" s="1"/>
  <c r="W728" i="1" s="1"/>
  <c r="W729" i="1" s="1"/>
  <c r="W730" i="1" s="1"/>
  <c r="W731" i="1" s="1"/>
  <c r="W732" i="1" s="1"/>
  <c r="W733" i="1" s="1"/>
  <c r="W734" i="1" s="1"/>
  <c r="W735" i="1" s="1"/>
  <c r="W736" i="1" s="1"/>
  <c r="W737" i="1" s="1"/>
  <c r="W738" i="1" s="1"/>
  <c r="W739" i="1" s="1"/>
  <c r="W740" i="1" s="1"/>
  <c r="W741" i="1" s="1"/>
  <c r="W742" i="1" s="1"/>
  <c r="W743" i="1" s="1"/>
  <c r="W744" i="1" s="1"/>
  <c r="W745" i="1" s="1"/>
  <c r="W746" i="1" s="1"/>
  <c r="W747" i="1" s="1"/>
  <c r="W748" i="1" s="1"/>
  <c r="W749" i="1" s="1"/>
  <c r="W750" i="1" s="1"/>
  <c r="W751" i="1" s="1"/>
  <c r="W752" i="1" s="1"/>
  <c r="W753" i="1" s="1"/>
  <c r="W754" i="1" s="1"/>
  <c r="W755" i="1" s="1"/>
  <c r="W756" i="1" s="1"/>
  <c r="W757" i="1" s="1"/>
  <c r="W758" i="1" s="1"/>
  <c r="W759" i="1" s="1"/>
  <c r="W760" i="1" s="1"/>
  <c r="W761" i="1" s="1"/>
  <c r="W762" i="1" s="1"/>
  <c r="W763" i="1" s="1"/>
  <c r="W764" i="1" s="1"/>
  <c r="W765" i="1" s="1"/>
  <c r="W766" i="1" s="1"/>
  <c r="W767" i="1" s="1"/>
  <c r="W768" i="1" s="1"/>
  <c r="W769" i="1" s="1"/>
  <c r="W770" i="1" s="1"/>
  <c r="W771" i="1" s="1"/>
  <c r="W772" i="1" s="1"/>
  <c r="W773" i="1" s="1"/>
  <c r="W774" i="1" s="1"/>
  <c r="W775" i="1" s="1"/>
  <c r="W776" i="1" s="1"/>
  <c r="W777" i="1" s="1"/>
  <c r="W778" i="1" s="1"/>
  <c r="W779" i="1" s="1"/>
  <c r="W780" i="1" s="1"/>
  <c r="W781" i="1" s="1"/>
  <c r="W782" i="1" s="1"/>
  <c r="W783" i="1" s="1"/>
  <c r="W784" i="1" s="1"/>
  <c r="W785" i="1" s="1"/>
  <c r="W786" i="1" s="1"/>
  <c r="W787" i="1" s="1"/>
  <c r="W788" i="1" s="1"/>
  <c r="W789" i="1" s="1"/>
  <c r="W790" i="1" s="1"/>
  <c r="W791" i="1" s="1"/>
  <c r="W792" i="1" s="1"/>
  <c r="W793" i="1" s="1"/>
  <c r="W794" i="1" s="1"/>
  <c r="W795" i="1" s="1"/>
  <c r="W796" i="1" s="1"/>
  <c r="W797" i="1" s="1"/>
  <c r="W798" i="1" s="1"/>
  <c r="W799" i="1" s="1"/>
  <c r="W800" i="1" s="1"/>
  <c r="W801" i="1" s="1"/>
  <c r="W802" i="1" s="1"/>
  <c r="W803" i="1" s="1"/>
  <c r="W804" i="1" s="1"/>
  <c r="W805" i="1" s="1"/>
  <c r="W806" i="1" s="1"/>
  <c r="W807" i="1" s="1"/>
  <c r="W808" i="1" s="1"/>
  <c r="W809" i="1" s="1"/>
  <c r="W810" i="1" s="1"/>
  <c r="W811" i="1" s="1"/>
  <c r="W812" i="1" s="1"/>
  <c r="W813" i="1" s="1"/>
  <c r="W814" i="1" s="1"/>
  <c r="W815" i="1" s="1"/>
  <c r="W816" i="1" s="1"/>
  <c r="W817" i="1" s="1"/>
  <c r="W818" i="1" s="1"/>
  <c r="W819" i="1" s="1"/>
  <c r="W820" i="1" s="1"/>
  <c r="W821" i="1" s="1"/>
  <c r="W822" i="1" s="1"/>
  <c r="W823" i="1" s="1"/>
  <c r="W824" i="1" s="1"/>
  <c r="W825" i="1" s="1"/>
  <c r="W826" i="1" s="1"/>
  <c r="W827" i="1" s="1"/>
  <c r="W828" i="1" s="1"/>
  <c r="W829" i="1" s="1"/>
  <c r="W830" i="1" s="1"/>
  <c r="W831" i="1" s="1"/>
  <c r="W832" i="1" s="1"/>
  <c r="W833" i="1" s="1"/>
  <c r="W834" i="1" s="1"/>
  <c r="W835" i="1" s="1"/>
  <c r="W836" i="1" s="1"/>
  <c r="W837" i="1" s="1"/>
  <c r="W838" i="1" s="1"/>
  <c r="W839" i="1" s="1"/>
  <c r="W840" i="1" s="1"/>
  <c r="W841" i="1" s="1"/>
  <c r="W842" i="1" s="1"/>
  <c r="W843" i="1" s="1"/>
  <c r="W844" i="1" s="1"/>
  <c r="W845" i="1" s="1"/>
  <c r="W846" i="1" s="1"/>
  <c r="W847" i="1" s="1"/>
  <c r="W848" i="1" s="1"/>
  <c r="W849" i="1" s="1"/>
  <c r="W850" i="1" s="1"/>
  <c r="W851" i="1" s="1"/>
  <c r="W852" i="1" s="1"/>
  <c r="W853" i="1" s="1"/>
  <c r="W854" i="1" s="1"/>
  <c r="W855" i="1" s="1"/>
  <c r="W856" i="1" s="1"/>
  <c r="W857" i="1" s="1"/>
  <c r="W858" i="1" s="1"/>
  <c r="W859" i="1" s="1"/>
  <c r="W860" i="1" s="1"/>
  <c r="W861" i="1" s="1"/>
  <c r="W862" i="1" s="1"/>
  <c r="W863" i="1" s="1"/>
  <c r="W864" i="1" s="1"/>
  <c r="W865" i="1" s="1"/>
  <c r="W866" i="1" s="1"/>
  <c r="W867" i="1" s="1"/>
  <c r="W868" i="1" s="1"/>
  <c r="W869" i="1" s="1"/>
  <c r="W870" i="1" s="1"/>
  <c r="W871" i="1" s="1"/>
  <c r="W872" i="1" s="1"/>
  <c r="W873" i="1" s="1"/>
  <c r="W874" i="1" s="1"/>
  <c r="W875" i="1" s="1"/>
  <c r="W876" i="1" s="1"/>
  <c r="W877" i="1" s="1"/>
  <c r="W1741" i="1"/>
  <c r="W1742" i="1" s="1"/>
  <c r="W1743" i="1" s="1"/>
  <c r="W1744" i="1" s="1"/>
  <c r="W1745" i="1" s="1"/>
  <c r="W1746" i="1" s="1"/>
  <c r="W1747" i="1" s="1"/>
  <c r="W1748" i="1" s="1"/>
  <c r="W1749" i="1" s="1"/>
  <c r="W1750" i="1" s="1"/>
  <c r="W1751" i="1" s="1"/>
  <c r="W1752" i="1" s="1"/>
  <c r="W1753" i="1" s="1"/>
  <c r="W1754" i="1" s="1"/>
  <c r="W1755" i="1" s="1"/>
  <c r="W1756" i="1" s="1"/>
  <c r="W1757" i="1" s="1"/>
  <c r="W1758" i="1" s="1"/>
  <c r="W1759" i="1" s="1"/>
  <c r="W1760" i="1" s="1"/>
  <c r="W1761" i="1" s="1"/>
  <c r="W1762" i="1" s="1"/>
  <c r="W1763" i="1" s="1"/>
  <c r="W1764" i="1" s="1"/>
  <c r="W1765" i="1" s="1"/>
  <c r="W1766" i="1" s="1"/>
  <c r="W1767" i="1" s="1"/>
  <c r="W1768" i="1" s="1"/>
  <c r="W1769" i="1" s="1"/>
  <c r="X49" i="1"/>
  <c r="X50" i="1" s="1"/>
  <c r="X51" i="1" s="1"/>
  <c r="X52" i="1" s="1"/>
  <c r="X53" i="1" s="1"/>
  <c r="X55" i="1" s="1"/>
  <c r="X56" i="1" s="1"/>
  <c r="X57" i="1" s="1"/>
  <c r="X59" i="1" s="1"/>
  <c r="X61" i="1" s="1"/>
  <c r="X62" i="1" s="1"/>
  <c r="X63" i="1" s="1"/>
  <c r="X64" i="1" s="1"/>
  <c r="X66" i="1" s="1"/>
  <c r="X67" i="1" s="1"/>
  <c r="X68" i="1" s="1"/>
  <c r="X69" i="1" s="1"/>
  <c r="W3227" i="1"/>
  <c r="W1251" i="1"/>
  <c r="W1252" i="1" s="1"/>
  <c r="W1253" i="1" s="1"/>
  <c r="W1254" i="1" s="1"/>
  <c r="W1255" i="1" s="1"/>
  <c r="W1256" i="1" s="1"/>
  <c r="W2753" i="1" l="1"/>
  <c r="W2754" i="1" s="1"/>
  <c r="W2755" i="1" s="1"/>
  <c r="W2756" i="1" s="1"/>
  <c r="W2757" i="1" s="1"/>
  <c r="W2758" i="1" s="1"/>
  <c r="W878" i="1"/>
  <c r="W879" i="1" s="1"/>
  <c r="W880" i="1" s="1"/>
  <c r="W881" i="1" s="1"/>
  <c r="W882" i="1" s="1"/>
  <c r="W883" i="1" s="1"/>
  <c r="W884" i="1" s="1"/>
  <c r="W885" i="1" s="1"/>
  <c r="W886" i="1" s="1"/>
  <c r="W887" i="1" s="1"/>
  <c r="W888" i="1" s="1"/>
  <c r="W889" i="1" s="1"/>
  <c r="W890" i="1" s="1"/>
  <c r="W891" i="1" s="1"/>
  <c r="W892" i="1" s="1"/>
  <c r="W893" i="1" s="1"/>
  <c r="W894" i="1" s="1"/>
  <c r="W895" i="1" s="1"/>
  <c r="W896" i="1" s="1"/>
  <c r="W897" i="1" s="1"/>
  <c r="W898" i="1" s="1"/>
  <c r="W899" i="1" s="1"/>
  <c r="W900" i="1" s="1"/>
  <c r="W901" i="1" s="1"/>
  <c r="W902" i="1" s="1"/>
  <c r="W903" i="1" s="1"/>
  <c r="W904" i="1" s="1"/>
  <c r="W905" i="1" s="1"/>
  <c r="W906" i="1" s="1"/>
  <c r="W907" i="1" s="1"/>
  <c r="W908" i="1" s="1"/>
  <c r="W909" i="1" s="1"/>
  <c r="W910" i="1" s="1"/>
  <c r="W911" i="1" s="1"/>
  <c r="W912" i="1" s="1"/>
  <c r="W913" i="1" s="1"/>
  <c r="W914" i="1" s="1"/>
  <c r="W915" i="1" s="1"/>
  <c r="W916" i="1" s="1"/>
  <c r="W917" i="1" s="1"/>
  <c r="W918" i="1" s="1"/>
  <c r="W919" i="1" s="1"/>
  <c r="W920" i="1" s="1"/>
  <c r="W921" i="1" s="1"/>
  <c r="W922" i="1" s="1"/>
  <c r="W923" i="1" s="1"/>
  <c r="W924" i="1" s="1"/>
  <c r="W925" i="1" s="1"/>
  <c r="W926" i="1" s="1"/>
  <c r="W927" i="1" s="1"/>
  <c r="W928" i="1" s="1"/>
  <c r="W929" i="1" s="1"/>
  <c r="W930" i="1" s="1"/>
  <c r="W931" i="1" s="1"/>
  <c r="W932" i="1" s="1"/>
  <c r="W933" i="1" s="1"/>
  <c r="W934" i="1" s="1"/>
  <c r="W935" i="1" s="1"/>
  <c r="W936" i="1" s="1"/>
  <c r="W937" i="1" s="1"/>
  <c r="W938" i="1" s="1"/>
  <c r="W939" i="1" s="1"/>
  <c r="W940" i="1" s="1"/>
  <c r="W941" i="1" s="1"/>
  <c r="W942" i="1" s="1"/>
  <c r="W943" i="1" s="1"/>
  <c r="W944" i="1" s="1"/>
  <c r="W945" i="1" s="1"/>
  <c r="W946" i="1" s="1"/>
  <c r="W947" i="1" s="1"/>
  <c r="W948" i="1" s="1"/>
  <c r="W949" i="1" s="1"/>
  <c r="W950" i="1" s="1"/>
  <c r="W951" i="1" s="1"/>
  <c r="W952" i="1" s="1"/>
  <c r="W953" i="1" s="1"/>
  <c r="W954" i="1" s="1"/>
  <c r="W955" i="1" s="1"/>
  <c r="W956" i="1" s="1"/>
  <c r="W957" i="1" s="1"/>
  <c r="W958" i="1" s="1"/>
  <c r="W959" i="1" s="1"/>
  <c r="W960" i="1" s="1"/>
  <c r="W961" i="1" s="1"/>
  <c r="W962" i="1" s="1"/>
  <c r="W963" i="1" s="1"/>
  <c r="W964" i="1" s="1"/>
  <c r="W965" i="1" s="1"/>
  <c r="W966" i="1" s="1"/>
  <c r="W967" i="1" s="1"/>
  <c r="W968" i="1" s="1"/>
  <c r="W969" i="1" s="1"/>
  <c r="W970" i="1" s="1"/>
  <c r="W971" i="1" s="1"/>
  <c r="W972" i="1" s="1"/>
  <c r="W973" i="1" s="1"/>
  <c r="W974" i="1" s="1"/>
  <c r="W975" i="1" s="1"/>
  <c r="W976" i="1" s="1"/>
  <c r="W977" i="1" s="1"/>
  <c r="W978" i="1" s="1"/>
  <c r="W979" i="1" s="1"/>
  <c r="W980" i="1" s="1"/>
  <c r="W981" i="1" s="1"/>
  <c r="W982" i="1" s="1"/>
  <c r="W983" i="1" s="1"/>
  <c r="W984" i="1" s="1"/>
  <c r="W985" i="1" s="1"/>
  <c r="W986" i="1" s="1"/>
  <c r="W987" i="1" s="1"/>
  <c r="W988" i="1" s="1"/>
  <c r="W989" i="1" s="1"/>
  <c r="W990" i="1" s="1"/>
  <c r="W991" i="1" s="1"/>
  <c r="W992" i="1" s="1"/>
  <c r="W993" i="1" s="1"/>
  <c r="W994" i="1" s="1"/>
  <c r="W995" i="1" s="1"/>
  <c r="W996" i="1" s="1"/>
  <c r="W997" i="1" s="1"/>
  <c r="W998" i="1" s="1"/>
  <c r="W999" i="1" s="1"/>
  <c r="W1000" i="1" s="1"/>
  <c r="W1001" i="1" s="1"/>
  <c r="W1002" i="1" s="1"/>
  <c r="W1003" i="1" s="1"/>
  <c r="W1004" i="1" s="1"/>
  <c r="W1005" i="1" s="1"/>
  <c r="W1006" i="1" s="1"/>
  <c r="W1007" i="1" s="1"/>
  <c r="W1008" i="1" s="1"/>
  <c r="W1009" i="1" s="1"/>
  <c r="W1010" i="1" s="1"/>
  <c r="W3085" i="1"/>
  <c r="W3086" i="1" s="1"/>
  <c r="W3087" i="1" s="1"/>
  <c r="W3088" i="1" s="1"/>
  <c r="W3089" i="1" s="1"/>
  <c r="W3090" i="1" s="1"/>
  <c r="W3091" i="1" s="1"/>
  <c r="W3092" i="1" s="1"/>
  <c r="W3093" i="1" s="1"/>
  <c r="W3094" i="1" s="1"/>
  <c r="W3095" i="1" s="1"/>
  <c r="W1770" i="1"/>
  <c r="W1771" i="1" s="1"/>
  <c r="W1772" i="1" s="1"/>
  <c r="W1773" i="1" s="1"/>
  <c r="W1774" i="1" s="1"/>
  <c r="W1775" i="1" s="1"/>
  <c r="W1776" i="1" s="1"/>
  <c r="W1777" i="1" s="1"/>
  <c r="W1778" i="1" s="1"/>
  <c r="W1779" i="1" s="1"/>
  <c r="W1780" i="1" s="1"/>
  <c r="W1781" i="1" s="1"/>
  <c r="W1782" i="1" s="1"/>
  <c r="W1783" i="1" s="1"/>
  <c r="W1784" i="1" s="1"/>
  <c r="W1785" i="1" s="1"/>
  <c r="W1786" i="1" s="1"/>
  <c r="W1787" i="1" s="1"/>
  <c r="W1788" i="1" s="1"/>
  <c r="W1789" i="1" s="1"/>
  <c r="W1790" i="1" s="1"/>
  <c r="W1791" i="1" s="1"/>
  <c r="W1792" i="1" s="1"/>
  <c r="W1793" i="1" s="1"/>
  <c r="W1794" i="1" s="1"/>
  <c r="W1795" i="1" s="1"/>
  <c r="W1796" i="1" s="1"/>
  <c r="W1797" i="1" s="1"/>
  <c r="W1798" i="1" s="1"/>
  <c r="W1799" i="1" s="1"/>
  <c r="W1800" i="1" s="1"/>
  <c r="W1801" i="1" s="1"/>
  <c r="W1802" i="1" s="1"/>
  <c r="W1803" i="1" s="1"/>
  <c r="W1804" i="1" s="1"/>
  <c r="W1805" i="1" s="1"/>
  <c r="W1806" i="1" s="1"/>
  <c r="W1807" i="1" s="1"/>
  <c r="W1808" i="1" s="1"/>
  <c r="W1809" i="1" s="1"/>
  <c r="W1810" i="1" s="1"/>
  <c r="W1811" i="1" s="1"/>
  <c r="W1257" i="1"/>
  <c r="W1258" i="1" s="1"/>
  <c r="W1259" i="1" s="1"/>
  <c r="W1260" i="1" s="1"/>
  <c r="W1261" i="1" s="1"/>
  <c r="W1262" i="1" s="1"/>
  <c r="W1263" i="1" s="1"/>
  <c r="W1264" i="1" s="1"/>
  <c r="W1265" i="1" s="1"/>
  <c r="W1266" i="1" s="1"/>
  <c r="W1267" i="1" s="1"/>
  <c r="W1268" i="1" s="1"/>
  <c r="W1269" i="1" s="1"/>
  <c r="W1270" i="1" s="1"/>
  <c r="W1271" i="1" s="1"/>
  <c r="W1272" i="1" s="1"/>
  <c r="W1273" i="1" s="1"/>
  <c r="W1274" i="1" s="1"/>
  <c r="W1275" i="1" s="1"/>
  <c r="W1276" i="1" s="1"/>
  <c r="W1277" i="1" s="1"/>
  <c r="W1278" i="1" s="1"/>
  <c r="W1279" i="1" s="1"/>
  <c r="W1280" i="1" s="1"/>
  <c r="W1281" i="1" s="1"/>
  <c r="W1282" i="1" s="1"/>
  <c r="W1283" i="1" s="1"/>
  <c r="W1284" i="1" s="1"/>
  <c r="W1285" i="1" s="1"/>
  <c r="W1286" i="1" s="1"/>
  <c r="W1287" i="1" s="1"/>
  <c r="W1288" i="1" s="1"/>
  <c r="W1289" i="1" s="1"/>
  <c r="W1290" i="1" s="1"/>
  <c r="W1291" i="1" s="1"/>
  <c r="W1292" i="1" s="1"/>
  <c r="W1293" i="1" s="1"/>
  <c r="W1294" i="1" s="1"/>
  <c r="W1295" i="1" s="1"/>
  <c r="W1296" i="1" s="1"/>
  <c r="W1297" i="1" s="1"/>
  <c r="W1298" i="1" s="1"/>
  <c r="W1299" i="1" s="1"/>
  <c r="W1300" i="1" s="1"/>
  <c r="W1301" i="1" s="1"/>
  <c r="W1302" i="1" s="1"/>
  <c r="W1303" i="1" s="1"/>
  <c r="W1304" i="1" s="1"/>
  <c r="W1305" i="1" s="1"/>
  <c r="W1306" i="1" s="1"/>
  <c r="W1307" i="1" s="1"/>
  <c r="W1308" i="1" s="1"/>
  <c r="W1309" i="1" s="1"/>
  <c r="W1310" i="1" s="1"/>
  <c r="W1311" i="1" s="1"/>
  <c r="W1312" i="1" s="1"/>
  <c r="W1137" i="1"/>
  <c r="X71" i="1"/>
  <c r="X72" i="1" s="1"/>
  <c r="X73" i="1" s="1"/>
  <c r="X75" i="1" s="1"/>
  <c r="X77" i="1" s="1"/>
  <c r="X78" i="1" s="1"/>
  <c r="X79" i="1" s="1"/>
  <c r="X81" i="1" s="1"/>
  <c r="X82" i="1" s="1"/>
  <c r="X83" i="1" s="1"/>
  <c r="X85" i="1" s="1"/>
  <c r="X86" i="1" s="1"/>
  <c r="X87" i="1" s="1"/>
  <c r="X88" i="1" s="1"/>
  <c r="X89" i="1" s="1"/>
  <c r="X90" i="1" s="1"/>
  <c r="X91" i="1" s="1"/>
  <c r="X92" i="1" s="1"/>
  <c r="X93" i="1" s="1"/>
  <c r="X94" i="1" s="1"/>
  <c r="X95" i="1" s="1"/>
  <c r="X96" i="1" s="1"/>
  <c r="X97" i="1" s="1"/>
  <c r="X98" i="1" s="1"/>
  <c r="X99" i="1" s="1"/>
  <c r="X100" i="1" s="1"/>
  <c r="X101" i="1" s="1"/>
  <c r="X102" i="1" s="1"/>
  <c r="X103" i="1" s="1"/>
  <c r="X104" i="1" s="1"/>
  <c r="X105" i="1" s="1"/>
  <c r="X106" i="1" s="1"/>
  <c r="X107" i="1" s="1"/>
  <c r="X108" i="1" s="1"/>
  <c r="X109" i="1" s="1"/>
  <c r="X110" i="1" s="1"/>
  <c r="X111" i="1" s="1"/>
  <c r="X112" i="1" s="1"/>
  <c r="X113" i="1" s="1"/>
  <c r="X114" i="1" s="1"/>
  <c r="X115" i="1" s="1"/>
  <c r="X116" i="1" s="1"/>
  <c r="X117" i="1" s="1"/>
  <c r="X118" i="1" s="1"/>
  <c r="X119" i="1" s="1"/>
  <c r="X120" i="1" s="1"/>
  <c r="X121" i="1" s="1"/>
  <c r="X122" i="1" s="1"/>
  <c r="X123" i="1" s="1"/>
  <c r="X124" i="1" s="1"/>
  <c r="X125" i="1" s="1"/>
  <c r="X126" i="1" s="1"/>
  <c r="X127" i="1" s="1"/>
  <c r="X128" i="1" s="1"/>
  <c r="X129" i="1" s="1"/>
  <c r="X130" i="1" s="1"/>
  <c r="X131" i="1" s="1"/>
  <c r="X132" i="1" s="1"/>
  <c r="X133" i="1" s="1"/>
  <c r="X134" i="1" s="1"/>
  <c r="X135" i="1" s="1"/>
  <c r="X136" i="1" s="1"/>
  <c r="X137" i="1" s="1"/>
  <c r="X138" i="1" s="1"/>
  <c r="X139" i="1" s="1"/>
  <c r="X140" i="1" s="1"/>
  <c r="X141" i="1" s="1"/>
  <c r="X142" i="1" s="1"/>
  <c r="X143" i="1" s="1"/>
  <c r="X144" i="1" s="1"/>
  <c r="X145" i="1" s="1"/>
  <c r="X146" i="1" s="1"/>
  <c r="X147" i="1" s="1"/>
  <c r="X148" i="1" s="1"/>
  <c r="X149" i="1" s="1"/>
  <c r="X150" i="1" s="1"/>
  <c r="X151" i="1" s="1"/>
  <c r="X152" i="1" s="1"/>
  <c r="X153" i="1" s="1"/>
  <c r="X154" i="1" s="1"/>
  <c r="X155" i="1" s="1"/>
  <c r="X156" i="1" s="1"/>
  <c r="X157" i="1" s="1"/>
  <c r="X158" i="1" s="1"/>
  <c r="X159" i="1" s="1"/>
  <c r="X160" i="1" s="1"/>
  <c r="X161" i="1" s="1"/>
  <c r="X162" i="1" s="1"/>
  <c r="X163" i="1" s="1"/>
  <c r="X164" i="1" s="1"/>
  <c r="X165" i="1" s="1"/>
  <c r="X166" i="1" s="1"/>
  <c r="X167" i="1" s="1"/>
  <c r="X168" i="1" s="1"/>
  <c r="X169" i="1" s="1"/>
  <c r="X170" i="1" s="1"/>
  <c r="X171" i="1" s="1"/>
  <c r="X172" i="1" s="1"/>
  <c r="X173" i="1" s="1"/>
  <c r="X174" i="1" s="1"/>
  <c r="X175" i="1" s="1"/>
  <c r="X176" i="1" s="1"/>
  <c r="X177" i="1" s="1"/>
  <c r="X178" i="1" s="1"/>
  <c r="X179" i="1" s="1"/>
  <c r="X180" i="1" s="1"/>
  <c r="X181" i="1" s="1"/>
  <c r="X182" i="1" s="1"/>
  <c r="X183" i="1" s="1"/>
  <c r="X184" i="1" s="1"/>
  <c r="X185" i="1" s="1"/>
  <c r="X186" i="1" s="1"/>
  <c r="X187" i="1" s="1"/>
  <c r="X188" i="1" s="1"/>
  <c r="X189" i="1" s="1"/>
  <c r="X190" i="1" s="1"/>
  <c r="X191" i="1" s="1"/>
  <c r="X192" i="1" s="1"/>
  <c r="X193" i="1" s="1"/>
  <c r="X194" i="1" s="1"/>
  <c r="X195" i="1" s="1"/>
  <c r="X196" i="1" s="1"/>
  <c r="X197" i="1" s="1"/>
  <c r="X198" i="1" s="1"/>
  <c r="X199" i="1" s="1"/>
  <c r="X200" i="1" s="1"/>
  <c r="X201" i="1" s="1"/>
  <c r="X202" i="1" s="1"/>
  <c r="X203" i="1" s="1"/>
  <c r="X204" i="1" s="1"/>
  <c r="X205" i="1" s="1"/>
  <c r="X206" i="1" s="1"/>
  <c r="X207" i="1" s="1"/>
  <c r="X208" i="1" s="1"/>
  <c r="X209" i="1" s="1"/>
  <c r="X210" i="1" s="1"/>
  <c r="X211" i="1" s="1"/>
  <c r="X212" i="1" s="1"/>
  <c r="X213" i="1" s="1"/>
  <c r="X214" i="1" s="1"/>
  <c r="X215" i="1" s="1"/>
  <c r="X216" i="1" s="1"/>
  <c r="X217" i="1" s="1"/>
  <c r="X218" i="1" s="1"/>
  <c r="X219" i="1" s="1"/>
  <c r="X220" i="1" s="1"/>
  <c r="W3228" i="1"/>
  <c r="X221" i="1" l="1"/>
  <c r="X222" i="1" s="1"/>
  <c r="X223" i="1" s="1"/>
  <c r="X224" i="1" s="1"/>
  <c r="X225" i="1" s="1"/>
  <c r="X226" i="1" s="1"/>
  <c r="X227" i="1" s="1"/>
  <c r="X228" i="1" s="1"/>
  <c r="X229" i="1" s="1"/>
  <c r="X230" i="1" s="1"/>
  <c r="X231" i="1" s="1"/>
  <c r="X232" i="1" s="1"/>
  <c r="X233" i="1" s="1"/>
  <c r="X234" i="1" s="1"/>
  <c r="X235" i="1" s="1"/>
  <c r="X236" i="1" s="1"/>
  <c r="X237" i="1" s="1"/>
  <c r="X238" i="1" s="1"/>
  <c r="X239" i="1" s="1"/>
  <c r="X240" i="1" s="1"/>
  <c r="X241" i="1" s="1"/>
  <c r="X242" i="1" s="1"/>
  <c r="X243" i="1" s="1"/>
  <c r="X244" i="1" s="1"/>
  <c r="X245" i="1" s="1"/>
  <c r="X246" i="1" s="1"/>
  <c r="X247" i="1" s="1"/>
  <c r="X248" i="1" s="1"/>
  <c r="X249" i="1" s="1"/>
  <c r="X250" i="1" s="1"/>
  <c r="X251" i="1" s="1"/>
  <c r="X252" i="1" s="1"/>
  <c r="X253" i="1" s="1"/>
  <c r="X254" i="1" s="1"/>
  <c r="X255" i="1" s="1"/>
  <c r="X256" i="1" s="1"/>
  <c r="X257" i="1" s="1"/>
  <c r="X258" i="1" s="1"/>
  <c r="X259" i="1" s="1"/>
  <c r="X260" i="1" s="1"/>
  <c r="X261" i="1" s="1"/>
  <c r="X262" i="1" s="1"/>
  <c r="X263" i="1" s="1"/>
  <c r="X264" i="1" s="1"/>
  <c r="X265" i="1" s="1"/>
  <c r="X266" i="1" s="1"/>
  <c r="X267" i="1" s="1"/>
  <c r="X268" i="1" s="1"/>
  <c r="X269" i="1" s="1"/>
  <c r="X270" i="1" s="1"/>
  <c r="X271" i="1" s="1"/>
  <c r="X272" i="1" s="1"/>
  <c r="X273" i="1" s="1"/>
  <c r="X274" i="1" s="1"/>
  <c r="X275" i="1" s="1"/>
  <c r="X276" i="1" s="1"/>
  <c r="X277" i="1" s="1"/>
  <c r="X278" i="1" s="1"/>
  <c r="X279" i="1" s="1"/>
  <c r="X280" i="1" s="1"/>
  <c r="X281" i="1" s="1"/>
  <c r="X282" i="1" s="1"/>
  <c r="X283" i="1" s="1"/>
  <c r="X284" i="1" s="1"/>
  <c r="X285" i="1" s="1"/>
  <c r="X286" i="1" s="1"/>
  <c r="X287" i="1" s="1"/>
  <c r="X288" i="1" s="1"/>
  <c r="X289" i="1" s="1"/>
  <c r="X290" i="1" s="1"/>
  <c r="X291" i="1" s="1"/>
  <c r="X292" i="1" s="1"/>
  <c r="X293" i="1" s="1"/>
  <c r="X294" i="1" s="1"/>
  <c r="X295" i="1" s="1"/>
  <c r="X296" i="1" s="1"/>
  <c r="X297" i="1" s="1"/>
  <c r="X298" i="1" s="1"/>
  <c r="X299" i="1" s="1"/>
  <c r="X300" i="1" s="1"/>
  <c r="X301" i="1" s="1"/>
  <c r="X302" i="1" s="1"/>
  <c r="X303" i="1" s="1"/>
  <c r="X304" i="1" s="1"/>
  <c r="X305" i="1" s="1"/>
  <c r="X306" i="1" s="1"/>
  <c r="X307" i="1" s="1"/>
  <c r="X308" i="1" s="1"/>
  <c r="X309" i="1" s="1"/>
  <c r="X310" i="1" s="1"/>
  <c r="X311" i="1" s="1"/>
  <c r="X312" i="1" s="1"/>
  <c r="X313" i="1" s="1"/>
  <c r="X314" i="1" s="1"/>
  <c r="X315" i="1" s="1"/>
  <c r="X316" i="1" s="1"/>
  <c r="X317" i="1" s="1"/>
  <c r="X318" i="1" s="1"/>
  <c r="X319" i="1" s="1"/>
  <c r="X320" i="1" s="1"/>
  <c r="X321" i="1" s="1"/>
  <c r="X322" i="1" s="1"/>
  <c r="X323" i="1" s="1"/>
  <c r="X324" i="1" s="1"/>
  <c r="X325" i="1" s="1"/>
  <c r="X326" i="1" s="1"/>
  <c r="X327" i="1" s="1"/>
  <c r="X328" i="1" s="1"/>
  <c r="X329" i="1" s="1"/>
  <c r="X330" i="1" s="1"/>
  <c r="X331" i="1" s="1"/>
  <c r="X332" i="1" s="1"/>
  <c r="X333" i="1" s="1"/>
  <c r="X334" i="1" s="1"/>
  <c r="X335" i="1" s="1"/>
  <c r="X336" i="1" s="1"/>
  <c r="X337" i="1" s="1"/>
  <c r="X338" i="1" s="1"/>
  <c r="X339" i="1" s="1"/>
  <c r="X340" i="1" s="1"/>
  <c r="X341" i="1" s="1"/>
  <c r="X342" i="1" s="1"/>
  <c r="X343" i="1" s="1"/>
  <c r="X344" i="1" s="1"/>
  <c r="X345" i="1" s="1"/>
  <c r="X346" i="1" s="1"/>
  <c r="X347" i="1" s="1"/>
  <c r="X348" i="1" s="1"/>
  <c r="X349" i="1" s="1"/>
  <c r="X350" i="1" s="1"/>
  <c r="X351" i="1" s="1"/>
  <c r="X352" i="1" s="1"/>
  <c r="X353" i="1" s="1"/>
  <c r="X354" i="1" s="1"/>
  <c r="X355" i="1" s="1"/>
  <c r="X356" i="1" s="1"/>
  <c r="X357" i="1" s="1"/>
  <c r="X358" i="1" s="1"/>
  <c r="X359" i="1" s="1"/>
  <c r="X360" i="1" s="1"/>
  <c r="X361" i="1" s="1"/>
  <c r="X362" i="1" s="1"/>
  <c r="X363" i="1" s="1"/>
  <c r="X364" i="1" s="1"/>
  <c r="X365" i="1" s="1"/>
  <c r="X366" i="1" s="1"/>
  <c r="X367" i="1" s="1"/>
  <c r="X368" i="1" s="1"/>
  <c r="X369" i="1" s="1"/>
  <c r="X370" i="1" s="1"/>
  <c r="X371" i="1" s="1"/>
  <c r="X372" i="1" s="1"/>
  <c r="X373" i="1" s="1"/>
  <c r="X374" i="1" s="1"/>
  <c r="X375" i="1" s="1"/>
  <c r="X376" i="1" s="1"/>
  <c r="X377" i="1" s="1"/>
  <c r="X378" i="1" s="1"/>
  <c r="X379" i="1" s="1"/>
  <c r="X380" i="1" s="1"/>
  <c r="X381" i="1" s="1"/>
  <c r="X382" i="1" s="1"/>
  <c r="X383" i="1" s="1"/>
  <c r="X384" i="1" s="1"/>
  <c r="X385" i="1" s="1"/>
  <c r="X386" i="1" s="1"/>
  <c r="X387" i="1" s="1"/>
  <c r="X388" i="1" s="1"/>
  <c r="X389" i="1" s="1"/>
  <c r="X390" i="1" s="1"/>
  <c r="X391" i="1" s="1"/>
  <c r="X392" i="1" s="1"/>
  <c r="X393" i="1" s="1"/>
  <c r="X394" i="1" s="1"/>
  <c r="X395" i="1" s="1"/>
  <c r="X396" i="1" s="1"/>
  <c r="X397" i="1" s="1"/>
  <c r="X398" i="1" s="1"/>
  <c r="X399" i="1" s="1"/>
  <c r="X400" i="1" s="1"/>
  <c r="X401" i="1" s="1"/>
  <c r="X402" i="1" s="1"/>
  <c r="X403" i="1" s="1"/>
  <c r="W1812" i="1"/>
  <c r="W1813" i="1" s="1"/>
  <c r="W1814" i="1" s="1"/>
  <c r="W1815" i="1" s="1"/>
  <c r="W1816" i="1" s="1"/>
  <c r="W1817" i="1" s="1"/>
  <c r="W1818" i="1" s="1"/>
  <c r="W1819" i="1" s="1"/>
  <c r="W1820" i="1" s="1"/>
  <c r="W1821" i="1" s="1"/>
  <c r="W1822" i="1" s="1"/>
  <c r="W1823" i="1" s="1"/>
  <c r="W1824" i="1" s="1"/>
  <c r="W1825" i="1" s="1"/>
  <c r="W1826" i="1" s="1"/>
  <c r="W1827" i="1" s="1"/>
  <c r="W1828" i="1" s="1"/>
  <c r="W1829" i="1" s="1"/>
  <c r="W1830" i="1" s="1"/>
  <c r="W1831" i="1" s="1"/>
  <c r="W1832" i="1" s="1"/>
  <c r="W1833" i="1" s="1"/>
  <c r="W1834" i="1" s="1"/>
  <c r="W1835" i="1" s="1"/>
  <c r="W1836" i="1" s="1"/>
  <c r="W1837" i="1" s="1"/>
  <c r="W1838" i="1" s="1"/>
  <c r="W1839" i="1" s="1"/>
  <c r="W1840" i="1" s="1"/>
  <c r="W1841" i="1" s="1"/>
  <c r="W1842" i="1" s="1"/>
  <c r="W1843" i="1" s="1"/>
  <c r="W1844" i="1" s="1"/>
  <c r="W1845" i="1" s="1"/>
  <c r="W1846" i="1" s="1"/>
  <c r="W2759" i="1"/>
  <c r="W2760" i="1" s="1"/>
  <c r="W2761" i="1" s="1"/>
  <c r="W2762" i="1" s="1"/>
  <c r="W2763" i="1" s="1"/>
  <c r="W2764" i="1" s="1"/>
  <c r="W2765" i="1" s="1"/>
  <c r="W2766" i="1" s="1"/>
  <c r="W1011" i="1"/>
  <c r="W1012" i="1" s="1"/>
  <c r="W1013" i="1" s="1"/>
  <c r="W1014" i="1" s="1"/>
  <c r="W1015" i="1" s="1"/>
  <c r="W1016" i="1" s="1"/>
  <c r="W1017" i="1" s="1"/>
  <c r="W1018" i="1" s="1"/>
  <c r="W1019" i="1" s="1"/>
  <c r="W1020" i="1" s="1"/>
  <c r="W1021" i="1" s="1"/>
  <c r="W1022" i="1" s="1"/>
  <c r="W1023" i="1" s="1"/>
  <c r="W1024" i="1" s="1"/>
  <c r="W1025" i="1" s="1"/>
  <c r="W1026" i="1" s="1"/>
  <c r="W1027" i="1" s="1"/>
  <c r="W1028" i="1" s="1"/>
  <c r="W1029" i="1" s="1"/>
  <c r="W1030" i="1" s="1"/>
  <c r="W1031" i="1" s="1"/>
  <c r="W1032" i="1" s="1"/>
  <c r="W1033" i="1" s="1"/>
  <c r="W1034" i="1" s="1"/>
  <c r="W1035" i="1" s="1"/>
  <c r="W1036" i="1" s="1"/>
  <c r="W1037" i="1" s="1"/>
  <c r="W1038" i="1" s="1"/>
  <c r="W1039" i="1" s="1"/>
  <c r="W1040" i="1" s="1"/>
  <c r="W1041" i="1" s="1"/>
  <c r="W1042" i="1" s="1"/>
  <c r="W1043" i="1" s="1"/>
  <c r="W1044" i="1" s="1"/>
  <c r="W1045" i="1" s="1"/>
  <c r="W1046" i="1" s="1"/>
  <c r="W1047" i="1" s="1"/>
  <c r="W1048" i="1" s="1"/>
  <c r="W1049" i="1" s="1"/>
  <c r="W1050" i="1" s="1"/>
  <c r="W1051" i="1" s="1"/>
  <c r="W1052" i="1" s="1"/>
  <c r="W1053" i="1" s="1"/>
  <c r="W1054" i="1" s="1"/>
  <c r="W1055" i="1" s="1"/>
  <c r="W1056" i="1" s="1"/>
  <c r="W1057" i="1" s="1"/>
  <c r="W1058" i="1" s="1"/>
  <c r="W1059" i="1" s="1"/>
  <c r="W1060" i="1" s="1"/>
  <c r="W1061" i="1" s="1"/>
  <c r="W1062" i="1" s="1"/>
  <c r="W1063" i="1" s="1"/>
  <c r="W1064" i="1" s="1"/>
  <c r="W1065" i="1" s="1"/>
  <c r="W1066" i="1" s="1"/>
  <c r="W1067" i="1" s="1"/>
  <c r="W1068" i="1" s="1"/>
  <c r="W1069" i="1" s="1"/>
  <c r="W1070" i="1" s="1"/>
  <c r="W1071" i="1" s="1"/>
  <c r="W1072" i="1" s="1"/>
  <c r="W1073" i="1" s="1"/>
  <c r="W1074" i="1" s="1"/>
  <c r="W1075" i="1" s="1"/>
  <c r="W1076" i="1" s="1"/>
  <c r="W1077" i="1" s="1"/>
  <c r="W1078" i="1" s="1"/>
  <c r="W1079" i="1" s="1"/>
  <c r="W1080" i="1" s="1"/>
  <c r="W1081" i="1" s="1"/>
  <c r="W1082" i="1" s="1"/>
  <c r="W1083" i="1" s="1"/>
  <c r="W1084" i="1" s="1"/>
  <c r="W1085" i="1" s="1"/>
  <c r="W1086" i="1" s="1"/>
  <c r="W1087" i="1" s="1"/>
  <c r="W1088" i="1" s="1"/>
  <c r="W1089" i="1" s="1"/>
  <c r="W1090" i="1" s="1"/>
  <c r="W1091" i="1" s="1"/>
  <c r="W1092" i="1" s="1"/>
  <c r="W1093" i="1" s="1"/>
  <c r="W1094" i="1" s="1"/>
  <c r="W1095" i="1" s="1"/>
  <c r="W1096" i="1" s="1"/>
  <c r="W1097" i="1" s="1"/>
  <c r="W1098" i="1" s="1"/>
  <c r="W1099" i="1" s="1"/>
  <c r="W1100" i="1" s="1"/>
  <c r="W1101" i="1" s="1"/>
  <c r="W1102" i="1" s="1"/>
  <c r="W1138" i="1"/>
  <c r="W1139" i="1" s="1"/>
  <c r="W1140" i="1" s="1"/>
  <c r="W1141" i="1" s="1"/>
  <c r="W1142" i="1" s="1"/>
  <c r="W1143" i="1" s="1"/>
  <c r="W1144" i="1" s="1"/>
  <c r="W1145" i="1" s="1"/>
  <c r="W1146" i="1" s="1"/>
  <c r="W1147" i="1" s="1"/>
  <c r="W1313" i="1"/>
  <c r="W1314" i="1" s="1"/>
  <c r="W1315" i="1" s="1"/>
  <c r="W1316" i="1" s="1"/>
  <c r="W3229" i="1"/>
  <c r="W3230" i="1" s="1"/>
  <c r="W1847" i="1" l="1"/>
  <c r="W1848" i="1" s="1"/>
  <c r="W1849" i="1" s="1"/>
  <c r="W1850" i="1" s="1"/>
  <c r="W1851" i="1" s="1"/>
  <c r="W1852" i="1" s="1"/>
  <c r="W2767" i="1"/>
  <c r="W2768" i="1" s="1"/>
  <c r="W2769" i="1" s="1"/>
  <c r="W2770" i="1" s="1"/>
  <c r="W2771" i="1" s="1"/>
  <c r="W2772" i="1" s="1"/>
  <c r="W2773" i="1" s="1"/>
  <c r="W2774" i="1" s="1"/>
  <c r="W2775" i="1" s="1"/>
  <c r="W2776" i="1" s="1"/>
  <c r="W2777" i="1" s="1"/>
  <c r="W2778" i="1" s="1"/>
  <c r="W2779" i="1" s="1"/>
  <c r="W2780" i="1" s="1"/>
  <c r="W2781" i="1" s="1"/>
  <c r="W2782" i="1" s="1"/>
  <c r="W2783" i="1" s="1"/>
  <c r="W2784" i="1" s="1"/>
  <c r="W1103" i="1"/>
  <c r="W1104" i="1" s="1"/>
  <c r="W1105" i="1" s="1"/>
  <c r="W1106" i="1" s="1"/>
  <c r="W1107" i="1" s="1"/>
  <c r="W1108" i="1" s="1"/>
  <c r="W1109" i="1" s="1"/>
  <c r="W1110" i="1" s="1"/>
  <c r="W1111" i="1" s="1"/>
  <c r="W1112" i="1" s="1"/>
  <c r="W1113" i="1" s="1"/>
  <c r="W1114" i="1" s="1"/>
  <c r="W3231" i="1"/>
  <c r="W3232" i="1" s="1"/>
  <c r="W3233" i="1" s="1"/>
  <c r="W3234" i="1" s="1"/>
  <c r="W1853" i="1" l="1"/>
  <c r="W1854" i="1" s="1"/>
  <c r="W1855" i="1" s="1"/>
  <c r="W1856" i="1" s="1"/>
  <c r="W1857" i="1" s="1"/>
  <c r="W1858" i="1" s="1"/>
  <c r="W1859" i="1" s="1"/>
  <c r="W1860" i="1" s="1"/>
  <c r="W1861" i="1" s="1"/>
  <c r="W1862" i="1" s="1"/>
  <c r="W1863" i="1" s="1"/>
  <c r="W1864" i="1" s="1"/>
  <c r="W1865" i="1" s="1"/>
  <c r="W1866" i="1" s="1"/>
  <c r="W1867" i="1" s="1"/>
  <c r="W1868" i="1" s="1"/>
  <c r="W1869" i="1" s="1"/>
  <c r="W1870" i="1" s="1"/>
  <c r="W1871" i="1" s="1"/>
  <c r="W1872" i="1" s="1"/>
  <c r="W1873" i="1" s="1"/>
  <c r="W1874" i="1" s="1"/>
  <c r="W3235" i="1"/>
  <c r="W3236" i="1" s="1"/>
  <c r="W3237" i="1" s="1"/>
  <c r="W2785" i="1"/>
  <c r="W2786" i="1" s="1"/>
  <c r="W2787" i="1" s="1"/>
  <c r="W2788" i="1" s="1"/>
  <c r="W2789" i="1" s="1"/>
  <c r="W2790" i="1" s="1"/>
  <c r="W2791" i="1" s="1"/>
  <c r="W2792" i="1" s="1"/>
  <c r="W2793" i="1" s="1"/>
  <c r="W2794" i="1" s="1"/>
  <c r="W1115" i="1"/>
  <c r="W1116" i="1" s="1"/>
  <c r="W1117" i="1" s="1"/>
  <c r="W1118" i="1" s="1"/>
  <c r="W1119" i="1" s="1"/>
  <c r="W1875" i="1" l="1"/>
  <c r="W1876" i="1" s="1"/>
  <c r="W1877" i="1" s="1"/>
  <c r="W1878" i="1" s="1"/>
  <c r="W1879" i="1" s="1"/>
  <c r="W1880" i="1" s="1"/>
  <c r="W1881" i="1" s="1"/>
  <c r="W1882" i="1" s="1"/>
  <c r="W1883" i="1" s="1"/>
  <c r="W1884" i="1" s="1"/>
  <c r="W1885" i="1" s="1"/>
  <c r="W1886" i="1" s="1"/>
  <c r="W1887" i="1" s="1"/>
  <c r="W1888" i="1" s="1"/>
  <c r="W1889" i="1" s="1"/>
  <c r="W1890" i="1" s="1"/>
  <c r="W1891" i="1" s="1"/>
  <c r="W1892" i="1" s="1"/>
  <c r="W1893" i="1" s="1"/>
  <c r="W1894" i="1" s="1"/>
  <c r="W1895" i="1" s="1"/>
  <c r="W1896" i="1" s="1"/>
  <c r="W1897" i="1" s="1"/>
  <c r="W1898" i="1" s="1"/>
  <c r="W1899" i="1" s="1"/>
  <c r="W1900" i="1" s="1"/>
  <c r="W1901" i="1" s="1"/>
  <c r="W1902" i="1" s="1"/>
  <c r="W1903" i="1" s="1"/>
  <c r="W1904" i="1" s="1"/>
  <c r="W1905" i="1" s="1"/>
  <c r="W1906" i="1" s="1"/>
  <c r="W1907" i="1" s="1"/>
  <c r="W1908" i="1" s="1"/>
  <c r="W1909" i="1" s="1"/>
  <c r="W1910" i="1" s="1"/>
  <c r="W1911" i="1" s="1"/>
  <c r="W1912" i="1" s="1"/>
  <c r="W1913" i="1" s="1"/>
  <c r="W1914" i="1" s="1"/>
  <c r="W1915" i="1" s="1"/>
  <c r="W1916" i="1" s="1"/>
  <c r="W1917" i="1" s="1"/>
  <c r="W1918" i="1" s="1"/>
  <c r="W1919" i="1" s="1"/>
  <c r="W1920" i="1" s="1"/>
  <c r="W1921" i="1" s="1"/>
  <c r="W1922" i="1" s="1"/>
  <c r="W1923" i="1" s="1"/>
  <c r="W1924" i="1" s="1"/>
  <c r="W1925" i="1" s="1"/>
  <c r="W1926" i="1" s="1"/>
  <c r="W1927" i="1" s="1"/>
  <c r="W1928" i="1" s="1"/>
  <c r="W1929" i="1" s="1"/>
  <c r="W1930" i="1" s="1"/>
  <c r="W1931" i="1" s="1"/>
  <c r="W1932" i="1" s="1"/>
  <c r="W1933" i="1" s="1"/>
  <c r="W1934" i="1" s="1"/>
  <c r="W1935" i="1" s="1"/>
  <c r="W1936" i="1" s="1"/>
  <c r="W1937" i="1" s="1"/>
  <c r="W1938" i="1" s="1"/>
  <c r="W1939" i="1" s="1"/>
  <c r="W1940" i="1" s="1"/>
  <c r="W1941" i="1" s="1"/>
  <c r="W1942" i="1" s="1"/>
  <c r="W1943" i="1" s="1"/>
  <c r="W1944" i="1" s="1"/>
  <c r="W1945" i="1" s="1"/>
  <c r="W1946" i="1" s="1"/>
  <c r="W1947" i="1" s="1"/>
  <c r="W1948" i="1" s="1"/>
  <c r="W1949" i="1" s="1"/>
  <c r="W1950" i="1" s="1"/>
  <c r="W1951" i="1" s="1"/>
  <c r="W1952" i="1" s="1"/>
  <c r="W1953" i="1" s="1"/>
  <c r="W1954" i="1" s="1"/>
  <c r="W1955" i="1" s="1"/>
  <c r="W1956" i="1" s="1"/>
  <c r="W1957" i="1" s="1"/>
  <c r="W1958" i="1" s="1"/>
  <c r="W1959" i="1" s="1"/>
  <c r="W1960" i="1" s="1"/>
  <c r="W1961" i="1" s="1"/>
  <c r="W1962" i="1" s="1"/>
  <c r="W1963" i="1" s="1"/>
  <c r="W1964" i="1" s="1"/>
  <c r="W1965" i="1" s="1"/>
  <c r="W1966" i="1" s="1"/>
  <c r="W1967" i="1" s="1"/>
  <c r="W1968" i="1" s="1"/>
  <c r="W1969" i="1" s="1"/>
  <c r="W1970" i="1" s="1"/>
  <c r="W1971" i="1" s="1"/>
  <c r="W1972" i="1" s="1"/>
  <c r="W1973" i="1" s="1"/>
  <c r="W1974" i="1" s="1"/>
  <c r="W1975" i="1" s="1"/>
  <c r="W1976" i="1" s="1"/>
  <c r="W1977" i="1" s="1"/>
  <c r="W1978" i="1" s="1"/>
  <c r="W1979" i="1" s="1"/>
  <c r="W1980" i="1" s="1"/>
  <c r="W1981" i="1" s="1"/>
  <c r="W1982" i="1" s="1"/>
  <c r="W1983" i="1" s="1"/>
  <c r="W1984" i="1" s="1"/>
  <c r="W1985" i="1" s="1"/>
  <c r="W1986" i="1" s="1"/>
  <c r="W1987" i="1" s="1"/>
  <c r="W1988" i="1" s="1"/>
  <c r="W1989" i="1" s="1"/>
  <c r="W1990" i="1" s="1"/>
  <c r="W1991" i="1" s="1"/>
  <c r="W1992" i="1" s="1"/>
  <c r="W1993" i="1" s="1"/>
  <c r="W1994" i="1" s="1"/>
  <c r="W1995" i="1" s="1"/>
  <c r="W1996" i="1" s="1"/>
  <c r="W1997" i="1" s="1"/>
  <c r="W1998" i="1" s="1"/>
  <c r="W1999" i="1" s="1"/>
  <c r="W2000" i="1" s="1"/>
  <c r="W2001" i="1" s="1"/>
  <c r="W2002" i="1" s="1"/>
  <c r="W2003" i="1" s="1"/>
  <c r="W2004" i="1" s="1"/>
  <c r="W2005" i="1" s="1"/>
  <c r="W2006" i="1" s="1"/>
  <c r="W2007" i="1" s="1"/>
  <c r="W2008" i="1" s="1"/>
  <c r="W2009" i="1" s="1"/>
  <c r="W2010" i="1" s="1"/>
  <c r="W2011" i="1" s="1"/>
  <c r="W2012" i="1" s="1"/>
  <c r="W2013" i="1" s="1"/>
  <c r="W2014" i="1" s="1"/>
  <c r="W2015" i="1" s="1"/>
  <c r="W2016" i="1" s="1"/>
  <c r="W2017" i="1" s="1"/>
  <c r="W2018" i="1" s="1"/>
  <c r="W2019" i="1" s="1"/>
  <c r="W2020" i="1" s="1"/>
  <c r="W2021" i="1" s="1"/>
  <c r="W2022" i="1" s="1"/>
  <c r="W2023" i="1" s="1"/>
  <c r="W2024" i="1" s="1"/>
  <c r="W2025" i="1" s="1"/>
  <c r="W2026" i="1" s="1"/>
  <c r="W2027" i="1" s="1"/>
  <c r="W2028" i="1" s="1"/>
  <c r="W2029" i="1" s="1"/>
  <c r="W2030" i="1" s="1"/>
  <c r="W2031" i="1" s="1"/>
  <c r="W2032" i="1" s="1"/>
  <c r="W2033" i="1" s="1"/>
  <c r="W2034" i="1" s="1"/>
  <c r="W2035" i="1" s="1"/>
  <c r="W2036" i="1" s="1"/>
  <c r="W2037" i="1" s="1"/>
  <c r="W2038" i="1" s="1"/>
  <c r="W2039" i="1" s="1"/>
  <c r="W2040" i="1" s="1"/>
  <c r="W2041" i="1" s="1"/>
  <c r="W2042" i="1" s="1"/>
  <c r="W2043" i="1" s="1"/>
  <c r="W2044" i="1" s="1"/>
  <c r="W2045" i="1" s="1"/>
  <c r="W2046" i="1" s="1"/>
  <c r="W2047" i="1" s="1"/>
  <c r="W2048" i="1" s="1"/>
  <c r="W2049" i="1" s="1"/>
  <c r="W2050" i="1" s="1"/>
  <c r="W2051" i="1" s="1"/>
  <c r="W2052" i="1" s="1"/>
  <c r="W2053" i="1" s="1"/>
  <c r="W2054" i="1" s="1"/>
  <c r="W2055" i="1" s="1"/>
  <c r="W2056" i="1" s="1"/>
  <c r="W2057" i="1" s="1"/>
  <c r="W2058" i="1" s="1"/>
  <c r="W2059" i="1" s="1"/>
  <c r="W2060" i="1" s="1"/>
  <c r="W2061" i="1" s="1"/>
  <c r="W2062" i="1" s="1"/>
  <c r="W2063" i="1" s="1"/>
  <c r="W2064" i="1" s="1"/>
  <c r="W2065" i="1" s="1"/>
  <c r="W2066" i="1" s="1"/>
  <c r="W2067" i="1" s="1"/>
  <c r="W2068" i="1" s="1"/>
  <c r="W2069" i="1" s="1"/>
  <c r="W2070" i="1" s="1"/>
  <c r="W2071" i="1" s="1"/>
  <c r="W2072" i="1" s="1"/>
  <c r="W2073" i="1" s="1"/>
  <c r="W2074" i="1" s="1"/>
  <c r="W2075" i="1" s="1"/>
  <c r="W2076" i="1" s="1"/>
  <c r="W2077" i="1" s="1"/>
  <c r="W2078" i="1" s="1"/>
  <c r="W2079" i="1" s="1"/>
  <c r="W2080" i="1" s="1"/>
  <c r="W2081" i="1" s="1"/>
  <c r="W2082" i="1" s="1"/>
  <c r="W2083" i="1" s="1"/>
  <c r="W2084" i="1" s="1"/>
  <c r="W2085" i="1" s="1"/>
  <c r="W2086" i="1" s="1"/>
  <c r="W2087" i="1" s="1"/>
  <c r="W2088" i="1" s="1"/>
  <c r="W2089" i="1" s="1"/>
  <c r="W2090" i="1" s="1"/>
  <c r="W2091" i="1" s="1"/>
  <c r="W2092" i="1" s="1"/>
  <c r="W2093" i="1" s="1"/>
  <c r="W2094" i="1" s="1"/>
  <c r="W2095" i="1" s="1"/>
  <c r="W2096" i="1" s="1"/>
  <c r="W2097" i="1" s="1"/>
  <c r="W2098" i="1" s="1"/>
  <c r="W2099" i="1" s="1"/>
  <c r="W2100" i="1" s="1"/>
  <c r="W2101" i="1" s="1"/>
  <c r="W2102" i="1" s="1"/>
  <c r="W2103" i="1" s="1"/>
  <c r="W2104" i="1" s="1"/>
  <c r="W2105" i="1" s="1"/>
  <c r="W2106" i="1" s="1"/>
  <c r="W2107" i="1" s="1"/>
  <c r="W2108" i="1" s="1"/>
  <c r="W2109" i="1" s="1"/>
  <c r="W2110" i="1" s="1"/>
  <c r="W2111" i="1" s="1"/>
  <c r="W2795" i="1"/>
  <c r="W2796" i="1" l="1"/>
  <c r="W2112" i="1"/>
  <c r="W2113" i="1" s="1"/>
  <c r="W2114" i="1" s="1"/>
  <c r="W2115" i="1" s="1"/>
  <c r="W2116" i="1" s="1"/>
  <c r="W2117" i="1" s="1"/>
  <c r="W2118" i="1" s="1"/>
  <c r="W2119" i="1" s="1"/>
  <c r="W2120" i="1" s="1"/>
  <c r="W2121" i="1" s="1"/>
  <c r="W2122" i="1" s="1"/>
  <c r="W2123" i="1" s="1"/>
  <c r="W2124" i="1" s="1"/>
  <c r="W2125" i="1" s="1"/>
  <c r="W2126" i="1" s="1"/>
  <c r="W2127" i="1" s="1"/>
  <c r="W2128" i="1" s="1"/>
  <c r="W2129" i="1" s="1"/>
  <c r="W2130" i="1" s="1"/>
  <c r="W2131" i="1" s="1"/>
  <c r="W2132" i="1" s="1"/>
  <c r="W2133" i="1" s="1"/>
  <c r="W2134" i="1" s="1"/>
  <c r="W2135" i="1" s="1"/>
  <c r="W2136" i="1" s="1"/>
  <c r="W2137" i="1" s="1"/>
  <c r="W2138" i="1" s="1"/>
  <c r="W2139" i="1" s="1"/>
  <c r="W2140" i="1" s="1"/>
  <c r="W2141" i="1" s="1"/>
  <c r="W2142" i="1" s="1"/>
  <c r="W2143" i="1" s="1"/>
  <c r="W2144" i="1" s="1"/>
  <c r="W2145" i="1" s="1"/>
  <c r="W2146" i="1" s="1"/>
  <c r="W2147" i="1" s="1"/>
  <c r="W2148" i="1" s="1"/>
  <c r="W2149" i="1" s="1"/>
  <c r="W2150" i="1" s="1"/>
  <c r="W2151" i="1" s="1"/>
  <c r="W2152" i="1" s="1"/>
  <c r="W2153" i="1" s="1"/>
  <c r="W2154" i="1" s="1"/>
  <c r="W2155" i="1" s="1"/>
  <c r="W2156" i="1" s="1"/>
  <c r="W2157" i="1" s="1"/>
  <c r="W2158" i="1" s="1"/>
  <c r="W2159" i="1" s="1"/>
  <c r="W2160" i="1" s="1"/>
  <c r="W2161" i="1" s="1"/>
  <c r="W2797" i="1" l="1"/>
  <c r="W2162" i="1"/>
  <c r="W2163" i="1" s="1"/>
  <c r="W2164" i="1" s="1"/>
  <c r="W2165" i="1" s="1"/>
  <c r="W2166" i="1" s="1"/>
  <c r="W2167" i="1" s="1"/>
  <c r="W2168" i="1" s="1"/>
  <c r="W2169" i="1" s="1"/>
  <c r="W2170" i="1" s="1"/>
  <c r="W2171" i="1" s="1"/>
  <c r="W2172" i="1" s="1"/>
  <c r="W2173" i="1" s="1"/>
  <c r="W2174" i="1" s="1"/>
  <c r="W2175" i="1" s="1"/>
  <c r="W2176" i="1" s="1"/>
  <c r="W2177" i="1" s="1"/>
  <c r="W2178" i="1" s="1"/>
  <c r="W2179" i="1" s="1"/>
  <c r="W2180" i="1" s="1"/>
  <c r="W2181" i="1" s="1"/>
  <c r="W2182" i="1" s="1"/>
  <c r="W2183" i="1" s="1"/>
  <c r="W2184" i="1" s="1"/>
  <c r="W2185" i="1" s="1"/>
  <c r="W2186" i="1" s="1"/>
  <c r="W2187" i="1" s="1"/>
  <c r="W2188" i="1" s="1"/>
  <c r="W2189" i="1" s="1"/>
  <c r="W2190" i="1" s="1"/>
  <c r="W2191" i="1" s="1"/>
  <c r="W2192" i="1" s="1"/>
  <c r="W2193" i="1" s="1"/>
  <c r="W2194" i="1" s="1"/>
  <c r="W2195" i="1" s="1"/>
  <c r="W2196" i="1" s="1"/>
  <c r="W2197" i="1" s="1"/>
  <c r="W2198" i="1" s="1"/>
  <c r="W2199" i="1" s="1"/>
  <c r="W2200" i="1" s="1"/>
  <c r="W2201" i="1" s="1"/>
  <c r="W2202" i="1" s="1"/>
  <c r="W2203" i="1" s="1"/>
  <c r="W2204" i="1" s="1"/>
  <c r="W2798" i="1" l="1"/>
  <c r="W2799" i="1" s="1"/>
  <c r="W2800" i="1" s="1"/>
  <c r="W2801" i="1" s="1"/>
  <c r="W2802" i="1" s="1"/>
  <c r="W2205" i="1"/>
  <c r="W2206" i="1" s="1"/>
  <c r="W2207" i="1" s="1"/>
  <c r="W2803" i="1" l="1"/>
  <c r="W2804" i="1" s="1"/>
  <c r="W2805" i="1" s="1"/>
  <c r="X404" i="1"/>
  <c r="X406" i="1" s="1"/>
  <c r="X407" i="1" s="1"/>
  <c r="X408" i="1" s="1"/>
  <c r="X409" i="1" s="1"/>
  <c r="X410" i="1" s="1"/>
  <c r="X411" i="1" s="1"/>
  <c r="X412" i="1" s="1"/>
  <c r="X413" i="1" s="1"/>
  <c r="X414" i="1" s="1"/>
  <c r="X415" i="1" s="1"/>
  <c r="X416" i="1" s="1"/>
  <c r="X417" i="1" s="1"/>
  <c r="X418" i="1" s="1"/>
  <c r="X419" i="1" s="1"/>
  <c r="X420" i="1" s="1"/>
  <c r="X422" i="1" s="1"/>
  <c r="X423" i="1" s="1"/>
  <c r="X424" i="1" s="1"/>
  <c r="X425" i="1" s="1"/>
  <c r="X426" i="1" s="1"/>
  <c r="X427" i="1" s="1"/>
  <c r="X428" i="1" s="1"/>
  <c r="X429" i="1" s="1"/>
  <c r="X430" i="1" s="1"/>
  <c r="X431" i="1" s="1"/>
  <c r="X432" i="1" s="1"/>
  <c r="X433" i="1" s="1"/>
  <c r="X434" i="1" s="1"/>
  <c r="X435" i="1" s="1"/>
  <c r="X436" i="1" s="1"/>
  <c r="X437" i="1" s="1"/>
  <c r="X438" i="1" s="1"/>
  <c r="X439" i="1" s="1"/>
  <c r="X440" i="1" s="1"/>
  <c r="X441" i="1" s="1"/>
  <c r="X442" i="1" s="1"/>
  <c r="X443" i="1" s="1"/>
  <c r="X444" i="1" s="1"/>
  <c r="X445" i="1" s="1"/>
  <c r="X446" i="1" s="1"/>
  <c r="X447" i="1" s="1"/>
  <c r="X448" i="1" s="1"/>
  <c r="X449" i="1" s="1"/>
  <c r="X450" i="1" s="1"/>
  <c r="X451" i="1" s="1"/>
  <c r="X452" i="1" s="1"/>
  <c r="X453" i="1" s="1"/>
  <c r="X454" i="1" s="1"/>
  <c r="X455" i="1" s="1"/>
  <c r="X456" i="1" s="1"/>
  <c r="X457" i="1" s="1"/>
  <c r="X458" i="1" s="1"/>
  <c r="X459" i="1" s="1"/>
  <c r="X460" i="1" s="1"/>
  <c r="X461" i="1" s="1"/>
  <c r="X462" i="1" s="1"/>
  <c r="X463" i="1" s="1"/>
  <c r="X464" i="1" s="1"/>
  <c r="X465" i="1" s="1"/>
  <c r="X466" i="1" s="1"/>
  <c r="X467" i="1" s="1"/>
  <c r="X468" i="1" s="1"/>
  <c r="X469" i="1" s="1"/>
  <c r="X470" i="1" s="1"/>
  <c r="X471" i="1" s="1"/>
  <c r="X472" i="1" s="1"/>
  <c r="X473" i="1" s="1"/>
  <c r="X474" i="1" s="1"/>
  <c r="X475" i="1" s="1"/>
  <c r="X476" i="1" s="1"/>
  <c r="X477" i="1" s="1"/>
  <c r="X478" i="1" s="1"/>
  <c r="X479" i="1" s="1"/>
  <c r="X480" i="1" s="1"/>
  <c r="X481" i="1" s="1"/>
  <c r="X482" i="1" s="1"/>
  <c r="X483" i="1" s="1"/>
  <c r="X484" i="1" s="1"/>
  <c r="W2448" i="1"/>
  <c r="W2449" i="1" s="1"/>
  <c r="W2450" i="1" s="1"/>
  <c r="W2451" i="1" s="1"/>
  <c r="W2452" i="1" s="1"/>
  <c r="W2453" i="1" s="1"/>
  <c r="W2454" i="1" s="1"/>
  <c r="W2455" i="1" s="1"/>
  <c r="W2456" i="1" s="1"/>
  <c r="W2457" i="1" s="1"/>
  <c r="W2458" i="1" s="1"/>
  <c r="W2459" i="1" s="1"/>
  <c r="W2460" i="1" s="1"/>
  <c r="W2461" i="1" s="1"/>
  <c r="W2462" i="1" s="1"/>
  <c r="W2463" i="1" s="1"/>
  <c r="W2464" i="1" s="1"/>
  <c r="W2806" i="1" l="1"/>
  <c r="X485" i="1"/>
  <c r="X486" i="1" s="1"/>
  <c r="X487" i="1" s="1"/>
  <c r="X488" i="1" s="1"/>
  <c r="X489" i="1" s="1"/>
  <c r="X490" i="1" s="1"/>
  <c r="X491" i="1" s="1"/>
  <c r="X492" i="1" s="1"/>
  <c r="X493" i="1" s="1"/>
  <c r="X494" i="1" s="1"/>
  <c r="X495" i="1" s="1"/>
  <c r="X496" i="1" s="1"/>
  <c r="X497" i="1" s="1"/>
  <c r="X498" i="1" s="1"/>
  <c r="X499" i="1" s="1"/>
  <c r="W2807" i="1" l="1"/>
  <c r="W2808" i="1" s="1"/>
  <c r="W2809" i="1" s="1"/>
  <c r="W2810" i="1" s="1"/>
  <c r="W2811" i="1" s="1"/>
  <c r="W2812" i="1" s="1"/>
  <c r="W2813" i="1" s="1"/>
  <c r="W2814" i="1" s="1"/>
  <c r="W2815" i="1" s="1"/>
  <c r="W2816" i="1" s="1"/>
  <c r="W2817" i="1" s="1"/>
  <c r="W2818" i="1" s="1"/>
  <c r="W2819" i="1" s="1"/>
  <c r="W2820" i="1" s="1"/>
  <c r="W2821" i="1" s="1"/>
  <c r="W2822" i="1" s="1"/>
  <c r="W2823" i="1" s="1"/>
  <c r="W2824" i="1" s="1"/>
  <c r="W2825" i="1" s="1"/>
  <c r="W2826" i="1" s="1"/>
  <c r="W2827" i="1" s="1"/>
  <c r="W2828" i="1" s="1"/>
  <c r="W2829" i="1" s="1"/>
  <c r="W2830" i="1" s="1"/>
  <c r="W2831" i="1" s="1"/>
  <c r="W2832" i="1" s="1"/>
  <c r="W2833" i="1" s="1"/>
  <c r="W2834" i="1" s="1"/>
  <c r="W2835" i="1" s="1"/>
  <c r="W2836" i="1" s="1"/>
  <c r="W2837" i="1" s="1"/>
  <c r="W2838" i="1" s="1"/>
  <c r="W2839" i="1" s="1"/>
  <c r="W2840" i="1" s="1"/>
  <c r="W2841" i="1" s="1"/>
  <c r="W2842" i="1" s="1"/>
  <c r="W2843" i="1" s="1"/>
  <c r="W2844" i="1" s="1"/>
  <c r="W2845" i="1" s="1"/>
  <c r="X500" i="1"/>
  <c r="X501" i="1" s="1"/>
  <c r="X503" i="1" s="1"/>
  <c r="X504" i="1" s="1"/>
  <c r="X505" i="1" s="1"/>
  <c r="X506" i="1" s="1"/>
  <c r="X507" i="1" s="1"/>
  <c r="X508" i="1" s="1"/>
  <c r="X509" i="1" s="1"/>
  <c r="X510" i="1" s="1"/>
  <c r="X511" i="1" s="1"/>
  <c r="X512" i="1" s="1"/>
  <c r="X513" i="1" s="1"/>
  <c r="X514" i="1" s="1"/>
  <c r="X515" i="1" s="1"/>
  <c r="X516" i="1" s="1"/>
  <c r="X517" i="1" s="1"/>
  <c r="X518" i="1" s="1"/>
  <c r="X519" i="1" s="1"/>
  <c r="X520" i="1" s="1"/>
  <c r="X521" i="1" s="1"/>
  <c r="X522" i="1" s="1"/>
  <c r="X523" i="1" s="1"/>
  <c r="X524" i="1" s="1"/>
  <c r="X525" i="1" s="1"/>
  <c r="X526" i="1" s="1"/>
  <c r="X527" i="1" s="1"/>
  <c r="X528" i="1" s="1"/>
  <c r="X529" i="1" s="1"/>
  <c r="X530" i="1" s="1"/>
  <c r="X531" i="1" s="1"/>
  <c r="X532" i="1" s="1"/>
  <c r="X533" i="1" s="1"/>
  <c r="X534" i="1" s="1"/>
  <c r="X535" i="1" s="1"/>
  <c r="X536" i="1" s="1"/>
  <c r="X537" i="1" s="1"/>
  <c r="X538" i="1" s="1"/>
  <c r="X539" i="1" s="1"/>
  <c r="X540" i="1" s="1"/>
  <c r="X541" i="1" s="1"/>
  <c r="X542" i="1" s="1"/>
  <c r="X543" i="1" s="1"/>
  <c r="X544" i="1" s="1"/>
  <c r="X545" i="1" s="1"/>
  <c r="X546" i="1" s="1"/>
  <c r="X547" i="1" s="1"/>
  <c r="X548" i="1" s="1"/>
  <c r="X549" i="1" s="1"/>
  <c r="X550" i="1" s="1"/>
  <c r="X551" i="1" s="1"/>
  <c r="X552" i="1" s="1"/>
  <c r="X553" i="1" s="1"/>
  <c r="X554" i="1" s="1"/>
  <c r="X555" i="1" s="1"/>
  <c r="X556" i="1" s="1"/>
  <c r="X557" i="1" s="1"/>
  <c r="X558" i="1" s="1"/>
  <c r="X559" i="1" s="1"/>
  <c r="X560" i="1" s="1"/>
  <c r="X561" i="1" s="1"/>
  <c r="X562" i="1" s="1"/>
  <c r="X563" i="1" s="1"/>
  <c r="X564" i="1" s="1"/>
  <c r="X565" i="1" s="1"/>
  <c r="X566" i="1" s="1"/>
  <c r="X567" i="1" s="1"/>
  <c r="X568" i="1" s="1"/>
  <c r="X569" i="1" s="1"/>
  <c r="X570" i="1" s="1"/>
  <c r="X571" i="1" s="1"/>
  <c r="X572" i="1" s="1"/>
  <c r="X573" i="1" s="1"/>
  <c r="X574" i="1" s="1"/>
  <c r="X575" i="1" s="1"/>
  <c r="X576" i="1" s="1"/>
  <c r="X577" i="1" s="1"/>
  <c r="X578" i="1" s="1"/>
  <c r="X579" i="1" s="1"/>
  <c r="X580" i="1" s="1"/>
  <c r="X581" i="1" s="1"/>
  <c r="X582" i="1" s="1"/>
  <c r="X583" i="1" s="1"/>
  <c r="X584" i="1" s="1"/>
  <c r="X585" i="1" s="1"/>
  <c r="X586" i="1" s="1"/>
  <c r="X587" i="1" s="1"/>
  <c r="X588" i="1" s="1"/>
  <c r="X589" i="1" s="1"/>
  <c r="X590" i="1" s="1"/>
  <c r="X591" i="1" s="1"/>
  <c r="X592" i="1" s="1"/>
  <c r="X593" i="1" s="1"/>
  <c r="X595" i="1" s="1"/>
  <c r="X596" i="1" s="1"/>
  <c r="W2846" i="1" l="1"/>
  <c r="W2847" i="1" s="1"/>
  <c r="X597" i="1"/>
  <c r="X598" i="1" s="1"/>
  <c r="X599" i="1" s="1"/>
  <c r="X600" i="1" s="1"/>
  <c r="X601" i="1" s="1"/>
  <c r="X602" i="1" s="1"/>
  <c r="X603" i="1" s="1"/>
  <c r="X604" i="1" s="1"/>
  <c r="X605" i="1" s="1"/>
  <c r="X606" i="1" s="1"/>
  <c r="X607" i="1" s="1"/>
  <c r="X608" i="1" s="1"/>
  <c r="X609" i="1" s="1"/>
  <c r="X610" i="1" s="1"/>
  <c r="X611" i="1" s="1"/>
  <c r="X612" i="1" s="1"/>
  <c r="X613" i="1" s="1"/>
  <c r="X614" i="1" s="1"/>
  <c r="X615" i="1" s="1"/>
  <c r="X616" i="1" s="1"/>
  <c r="X617" i="1" s="1"/>
  <c r="X618" i="1" s="1"/>
  <c r="X619" i="1" s="1"/>
  <c r="X620" i="1" s="1"/>
  <c r="X621" i="1" s="1"/>
  <c r="X622" i="1" s="1"/>
  <c r="X623" i="1" s="1"/>
  <c r="X624" i="1" s="1"/>
  <c r="X625" i="1" s="1"/>
  <c r="X626" i="1" s="1"/>
  <c r="X627" i="1" s="1"/>
  <c r="X628" i="1" s="1"/>
  <c r="X629" i="1" s="1"/>
  <c r="X630" i="1" s="1"/>
  <c r="X631" i="1" s="1"/>
  <c r="X632" i="1" s="1"/>
  <c r="X634" i="1" s="1"/>
  <c r="X635" i="1" s="1"/>
  <c r="W2848" i="1" l="1"/>
  <c r="W2849" i="1" s="1"/>
  <c r="W2850" i="1" s="1"/>
  <c r="W2851" i="1" s="1"/>
  <c r="W2852" i="1" s="1"/>
  <c r="W2853" i="1" s="1"/>
  <c r="W2854" i="1" s="1"/>
  <c r="W2855" i="1" s="1"/>
  <c r="W2856" i="1" s="1"/>
  <c r="W2857" i="1" s="1"/>
  <c r="X636" i="1"/>
  <c r="X637" i="1" s="1"/>
  <c r="X638" i="1" s="1"/>
  <c r="X639" i="1" s="1"/>
  <c r="X640" i="1" s="1"/>
  <c r="X641" i="1" s="1"/>
  <c r="X642" i="1" s="1"/>
  <c r="X643" i="1" s="1"/>
  <c r="X644" i="1" s="1"/>
  <c r="X646" i="1" s="1"/>
  <c r="X647" i="1" s="1"/>
  <c r="X648" i="1" s="1"/>
  <c r="X649" i="1" s="1"/>
  <c r="X650" i="1" s="1"/>
  <c r="X651" i="1" s="1"/>
  <c r="X652" i="1" s="1"/>
  <c r="X653" i="1" s="1"/>
  <c r="X654" i="1" s="1"/>
  <c r="X655" i="1" s="1"/>
  <c r="X656" i="1" s="1"/>
  <c r="X657" i="1" s="1"/>
  <c r="X658" i="1" s="1"/>
  <c r="X659" i="1" s="1"/>
  <c r="X660" i="1" s="1"/>
  <c r="X661" i="1" s="1"/>
  <c r="X662" i="1" s="1"/>
  <c r="X663" i="1" s="1"/>
  <c r="X664" i="1" s="1"/>
  <c r="X665" i="1" s="1"/>
  <c r="X666" i="1" s="1"/>
  <c r="X667" i="1" s="1"/>
  <c r="X668" i="1" s="1"/>
  <c r="X669" i="1" s="1"/>
  <c r="X670" i="1" s="1"/>
  <c r="X671" i="1" s="1"/>
  <c r="X672" i="1" s="1"/>
  <c r="X673" i="1" s="1"/>
  <c r="X674" i="1" s="1"/>
  <c r="X675" i="1" s="1"/>
  <c r="X676" i="1" s="1"/>
  <c r="X677" i="1" s="1"/>
  <c r="X678" i="1" s="1"/>
  <c r="X679" i="1" s="1"/>
  <c r="X680" i="1" s="1"/>
  <c r="X681" i="1" s="1"/>
  <c r="X682" i="1" s="1"/>
  <c r="X683" i="1" s="1"/>
  <c r="X684" i="1" s="1"/>
  <c r="X685" i="1" s="1"/>
  <c r="X686" i="1" s="1"/>
  <c r="X687" i="1" s="1"/>
  <c r="X688" i="1" s="1"/>
  <c r="X689" i="1" s="1"/>
  <c r="X690" i="1" s="1"/>
  <c r="X691" i="1" s="1"/>
  <c r="X692" i="1" s="1"/>
  <c r="X693" i="1" s="1"/>
  <c r="X694" i="1" s="1"/>
  <c r="X695" i="1" s="1"/>
  <c r="X696" i="1" s="1"/>
  <c r="X697" i="1" s="1"/>
  <c r="X698" i="1" s="1"/>
  <c r="X699" i="1" s="1"/>
  <c r="X700" i="1" s="1"/>
  <c r="X701" i="1" s="1"/>
  <c r="X702" i="1" s="1"/>
  <c r="X703" i="1" s="1"/>
  <c r="X704" i="1" s="1"/>
  <c r="X705" i="1" s="1"/>
  <c r="X706" i="1" s="1"/>
  <c r="X707" i="1" s="1"/>
  <c r="X708" i="1" s="1"/>
  <c r="X709" i="1" s="1"/>
  <c r="X710" i="1" s="1"/>
  <c r="X711" i="1" s="1"/>
  <c r="X712" i="1" s="1"/>
  <c r="X713" i="1" s="1"/>
  <c r="X714" i="1" s="1"/>
  <c r="X715" i="1" s="1"/>
  <c r="X716" i="1" s="1"/>
  <c r="X717" i="1" s="1"/>
  <c r="X718" i="1" s="1"/>
  <c r="X719" i="1" s="1"/>
  <c r="X720" i="1" s="1"/>
  <c r="X721" i="1" s="1"/>
  <c r="X722" i="1" s="1"/>
  <c r="X723" i="1" s="1"/>
  <c r="X724" i="1" s="1"/>
  <c r="X725" i="1" s="1"/>
  <c r="X726" i="1" s="1"/>
  <c r="X727" i="1" s="1"/>
  <c r="X728" i="1" s="1"/>
  <c r="X729" i="1" s="1"/>
  <c r="X730" i="1" s="1"/>
  <c r="X731" i="1" s="1"/>
  <c r="X732" i="1" s="1"/>
  <c r="X733" i="1" s="1"/>
  <c r="X734" i="1" s="1"/>
  <c r="X735" i="1" s="1"/>
  <c r="X736" i="1" s="1"/>
  <c r="X737" i="1" s="1"/>
  <c r="X738" i="1" s="1"/>
  <c r="X739" i="1" s="1"/>
  <c r="X740" i="1" s="1"/>
  <c r="X741" i="1" s="1"/>
  <c r="X742" i="1" s="1"/>
  <c r="X743" i="1" s="1"/>
  <c r="X744" i="1" s="1"/>
  <c r="X745" i="1" s="1"/>
  <c r="X746" i="1" s="1"/>
  <c r="X747" i="1" s="1"/>
  <c r="X748" i="1" s="1"/>
  <c r="X749" i="1" s="1"/>
  <c r="X750" i="1" s="1"/>
  <c r="X751" i="1" s="1"/>
  <c r="X752" i="1" s="1"/>
  <c r="X753" i="1" s="1"/>
  <c r="X754" i="1" s="1"/>
  <c r="X755" i="1" s="1"/>
  <c r="X756" i="1" s="1"/>
  <c r="X757" i="1" s="1"/>
  <c r="X758" i="1" s="1"/>
  <c r="X759" i="1" s="1"/>
  <c r="X760" i="1" s="1"/>
  <c r="X761" i="1" s="1"/>
  <c r="X762" i="1" s="1"/>
  <c r="X763" i="1" s="1"/>
  <c r="X764" i="1" s="1"/>
  <c r="X765" i="1" s="1"/>
  <c r="X766" i="1" s="1"/>
  <c r="X767" i="1" s="1"/>
  <c r="X768" i="1" s="1"/>
  <c r="X769" i="1" s="1"/>
  <c r="X770" i="1" s="1"/>
  <c r="X771" i="1" s="1"/>
  <c r="X772" i="1" s="1"/>
  <c r="X773" i="1" s="1"/>
  <c r="X774" i="1" s="1"/>
  <c r="X775" i="1" s="1"/>
  <c r="X776" i="1" s="1"/>
  <c r="X777" i="1" s="1"/>
  <c r="X778" i="1" s="1"/>
  <c r="X779" i="1" s="1"/>
  <c r="X780" i="1" s="1"/>
  <c r="X781" i="1" s="1"/>
  <c r="X782" i="1" s="1"/>
  <c r="X783" i="1" s="1"/>
  <c r="X784" i="1" s="1"/>
  <c r="X785" i="1" s="1"/>
  <c r="X786" i="1" s="1"/>
  <c r="X787" i="1" s="1"/>
  <c r="X788" i="1" s="1"/>
  <c r="X789" i="1" s="1"/>
  <c r="X790" i="1" s="1"/>
  <c r="X791" i="1" s="1"/>
  <c r="X792" i="1" s="1"/>
  <c r="X793" i="1" s="1"/>
  <c r="X794" i="1" s="1"/>
  <c r="X795" i="1" s="1"/>
  <c r="X796" i="1" s="1"/>
  <c r="X797" i="1" s="1"/>
  <c r="X798" i="1" s="1"/>
  <c r="X799" i="1" s="1"/>
  <c r="X800" i="1" s="1"/>
  <c r="X801" i="1" s="1"/>
  <c r="X802" i="1" s="1"/>
  <c r="X803" i="1" s="1"/>
  <c r="X804" i="1" s="1"/>
  <c r="X805" i="1" s="1"/>
  <c r="X806" i="1" s="1"/>
  <c r="X807" i="1" s="1"/>
  <c r="X808" i="1" s="1"/>
  <c r="X809" i="1" s="1"/>
  <c r="X810" i="1" s="1"/>
  <c r="X811" i="1" s="1"/>
  <c r="X812" i="1" s="1"/>
  <c r="X813" i="1" s="1"/>
  <c r="X814" i="1" s="1"/>
  <c r="X815" i="1" s="1"/>
  <c r="X816" i="1" s="1"/>
  <c r="X817" i="1" s="1"/>
  <c r="X818" i="1" s="1"/>
  <c r="X819" i="1" s="1"/>
  <c r="X820" i="1" s="1"/>
  <c r="X821" i="1" s="1"/>
  <c r="X822" i="1" s="1"/>
  <c r="X823" i="1" s="1"/>
  <c r="X824" i="1" s="1"/>
  <c r="X825" i="1" s="1"/>
  <c r="X826" i="1" s="1"/>
  <c r="X827" i="1" s="1"/>
  <c r="X828" i="1" s="1"/>
  <c r="X829" i="1" s="1"/>
  <c r="X830" i="1" s="1"/>
  <c r="X831" i="1" s="1"/>
  <c r="X832" i="1" s="1"/>
  <c r="X833" i="1" s="1"/>
  <c r="X834" i="1" s="1"/>
  <c r="X835" i="1" s="1"/>
  <c r="X836" i="1" s="1"/>
  <c r="X837" i="1" s="1"/>
  <c r="X838" i="1" s="1"/>
  <c r="X839" i="1" s="1"/>
  <c r="X840" i="1" s="1"/>
  <c r="X841" i="1" s="1"/>
  <c r="X842" i="1" s="1"/>
  <c r="X843" i="1" s="1"/>
  <c r="X844" i="1" s="1"/>
  <c r="X845" i="1" s="1"/>
  <c r="X846" i="1" s="1"/>
  <c r="X847" i="1" s="1"/>
  <c r="X848" i="1" s="1"/>
  <c r="X849" i="1" s="1"/>
  <c r="X850" i="1" s="1"/>
  <c r="X851" i="1" s="1"/>
  <c r="X852" i="1" s="1"/>
  <c r="X853" i="1" s="1"/>
  <c r="X854" i="1" s="1"/>
  <c r="X855" i="1" s="1"/>
  <c r="X856" i="1" s="1"/>
  <c r="X857" i="1" s="1"/>
  <c r="X858" i="1" s="1"/>
  <c r="X859" i="1" s="1"/>
  <c r="X860" i="1" s="1"/>
  <c r="X861" i="1" s="1"/>
  <c r="X862" i="1" s="1"/>
  <c r="X863" i="1" s="1"/>
  <c r="X864" i="1" s="1"/>
  <c r="X865" i="1" s="1"/>
  <c r="X866" i="1" s="1"/>
  <c r="X867" i="1" s="1"/>
  <c r="X868" i="1" s="1"/>
  <c r="X869" i="1" s="1"/>
  <c r="X870" i="1" s="1"/>
  <c r="X871" i="1" s="1"/>
  <c r="X872" i="1" s="1"/>
  <c r="X873" i="1" s="1"/>
  <c r="X874" i="1" s="1"/>
  <c r="X875" i="1" s="1"/>
  <c r="X876" i="1" s="1"/>
  <c r="X877" i="1" s="1"/>
  <c r="W2858" i="1" l="1"/>
  <c r="X878" i="1"/>
  <c r="X879" i="1" s="1"/>
  <c r="X880" i="1" s="1"/>
  <c r="X881" i="1" s="1"/>
  <c r="X882" i="1" s="1"/>
  <c r="X883" i="1" s="1"/>
  <c r="X884" i="1" s="1"/>
  <c r="X885" i="1" s="1"/>
  <c r="X886" i="1" s="1"/>
  <c r="X887" i="1" s="1"/>
  <c r="X888" i="1" s="1"/>
  <c r="X889" i="1" s="1"/>
  <c r="X890" i="1" s="1"/>
  <c r="X891" i="1" s="1"/>
  <c r="X892" i="1" s="1"/>
  <c r="X893" i="1" s="1"/>
  <c r="X894" i="1" s="1"/>
  <c r="X895" i="1" s="1"/>
  <c r="X896" i="1" s="1"/>
  <c r="X897" i="1" s="1"/>
  <c r="X898" i="1" s="1"/>
  <c r="X899" i="1" s="1"/>
  <c r="X900" i="1" s="1"/>
  <c r="X901" i="1" s="1"/>
  <c r="X902" i="1" s="1"/>
  <c r="X903" i="1" s="1"/>
  <c r="X904" i="1" s="1"/>
  <c r="X905" i="1" s="1"/>
  <c r="X906" i="1" s="1"/>
  <c r="X907" i="1" s="1"/>
  <c r="X908" i="1" s="1"/>
  <c r="X909" i="1" s="1"/>
  <c r="X910" i="1" s="1"/>
  <c r="X911" i="1" s="1"/>
  <c r="X912" i="1" s="1"/>
  <c r="X913" i="1" s="1"/>
  <c r="X914" i="1" s="1"/>
  <c r="X915" i="1" s="1"/>
  <c r="X916" i="1" s="1"/>
  <c r="X917" i="1" s="1"/>
  <c r="X918" i="1" s="1"/>
  <c r="X919" i="1" s="1"/>
  <c r="X920" i="1" s="1"/>
  <c r="X921" i="1" s="1"/>
  <c r="X922" i="1" s="1"/>
  <c r="X923" i="1" s="1"/>
  <c r="X924" i="1" s="1"/>
  <c r="X925" i="1" s="1"/>
  <c r="X926" i="1" s="1"/>
  <c r="X927" i="1" s="1"/>
  <c r="X928" i="1" s="1"/>
  <c r="X929" i="1" s="1"/>
  <c r="X930" i="1" s="1"/>
  <c r="X931" i="1" s="1"/>
  <c r="X932" i="1" s="1"/>
  <c r="X933" i="1" s="1"/>
  <c r="X934" i="1" s="1"/>
  <c r="X935" i="1" s="1"/>
  <c r="X936" i="1" s="1"/>
  <c r="X937" i="1" s="1"/>
  <c r="X938" i="1" s="1"/>
  <c r="X939" i="1" s="1"/>
  <c r="X940" i="1" s="1"/>
  <c r="X941" i="1" s="1"/>
  <c r="X942" i="1" s="1"/>
  <c r="X943" i="1" s="1"/>
  <c r="X944" i="1" s="1"/>
  <c r="X945" i="1" s="1"/>
  <c r="X946" i="1" s="1"/>
  <c r="X947" i="1" s="1"/>
  <c r="X948" i="1" s="1"/>
  <c r="X949" i="1" s="1"/>
  <c r="X950" i="1" s="1"/>
  <c r="X951" i="1" s="1"/>
  <c r="X952" i="1" s="1"/>
  <c r="X953" i="1" s="1"/>
  <c r="X954" i="1" s="1"/>
  <c r="X955" i="1" s="1"/>
  <c r="X956" i="1" s="1"/>
  <c r="X957" i="1" s="1"/>
  <c r="X958" i="1" s="1"/>
  <c r="X959" i="1" s="1"/>
  <c r="X960" i="1" s="1"/>
  <c r="X961" i="1" s="1"/>
  <c r="X962" i="1" s="1"/>
  <c r="X963" i="1" s="1"/>
  <c r="X964" i="1" s="1"/>
  <c r="X965" i="1" s="1"/>
  <c r="X966" i="1" s="1"/>
  <c r="X967" i="1" s="1"/>
  <c r="X968" i="1" s="1"/>
  <c r="X969" i="1" s="1"/>
  <c r="X970" i="1" s="1"/>
  <c r="X971" i="1" s="1"/>
  <c r="X972" i="1" s="1"/>
  <c r="X973" i="1" s="1"/>
  <c r="X974" i="1" s="1"/>
  <c r="X975" i="1" s="1"/>
  <c r="X976" i="1" s="1"/>
  <c r="X977" i="1" s="1"/>
  <c r="X978" i="1" s="1"/>
  <c r="X979" i="1" s="1"/>
  <c r="X980" i="1" s="1"/>
  <c r="X981" i="1" s="1"/>
  <c r="X982" i="1" s="1"/>
  <c r="X983" i="1" s="1"/>
  <c r="X984" i="1" s="1"/>
  <c r="X985" i="1" s="1"/>
  <c r="X986" i="1" s="1"/>
  <c r="X987" i="1" s="1"/>
  <c r="X988" i="1" s="1"/>
  <c r="X989" i="1" s="1"/>
  <c r="X990" i="1" s="1"/>
  <c r="X991" i="1" s="1"/>
  <c r="X992" i="1" s="1"/>
  <c r="X993" i="1" s="1"/>
  <c r="X994" i="1" s="1"/>
  <c r="X995" i="1" s="1"/>
  <c r="X996" i="1" s="1"/>
  <c r="X997" i="1" s="1"/>
  <c r="X998" i="1" s="1"/>
  <c r="X999" i="1" s="1"/>
  <c r="X1000" i="1" s="1"/>
  <c r="X1001" i="1" s="1"/>
  <c r="X1002" i="1" s="1"/>
  <c r="X1003" i="1" s="1"/>
  <c r="X1004" i="1" s="1"/>
  <c r="X1005" i="1" s="1"/>
  <c r="X1006" i="1" s="1"/>
  <c r="X1007" i="1" s="1"/>
  <c r="X1008" i="1" s="1"/>
  <c r="X1009" i="1" s="1"/>
  <c r="X1010" i="1" s="1"/>
  <c r="X1011" i="1" s="1"/>
  <c r="X1012" i="1" s="1"/>
  <c r="X1013" i="1" s="1"/>
  <c r="X1014" i="1" s="1"/>
  <c r="X1015" i="1" s="1"/>
  <c r="X1016" i="1" s="1"/>
  <c r="X1017" i="1" s="1"/>
  <c r="X1018" i="1" s="1"/>
  <c r="X1019" i="1" s="1"/>
  <c r="X1020" i="1" s="1"/>
  <c r="X1021" i="1" s="1"/>
  <c r="X1022" i="1" s="1"/>
  <c r="X1023" i="1" s="1"/>
  <c r="X1024" i="1" s="1"/>
  <c r="X1025" i="1" s="1"/>
  <c r="X1026" i="1" s="1"/>
  <c r="X1027" i="1" s="1"/>
  <c r="X1028" i="1" s="1"/>
  <c r="X1029" i="1" s="1"/>
  <c r="X1030" i="1" s="1"/>
  <c r="X1031" i="1" s="1"/>
  <c r="X1032" i="1" s="1"/>
  <c r="X1033" i="1" s="1"/>
  <c r="X1034" i="1" s="1"/>
  <c r="X1035" i="1" s="1"/>
  <c r="X1036" i="1" s="1"/>
  <c r="X1037" i="1" s="1"/>
  <c r="X1038" i="1" s="1"/>
  <c r="X1039" i="1" s="1"/>
  <c r="X1040" i="1" s="1"/>
  <c r="X1041" i="1" s="1"/>
  <c r="X1042" i="1" s="1"/>
  <c r="X1043" i="1" s="1"/>
  <c r="X1044" i="1" s="1"/>
  <c r="X1045" i="1" s="1"/>
  <c r="X1046" i="1" s="1"/>
  <c r="X1047" i="1" s="1"/>
  <c r="X1048" i="1" s="1"/>
  <c r="X1049" i="1" s="1"/>
  <c r="X1050" i="1" s="1"/>
  <c r="X1051" i="1" s="1"/>
  <c r="X1052" i="1" s="1"/>
  <c r="X1053" i="1" s="1"/>
  <c r="X1054" i="1" s="1"/>
  <c r="X1055" i="1" s="1"/>
  <c r="X1056" i="1" s="1"/>
  <c r="X1057" i="1" s="1"/>
  <c r="X1058" i="1" s="1"/>
  <c r="X1059" i="1" s="1"/>
  <c r="X1060" i="1" s="1"/>
  <c r="X1061" i="1" s="1"/>
  <c r="X1062" i="1" s="1"/>
  <c r="X1063" i="1" s="1"/>
  <c r="X1064" i="1" s="1"/>
  <c r="X1065" i="1" s="1"/>
  <c r="X1066" i="1" s="1"/>
  <c r="X1067" i="1" s="1"/>
  <c r="X1068" i="1" s="1"/>
  <c r="X1069" i="1" s="1"/>
  <c r="X1070" i="1" s="1"/>
  <c r="X1071" i="1" s="1"/>
  <c r="X1072" i="1" s="1"/>
  <c r="X1073" i="1" s="1"/>
  <c r="X1074" i="1" s="1"/>
  <c r="X1075" i="1" s="1"/>
  <c r="X1076" i="1" s="1"/>
  <c r="X1077" i="1" s="1"/>
  <c r="X1078" i="1" s="1"/>
  <c r="X1079" i="1" s="1"/>
  <c r="X1080" i="1" s="1"/>
  <c r="X1081" i="1" s="1"/>
  <c r="X1082" i="1" s="1"/>
  <c r="X1083" i="1" s="1"/>
  <c r="X1084" i="1" s="1"/>
  <c r="X1085" i="1" s="1"/>
  <c r="X1086" i="1" s="1"/>
  <c r="X1087" i="1" s="1"/>
  <c r="X1088" i="1" s="1"/>
  <c r="X1089" i="1" s="1"/>
  <c r="X1090" i="1" s="1"/>
  <c r="X1091" i="1" s="1"/>
  <c r="X1092" i="1" s="1"/>
  <c r="X1093" i="1" s="1"/>
  <c r="X1094" i="1" s="1"/>
  <c r="X1095" i="1" s="1"/>
  <c r="X1096" i="1" s="1"/>
  <c r="X1097" i="1" s="1"/>
  <c r="X1098" i="1" s="1"/>
  <c r="X1099" i="1" s="1"/>
  <c r="X1100" i="1" s="1"/>
  <c r="X1101" i="1" s="1"/>
  <c r="X1102" i="1" s="1"/>
  <c r="X1103" i="1" s="1"/>
  <c r="X1104" i="1" s="1"/>
  <c r="X1105" i="1" s="1"/>
  <c r="X1106" i="1" s="1"/>
  <c r="X1107" i="1" s="1"/>
  <c r="X1108" i="1" s="1"/>
  <c r="X1109" i="1" s="1"/>
  <c r="X1110" i="1" s="1"/>
  <c r="X1111" i="1" s="1"/>
  <c r="X1112" i="1" s="1"/>
  <c r="X1113" i="1" s="1"/>
  <c r="X1114" i="1" s="1"/>
  <c r="W2859" i="1" l="1"/>
  <c r="W2860" i="1" s="1"/>
  <c r="W2861" i="1" s="1"/>
  <c r="W2862" i="1" s="1"/>
  <c r="W2863" i="1" s="1"/>
  <c r="W2864" i="1" s="1"/>
  <c r="W2865" i="1" s="1"/>
  <c r="W2866" i="1" s="1"/>
  <c r="W2867" i="1" s="1"/>
  <c r="W2868" i="1" s="1"/>
  <c r="W2869" i="1" s="1"/>
  <c r="W2870" i="1" s="1"/>
  <c r="W2871" i="1" s="1"/>
  <c r="W2872" i="1" s="1"/>
  <c r="W2873" i="1" s="1"/>
  <c r="W2874" i="1" s="1"/>
  <c r="W2875" i="1" s="1"/>
  <c r="W2876" i="1" s="1"/>
  <c r="W2877" i="1" s="1"/>
  <c r="W2878" i="1" s="1"/>
  <c r="W2879" i="1" s="1"/>
  <c r="W2880" i="1" s="1"/>
  <c r="W2881" i="1" s="1"/>
  <c r="W2882" i="1" s="1"/>
  <c r="W2883" i="1" s="1"/>
  <c r="W2884" i="1" s="1"/>
  <c r="W2885" i="1" s="1"/>
  <c r="W2886" i="1" s="1"/>
  <c r="W2887" i="1" s="1"/>
  <c r="W2888" i="1" s="1"/>
  <c r="W2889" i="1" s="1"/>
  <c r="W2890" i="1" s="1"/>
  <c r="W2891" i="1" s="1"/>
  <c r="W2892" i="1" s="1"/>
  <c r="W2893" i="1" s="1"/>
  <c r="W2894" i="1" s="1"/>
  <c r="W2895" i="1" s="1"/>
  <c r="W2896" i="1" s="1"/>
  <c r="W2897" i="1" s="1"/>
  <c r="W2898" i="1" s="1"/>
  <c r="W2899" i="1" s="1"/>
  <c r="W2900" i="1" s="1"/>
  <c r="W2901" i="1" s="1"/>
  <c r="W2902" i="1" s="1"/>
  <c r="W2903" i="1" s="1"/>
  <c r="W2904" i="1" s="1"/>
  <c r="W2905" i="1" s="1"/>
  <c r="W2906" i="1" s="1"/>
  <c r="W2907" i="1" s="1"/>
  <c r="W2908" i="1" s="1"/>
  <c r="W2909" i="1" s="1"/>
  <c r="W2910" i="1" s="1"/>
  <c r="W2911" i="1" s="1"/>
  <c r="W2912" i="1" s="1"/>
  <c r="W2913" i="1" s="1"/>
  <c r="W2914" i="1" s="1"/>
  <c r="W2915" i="1" s="1"/>
  <c r="X1115" i="1"/>
  <c r="X1116" i="1" s="1"/>
  <c r="X1117" i="1" s="1"/>
  <c r="X1118" i="1" s="1"/>
  <c r="X1119" i="1" s="1"/>
  <c r="X1121" i="1" s="1"/>
  <c r="X1122" i="1" s="1"/>
  <c r="X1123" i="1" s="1"/>
  <c r="X1124" i="1" s="1"/>
  <c r="X1125" i="1" s="1"/>
  <c r="X1126" i="1" s="1"/>
  <c r="X1127" i="1" s="1"/>
  <c r="X1128" i="1" s="1"/>
  <c r="X1129" i="1" s="1"/>
  <c r="X1130" i="1" s="1"/>
  <c r="X1131" i="1" s="1"/>
  <c r="X1132" i="1" s="1"/>
  <c r="X1133" i="1" s="1"/>
  <c r="X1134" i="1" s="1"/>
  <c r="X1135" i="1" s="1"/>
  <c r="X1136" i="1" s="1"/>
  <c r="X1137" i="1" s="1"/>
  <c r="X1138" i="1" s="1"/>
  <c r="X1139" i="1" s="1"/>
  <c r="X1140" i="1" s="1"/>
  <c r="X1141" i="1" s="1"/>
  <c r="X1142" i="1" s="1"/>
  <c r="X1143" i="1" s="1"/>
  <c r="X1144" i="1" s="1"/>
  <c r="X1145" i="1" s="1"/>
  <c r="X1146" i="1" s="1"/>
  <c r="X1147" i="1" s="1"/>
  <c r="X1149" i="1" s="1"/>
  <c r="X1150" i="1" s="1"/>
  <c r="X1152" i="1" s="1"/>
  <c r="X1153" i="1" s="1"/>
  <c r="X1154" i="1" s="1"/>
  <c r="X1156" i="1" s="1"/>
  <c r="X1157" i="1" s="1"/>
  <c r="X1159" i="1" s="1"/>
  <c r="X1160" i="1" s="1"/>
  <c r="W2916" i="1" l="1"/>
  <c r="W2917" i="1" s="1"/>
  <c r="W2918" i="1" s="1"/>
  <c r="W2919" i="1" s="1"/>
  <c r="W2920" i="1" s="1"/>
  <c r="W2921" i="1" s="1"/>
  <c r="W2922" i="1" s="1"/>
  <c r="W2923" i="1" s="1"/>
  <c r="W2924" i="1" s="1"/>
  <c r="W2925" i="1" s="1"/>
  <c r="W2926" i="1" s="1"/>
  <c r="W2927" i="1" s="1"/>
  <c r="W2928" i="1" s="1"/>
  <c r="W2929" i="1" s="1"/>
  <c r="W2930" i="1" s="1"/>
  <c r="W2931" i="1" s="1"/>
  <c r="W2932" i="1" s="1"/>
  <c r="W2933" i="1" s="1"/>
  <c r="W2934" i="1" s="1"/>
  <c r="W2935" i="1" s="1"/>
  <c r="W2936" i="1" s="1"/>
  <c r="W2937" i="1" s="1"/>
  <c r="W2938" i="1" s="1"/>
  <c r="W2939" i="1" s="1"/>
  <c r="W2940" i="1" s="1"/>
  <c r="W2941" i="1" s="1"/>
  <c r="W2942" i="1" s="1"/>
  <c r="W2943" i="1" s="1"/>
  <c r="W2944" i="1" s="1"/>
  <c r="W2945" i="1" s="1"/>
  <c r="W2946" i="1" s="1"/>
  <c r="W2947" i="1" s="1"/>
  <c r="W2948" i="1" s="1"/>
  <c r="W2949" i="1" s="1"/>
  <c r="W2950" i="1" s="1"/>
  <c r="W2951" i="1" s="1"/>
  <c r="W2952" i="1" s="1"/>
  <c r="W2953" i="1" s="1"/>
  <c r="W2954" i="1" s="1"/>
  <c r="W2955" i="1" s="1"/>
  <c r="W2956" i="1" s="1"/>
  <c r="W2957" i="1" s="1"/>
  <c r="W2958" i="1" s="1"/>
  <c r="X1161" i="1"/>
  <c r="X1162" i="1" s="1"/>
  <c r="X1163" i="1" s="1"/>
  <c r="X1166" i="1" s="1"/>
  <c r="X1167" i="1" s="1"/>
  <c r="X1168" i="1" s="1"/>
  <c r="X1169" i="1" s="1"/>
  <c r="X1170" i="1" s="1"/>
  <c r="X1171" i="1" s="1"/>
  <c r="X1172" i="1" s="1"/>
  <c r="X1173" i="1" s="1"/>
  <c r="X1174" i="1" s="1"/>
  <c r="X1175" i="1" s="1"/>
  <c r="X1176" i="1" s="1"/>
  <c r="X1177" i="1" s="1"/>
  <c r="X1178" i="1" s="1"/>
  <c r="X1179" i="1" s="1"/>
  <c r="X1180" i="1" s="1"/>
  <c r="X1181" i="1" s="1"/>
  <c r="X1182" i="1" s="1"/>
  <c r="X1183" i="1" s="1"/>
  <c r="X1184" i="1" s="1"/>
  <c r="X1185" i="1" s="1"/>
  <c r="X1186" i="1" s="1"/>
  <c r="X1187" i="1" s="1"/>
  <c r="X1188" i="1" s="1"/>
  <c r="X1189" i="1" s="1"/>
  <c r="X1190" i="1" s="1"/>
  <c r="X1191" i="1" s="1"/>
  <c r="X1192" i="1" s="1"/>
  <c r="X1193" i="1" s="1"/>
  <c r="X1194" i="1" s="1"/>
  <c r="X1196" i="1" s="1"/>
  <c r="X1197" i="1" s="1"/>
  <c r="X1199" i="1" s="1"/>
  <c r="X1200" i="1" s="1"/>
  <c r="X1201" i="1" s="1"/>
  <c r="X1203" i="1" s="1"/>
  <c r="X1204" i="1" s="1"/>
  <c r="X1205" i="1" s="1"/>
  <c r="X1206" i="1" s="1"/>
  <c r="X1207" i="1" s="1"/>
  <c r="X1208" i="1" s="1"/>
  <c r="X1209" i="1" s="1"/>
  <c r="X1210" i="1" s="1"/>
  <c r="X1212" i="1" s="1"/>
  <c r="X1213" i="1" s="1"/>
  <c r="X1214" i="1" s="1"/>
  <c r="X1215" i="1" s="1"/>
  <c r="X1216" i="1" s="1"/>
  <c r="X1217" i="1" s="1"/>
  <c r="X1218" i="1" s="1"/>
  <c r="X1219" i="1" s="1"/>
  <c r="X1220" i="1" s="1"/>
  <c r="X1221" i="1" s="1"/>
  <c r="X1222" i="1" s="1"/>
  <c r="X1223" i="1" s="1"/>
  <c r="X1224" i="1" s="1"/>
  <c r="X1225" i="1" s="1"/>
  <c r="X1227" i="1" s="1"/>
  <c r="X1228" i="1" s="1"/>
  <c r="X1230" i="1" s="1"/>
  <c r="X1231" i="1" s="1"/>
  <c r="X1232" i="1" s="1"/>
  <c r="X1234" i="1" s="1"/>
  <c r="X1235" i="1" s="1"/>
  <c r="X1236" i="1" s="1"/>
  <c r="X1237" i="1" s="1"/>
  <c r="X1238" i="1" s="1"/>
  <c r="X1239" i="1" s="1"/>
  <c r="X1240" i="1" s="1"/>
  <c r="X1241" i="1" s="1"/>
  <c r="X1242" i="1" s="1"/>
  <c r="X1243" i="1" s="1"/>
  <c r="X1244" i="1" s="1"/>
  <c r="X1245" i="1" s="1"/>
  <c r="X1246" i="1" s="1"/>
  <c r="X1247" i="1" s="1"/>
  <c r="X1248" i="1" s="1"/>
  <c r="X1249" i="1" s="1"/>
  <c r="X1250" i="1" s="1"/>
  <c r="X1251" i="1" s="1"/>
  <c r="X1252" i="1" s="1"/>
  <c r="X1253" i="1" s="1"/>
  <c r="X1254" i="1" s="1"/>
  <c r="X1255" i="1" s="1"/>
  <c r="X1256" i="1" s="1"/>
  <c r="X1257" i="1" s="1"/>
  <c r="X1258" i="1" s="1"/>
  <c r="X1259" i="1" s="1"/>
  <c r="X1260" i="1" s="1"/>
  <c r="X1261" i="1" s="1"/>
  <c r="X1262" i="1" s="1"/>
  <c r="X1263" i="1" s="1"/>
  <c r="X1264" i="1" s="1"/>
  <c r="X1265" i="1" s="1"/>
  <c r="X1266" i="1" s="1"/>
  <c r="X1267" i="1" s="1"/>
  <c r="X1268" i="1" s="1"/>
  <c r="X1269" i="1" s="1"/>
  <c r="X1270" i="1" s="1"/>
  <c r="X1271" i="1" s="1"/>
  <c r="X1272" i="1" s="1"/>
  <c r="X1273" i="1" s="1"/>
  <c r="X1274" i="1" s="1"/>
  <c r="X1275" i="1" s="1"/>
  <c r="X1276" i="1" s="1"/>
  <c r="X1277" i="1" s="1"/>
  <c r="X1278" i="1" s="1"/>
  <c r="X1279" i="1" s="1"/>
  <c r="X1280" i="1" s="1"/>
  <c r="X1281" i="1" s="1"/>
  <c r="X1282" i="1" s="1"/>
  <c r="X1283" i="1" s="1"/>
  <c r="X1284" i="1" s="1"/>
  <c r="X1285" i="1" s="1"/>
  <c r="X1286" i="1" s="1"/>
  <c r="X1287" i="1" s="1"/>
  <c r="X1288" i="1" s="1"/>
  <c r="X1289" i="1" s="1"/>
  <c r="X1290" i="1" s="1"/>
  <c r="X1291" i="1" s="1"/>
  <c r="X1292" i="1" s="1"/>
  <c r="X1293" i="1" s="1"/>
  <c r="X1294" i="1" s="1"/>
  <c r="X1295" i="1" s="1"/>
  <c r="X1296" i="1" s="1"/>
  <c r="X1297" i="1" s="1"/>
  <c r="X1298" i="1" s="1"/>
  <c r="X1299" i="1" s="1"/>
  <c r="X1300" i="1" s="1"/>
  <c r="X1301" i="1" s="1"/>
  <c r="X1302" i="1" s="1"/>
  <c r="X1303" i="1" s="1"/>
  <c r="X1304" i="1" s="1"/>
  <c r="X1305" i="1" s="1"/>
  <c r="X1306" i="1" s="1"/>
  <c r="X1307" i="1" s="1"/>
  <c r="X1308" i="1" s="1"/>
  <c r="X1309" i="1" s="1"/>
  <c r="X1310" i="1" s="1"/>
  <c r="X1311" i="1" s="1"/>
  <c r="X1312" i="1" s="1"/>
  <c r="X1313" i="1" s="1"/>
  <c r="X1314" i="1" s="1"/>
  <c r="X1315" i="1" s="1"/>
  <c r="X1316" i="1" s="1"/>
  <c r="X1318" i="1" s="1"/>
  <c r="X1319" i="1" s="1"/>
  <c r="X1320" i="1" s="1"/>
  <c r="X1321" i="1" s="1"/>
  <c r="X1322" i="1" s="1"/>
  <c r="X1323" i="1" s="1"/>
  <c r="X1324" i="1" s="1"/>
  <c r="X1325" i="1" s="1"/>
  <c r="X1326" i="1" s="1"/>
  <c r="X1327" i="1" s="1"/>
  <c r="X1328" i="1" s="1"/>
  <c r="X1329" i="1" s="1"/>
  <c r="X1330" i="1" s="1"/>
  <c r="X1331" i="1" s="1"/>
  <c r="X1333" i="1" s="1"/>
  <c r="X1334" i="1" s="1"/>
  <c r="X1335" i="1" s="1"/>
  <c r="X1336" i="1" s="1"/>
  <c r="X1337" i="1" s="1"/>
  <c r="X1338" i="1" s="1"/>
  <c r="X1339" i="1" s="1"/>
  <c r="X1340" i="1" s="1"/>
  <c r="X1341" i="1" s="1"/>
  <c r="X1342" i="1" s="1"/>
  <c r="X1343" i="1" s="1"/>
  <c r="X1344" i="1" s="1"/>
  <c r="X1345" i="1" s="1"/>
  <c r="X1346" i="1" s="1"/>
  <c r="X1347" i="1" s="1"/>
  <c r="X1348" i="1" s="1"/>
  <c r="X1349" i="1" s="1"/>
  <c r="X1350" i="1" s="1"/>
  <c r="X1351" i="1" s="1"/>
  <c r="X1352" i="1" s="1"/>
  <c r="X1353" i="1" s="1"/>
  <c r="X1354" i="1" s="1"/>
  <c r="X1355" i="1" s="1"/>
  <c r="X1356" i="1" s="1"/>
  <c r="X1357" i="1" s="1"/>
  <c r="X1358" i="1" s="1"/>
  <c r="X1359" i="1" s="1"/>
  <c r="X1360" i="1" s="1"/>
  <c r="X1361" i="1" s="1"/>
  <c r="X1362" i="1" s="1"/>
  <c r="X1363" i="1" s="1"/>
  <c r="X1364" i="1" s="1"/>
  <c r="X1365" i="1" s="1"/>
  <c r="X1366" i="1" s="1"/>
  <c r="X1367" i="1" s="1"/>
  <c r="X1368" i="1" s="1"/>
  <c r="X1369" i="1" s="1"/>
  <c r="X1370" i="1" s="1"/>
  <c r="X1371" i="1" s="1"/>
  <c r="X1372" i="1" s="1"/>
  <c r="X1373" i="1" s="1"/>
  <c r="X1374" i="1" s="1"/>
  <c r="X1375" i="1" s="1"/>
  <c r="X1376" i="1" s="1"/>
  <c r="X1377" i="1" s="1"/>
  <c r="X1379" i="1" s="1"/>
  <c r="X1380" i="1" s="1"/>
  <c r="X1381" i="1" s="1"/>
  <c r="X1382" i="1" s="1"/>
  <c r="X1383" i="1" s="1"/>
  <c r="X1384" i="1" s="1"/>
  <c r="X1385" i="1" s="1"/>
  <c r="X1386" i="1" s="1"/>
  <c r="X1387" i="1" s="1"/>
  <c r="X1388" i="1" s="1"/>
  <c r="X1389" i="1" s="1"/>
  <c r="X1390" i="1" s="1"/>
  <c r="X1391" i="1" s="1"/>
  <c r="X1392" i="1" s="1"/>
  <c r="X1393" i="1" s="1"/>
  <c r="X1394" i="1" s="1"/>
  <c r="X1395" i="1" s="1"/>
  <c r="X1396" i="1" s="1"/>
  <c r="X1397" i="1" s="1"/>
  <c r="X1398" i="1" s="1"/>
  <c r="X1399" i="1" s="1"/>
  <c r="X1400" i="1" s="1"/>
  <c r="X1401" i="1" s="1"/>
  <c r="X1402" i="1" s="1"/>
  <c r="X1403" i="1" s="1"/>
  <c r="X1404" i="1" s="1"/>
  <c r="X1405" i="1" s="1"/>
  <c r="X1406" i="1" s="1"/>
  <c r="X1407" i="1" s="1"/>
  <c r="X1408" i="1" s="1"/>
  <c r="X1409" i="1" s="1"/>
  <c r="X1410" i="1" s="1"/>
  <c r="X1411" i="1" s="1"/>
  <c r="X1412" i="1" s="1"/>
  <c r="X1413" i="1" s="1"/>
  <c r="X1414" i="1" s="1"/>
  <c r="X1415" i="1" s="1"/>
  <c r="X1416" i="1" s="1"/>
  <c r="X1417" i="1" s="1"/>
  <c r="X1418" i="1" s="1"/>
  <c r="X1419" i="1" s="1"/>
  <c r="X1420" i="1" s="1"/>
  <c r="X1421" i="1" s="1"/>
  <c r="X1422" i="1" s="1"/>
  <c r="X1423" i="1" s="1"/>
  <c r="X1424" i="1" s="1"/>
  <c r="X1425" i="1" s="1"/>
  <c r="X1426" i="1" s="1"/>
  <c r="X1427" i="1" s="1"/>
  <c r="X1428" i="1" s="1"/>
  <c r="X1429" i="1" s="1"/>
  <c r="X1430" i="1" s="1"/>
  <c r="X1431" i="1" s="1"/>
  <c r="X1432" i="1" s="1"/>
  <c r="X1433" i="1" s="1"/>
  <c r="X1434" i="1" s="1"/>
  <c r="X1435" i="1" s="1"/>
  <c r="X1436" i="1" s="1"/>
  <c r="X1437" i="1" s="1"/>
  <c r="X1438" i="1" s="1"/>
  <c r="X1439" i="1" s="1"/>
  <c r="X1440" i="1" s="1"/>
  <c r="X1441" i="1" s="1"/>
  <c r="X1442" i="1" s="1"/>
  <c r="X1443" i="1" s="1"/>
  <c r="X1444" i="1" s="1"/>
  <c r="X1445" i="1" s="1"/>
  <c r="X1446" i="1" s="1"/>
  <c r="X1447" i="1" s="1"/>
  <c r="X1448" i="1" s="1"/>
  <c r="X1449" i="1" s="1"/>
  <c r="X1450" i="1" s="1"/>
  <c r="X1451" i="1" s="1"/>
  <c r="X1452" i="1" s="1"/>
  <c r="X1453" i="1" s="1"/>
  <c r="X1454" i="1" s="1"/>
  <c r="X1455" i="1" s="1"/>
  <c r="X1456" i="1" s="1"/>
  <c r="X1457" i="1" s="1"/>
  <c r="X1458" i="1" s="1"/>
  <c r="X1459" i="1" s="1"/>
  <c r="X1460" i="1" s="1"/>
  <c r="X1461" i="1" s="1"/>
  <c r="X1462" i="1" s="1"/>
  <c r="X1463" i="1" s="1"/>
  <c r="X1464" i="1" s="1"/>
  <c r="X1465" i="1" s="1"/>
  <c r="X1466" i="1" s="1"/>
  <c r="X1467" i="1" s="1"/>
  <c r="X1468" i="1" s="1"/>
  <c r="X1469" i="1" s="1"/>
  <c r="X1470" i="1" s="1"/>
  <c r="X1471" i="1" s="1"/>
  <c r="X1472" i="1" s="1"/>
  <c r="X1473" i="1" s="1"/>
  <c r="X1474" i="1" s="1"/>
  <c r="X1475" i="1" s="1"/>
  <c r="X1476" i="1" s="1"/>
  <c r="X1477" i="1" s="1"/>
  <c r="X1478" i="1" s="1"/>
  <c r="X1479" i="1" s="1"/>
  <c r="X1480" i="1" s="1"/>
  <c r="X1481" i="1" s="1"/>
  <c r="X1482" i="1" s="1"/>
  <c r="X1483" i="1" s="1"/>
  <c r="X1484" i="1" s="1"/>
  <c r="X1485" i="1" s="1"/>
  <c r="X1486" i="1" s="1"/>
  <c r="X1487" i="1" s="1"/>
  <c r="X1488" i="1" s="1"/>
  <c r="X1489" i="1" s="1"/>
  <c r="X1490" i="1" s="1"/>
  <c r="X1491" i="1" s="1"/>
  <c r="X1492" i="1" s="1"/>
  <c r="X1493" i="1" s="1"/>
  <c r="X1494" i="1" s="1"/>
  <c r="X1495" i="1" s="1"/>
  <c r="X1496" i="1" s="1"/>
  <c r="X1497" i="1" s="1"/>
  <c r="X1498" i="1" s="1"/>
  <c r="X1499" i="1" s="1"/>
  <c r="X1500" i="1" s="1"/>
  <c r="X1501" i="1" s="1"/>
  <c r="X1502" i="1" s="1"/>
  <c r="X1503" i="1" s="1"/>
  <c r="X1504" i="1" s="1"/>
  <c r="X1505" i="1" s="1"/>
  <c r="X1506" i="1" s="1"/>
  <c r="X1507" i="1" s="1"/>
  <c r="X1508" i="1" s="1"/>
  <c r="X1509" i="1" s="1"/>
  <c r="X1510" i="1" s="1"/>
  <c r="X1511" i="1" s="1"/>
  <c r="X1512" i="1" s="1"/>
  <c r="X1513" i="1" s="1"/>
  <c r="X1514" i="1" s="1"/>
  <c r="X1515" i="1" s="1"/>
  <c r="X1516" i="1" s="1"/>
  <c r="X1517" i="1" s="1"/>
  <c r="X1518" i="1" s="1"/>
  <c r="X1519" i="1" s="1"/>
  <c r="X1520" i="1" s="1"/>
  <c r="X1521" i="1" s="1"/>
  <c r="X1522" i="1" s="1"/>
  <c r="X1523" i="1" s="1"/>
  <c r="X1524" i="1" s="1"/>
  <c r="X1525" i="1" s="1"/>
  <c r="X1526" i="1" s="1"/>
  <c r="X1527" i="1" s="1"/>
  <c r="X1528" i="1" s="1"/>
  <c r="X1529" i="1" s="1"/>
  <c r="X1530" i="1" s="1"/>
  <c r="X1531" i="1" s="1"/>
  <c r="X1532" i="1" s="1"/>
  <c r="X1533" i="1" s="1"/>
  <c r="X1534" i="1" s="1"/>
  <c r="X1535" i="1" s="1"/>
  <c r="X1536" i="1" s="1"/>
  <c r="X1537" i="1" s="1"/>
  <c r="X1538" i="1" s="1"/>
  <c r="X1539" i="1" s="1"/>
  <c r="X1540" i="1" s="1"/>
  <c r="X1541" i="1" s="1"/>
  <c r="X1542" i="1" s="1"/>
  <c r="X1543" i="1" s="1"/>
  <c r="X1544" i="1" s="1"/>
  <c r="X1545" i="1" s="1"/>
  <c r="X1546" i="1" s="1"/>
  <c r="X1547" i="1" s="1"/>
  <c r="X1548" i="1" s="1"/>
  <c r="X1549" i="1" s="1"/>
  <c r="X1550" i="1" s="1"/>
  <c r="X1551" i="1" s="1"/>
  <c r="X1552" i="1" s="1"/>
  <c r="X1553" i="1" s="1"/>
  <c r="X1554" i="1" s="1"/>
  <c r="X1555" i="1" s="1"/>
  <c r="X1556" i="1" s="1"/>
  <c r="X1557" i="1" s="1"/>
  <c r="X1558" i="1" s="1"/>
  <c r="X1559" i="1" s="1"/>
  <c r="X1560" i="1" s="1"/>
  <c r="X1561" i="1" s="1"/>
  <c r="X1562" i="1" s="1"/>
  <c r="X1563" i="1" s="1"/>
  <c r="X1564" i="1" s="1"/>
  <c r="X1565" i="1" s="1"/>
  <c r="X1566" i="1" s="1"/>
  <c r="X1567" i="1" s="1"/>
  <c r="X1568" i="1" s="1"/>
  <c r="X1569" i="1" s="1"/>
  <c r="X1570" i="1" s="1"/>
  <c r="X1571" i="1" s="1"/>
  <c r="X1572" i="1" s="1"/>
  <c r="X1573" i="1" s="1"/>
  <c r="X1574" i="1" s="1"/>
  <c r="X1575" i="1" s="1"/>
  <c r="X1576" i="1" s="1"/>
  <c r="X1577" i="1" s="1"/>
  <c r="X1578" i="1" s="1"/>
  <c r="X1579" i="1" s="1"/>
  <c r="X1580" i="1" s="1"/>
  <c r="X1581" i="1" s="1"/>
  <c r="X1582" i="1" s="1"/>
  <c r="X1583" i="1" s="1"/>
  <c r="X1584" i="1" s="1"/>
  <c r="X1585" i="1" s="1"/>
  <c r="X1586" i="1" s="1"/>
  <c r="X1587" i="1" s="1"/>
  <c r="X1588" i="1" s="1"/>
  <c r="X1589" i="1" s="1"/>
  <c r="X1590" i="1" s="1"/>
  <c r="X1591" i="1" s="1"/>
  <c r="X1592" i="1" s="1"/>
  <c r="X1593" i="1" s="1"/>
  <c r="X1594" i="1" s="1"/>
  <c r="X1595" i="1" s="1"/>
  <c r="X1596" i="1" s="1"/>
  <c r="X1597" i="1" s="1"/>
  <c r="X1598" i="1" s="1"/>
  <c r="X1599" i="1" s="1"/>
  <c r="X1600" i="1" s="1"/>
  <c r="X1601" i="1" s="1"/>
  <c r="X1602" i="1" s="1"/>
  <c r="X1603" i="1" s="1"/>
  <c r="X1604" i="1" s="1"/>
  <c r="X1605" i="1" s="1"/>
  <c r="X1606" i="1" s="1"/>
  <c r="X1607" i="1" s="1"/>
  <c r="X1608" i="1" s="1"/>
  <c r="X1609" i="1" s="1"/>
  <c r="X1610" i="1" s="1"/>
  <c r="X1611" i="1" s="1"/>
  <c r="X1612" i="1" s="1"/>
  <c r="X1613" i="1" s="1"/>
  <c r="X1615" i="1" s="1"/>
  <c r="X1616" i="1" s="1"/>
  <c r="X1617" i="1" s="1"/>
  <c r="X1618" i="1" s="1"/>
  <c r="X1619" i="1" s="1"/>
  <c r="X1620" i="1" s="1"/>
  <c r="X1621" i="1" s="1"/>
  <c r="X1622" i="1" s="1"/>
  <c r="X1623" i="1" s="1"/>
  <c r="X1624" i="1" s="1"/>
  <c r="X1625" i="1" s="1"/>
  <c r="X1626" i="1" s="1"/>
  <c r="X1627" i="1" s="1"/>
  <c r="X1628" i="1" s="1"/>
  <c r="X1629" i="1" s="1"/>
  <c r="X1630" i="1" s="1"/>
  <c r="X1631" i="1" s="1"/>
  <c r="X1632" i="1" s="1"/>
  <c r="X1633" i="1" s="1"/>
  <c r="X1634" i="1" s="1"/>
  <c r="X1635" i="1" s="1"/>
  <c r="X1636" i="1" s="1"/>
  <c r="X1637" i="1" s="1"/>
  <c r="X1638" i="1" s="1"/>
  <c r="X1639" i="1" s="1"/>
  <c r="X1640" i="1" s="1"/>
  <c r="X1641" i="1" s="1"/>
  <c r="X1642" i="1" s="1"/>
  <c r="X1643" i="1" s="1"/>
  <c r="X1644" i="1" s="1"/>
  <c r="X1645" i="1" s="1"/>
  <c r="X1646" i="1" s="1"/>
  <c r="X1647" i="1" s="1"/>
  <c r="X1648" i="1" s="1"/>
  <c r="X1649" i="1" s="1"/>
  <c r="X1650" i="1" s="1"/>
  <c r="X1651" i="1" s="1"/>
  <c r="X1652" i="1" s="1"/>
  <c r="X1653" i="1" s="1"/>
  <c r="X1654" i="1" s="1"/>
  <c r="X1655" i="1" s="1"/>
  <c r="X1656" i="1" s="1"/>
  <c r="X1657" i="1" s="1"/>
  <c r="X1658" i="1" s="1"/>
  <c r="X1659" i="1" s="1"/>
  <c r="X1660" i="1" s="1"/>
  <c r="X1661" i="1" s="1"/>
  <c r="X1662" i="1" s="1"/>
  <c r="X1663" i="1" s="1"/>
  <c r="X1664" i="1" s="1"/>
  <c r="X1665" i="1" s="1"/>
  <c r="X1666" i="1" s="1"/>
  <c r="X1667" i="1" s="1"/>
  <c r="X1668" i="1" s="1"/>
  <c r="X1669" i="1" s="1"/>
  <c r="X1670" i="1" s="1"/>
  <c r="X1671" i="1" s="1"/>
  <c r="X1672" i="1" s="1"/>
  <c r="X1673" i="1" s="1"/>
  <c r="X1674" i="1" s="1"/>
  <c r="X1675" i="1" s="1"/>
  <c r="X1676" i="1" s="1"/>
  <c r="X1677" i="1" s="1"/>
  <c r="X1678" i="1" s="1"/>
  <c r="X1679" i="1" s="1"/>
  <c r="X1680" i="1" s="1"/>
  <c r="X1681" i="1" s="1"/>
  <c r="X1683" i="1" s="1"/>
  <c r="X1684" i="1" l="1"/>
  <c r="X1685" i="1" s="1"/>
  <c r="X1686" i="1" s="1"/>
  <c r="X1687" i="1" s="1"/>
  <c r="X1688" i="1" s="1"/>
  <c r="X1689" i="1" s="1"/>
  <c r="X1690" i="1" s="1"/>
  <c r="X1691" i="1" s="1"/>
  <c r="X1692" i="1" s="1"/>
  <c r="X1693" i="1" s="1"/>
  <c r="X1694" i="1" s="1"/>
  <c r="X1695" i="1" s="1"/>
  <c r="X1696" i="1" s="1"/>
  <c r="X1697" i="1" s="1"/>
  <c r="X1698" i="1" s="1"/>
  <c r="X1699" i="1" s="1"/>
  <c r="X1700" i="1" s="1"/>
  <c r="X1701" i="1" s="1"/>
  <c r="X1702" i="1" s="1"/>
  <c r="X1703" i="1" s="1"/>
  <c r="X1704" i="1" s="1"/>
  <c r="X1705" i="1" s="1"/>
  <c r="X1706" i="1" s="1"/>
  <c r="X1707" i="1" s="1"/>
  <c r="X1708" i="1" s="1"/>
  <c r="X1709" i="1" s="1"/>
  <c r="X1710" i="1" s="1"/>
  <c r="X1711" i="1" s="1"/>
  <c r="X1712" i="1" s="1"/>
  <c r="X1713" i="1" s="1"/>
  <c r="X1714" i="1" s="1"/>
  <c r="X1716" i="1" s="1"/>
  <c r="X1717" i="1" s="1"/>
  <c r="X1718" i="1" s="1"/>
  <c r="X1720" i="1" s="1"/>
  <c r="X1721" i="1" s="1"/>
  <c r="X1722" i="1" s="1"/>
  <c r="X1723" i="1" s="1"/>
  <c r="X1724" i="1" s="1"/>
  <c r="X1725" i="1" s="1"/>
  <c r="X1726" i="1" s="1"/>
  <c r="X1727" i="1" s="1"/>
  <c r="X1728" i="1" s="1"/>
  <c r="X1729" i="1" s="1"/>
  <c r="X1730" i="1" s="1"/>
  <c r="X1731" i="1" s="1"/>
  <c r="X1732" i="1" s="1"/>
  <c r="X1733" i="1" s="1"/>
  <c r="X1734" i="1" s="1"/>
  <c r="X1735" i="1" s="1"/>
  <c r="X1736" i="1" s="1"/>
  <c r="X1737" i="1" s="1"/>
  <c r="X1738" i="1" s="1"/>
  <c r="X1739" i="1" s="1"/>
  <c r="X1740" i="1" s="1"/>
  <c r="X1741" i="1" s="1"/>
  <c r="X1742" i="1" s="1"/>
  <c r="X1743" i="1" s="1"/>
  <c r="X1744" i="1" s="1"/>
  <c r="X1745" i="1" s="1"/>
  <c r="X1746" i="1" s="1"/>
  <c r="X1747" i="1" s="1"/>
  <c r="X1748" i="1" s="1"/>
  <c r="X1749" i="1" s="1"/>
  <c r="X1750" i="1" s="1"/>
  <c r="X1751" i="1" s="1"/>
  <c r="X1752" i="1" s="1"/>
  <c r="X1753" i="1" s="1"/>
  <c r="X1754" i="1" s="1"/>
  <c r="X1755" i="1" s="1"/>
  <c r="X1756" i="1" s="1"/>
  <c r="X1757" i="1" s="1"/>
  <c r="X1758" i="1" s="1"/>
  <c r="X1759" i="1" s="1"/>
  <c r="X1760" i="1" s="1"/>
  <c r="X1761" i="1" s="1"/>
  <c r="X1762" i="1" s="1"/>
  <c r="X1763" i="1" s="1"/>
  <c r="X1764" i="1" s="1"/>
  <c r="X1765" i="1" s="1"/>
  <c r="X1766" i="1" s="1"/>
  <c r="X1767" i="1" s="1"/>
  <c r="X1768" i="1" s="1"/>
  <c r="X1769" i="1" s="1"/>
  <c r="X1770" i="1" s="1"/>
  <c r="X1771" i="1" s="1"/>
  <c r="X1772" i="1" s="1"/>
  <c r="X1773" i="1" s="1"/>
  <c r="X1774" i="1" s="1"/>
  <c r="X1775" i="1" s="1"/>
  <c r="X1776" i="1" s="1"/>
  <c r="X1777" i="1" s="1"/>
  <c r="X1778" i="1" s="1"/>
  <c r="X1779" i="1" s="1"/>
  <c r="X1780" i="1" s="1"/>
  <c r="X1781" i="1" s="1"/>
  <c r="X1782" i="1" s="1"/>
  <c r="X1783" i="1" s="1"/>
  <c r="X1784" i="1" s="1"/>
  <c r="X1785" i="1" s="1"/>
  <c r="X1786" i="1" s="1"/>
  <c r="X1787" i="1" s="1"/>
  <c r="X1788" i="1" s="1"/>
  <c r="X1789" i="1" s="1"/>
  <c r="X1790" i="1" s="1"/>
  <c r="X1791" i="1" s="1"/>
  <c r="X1792" i="1" s="1"/>
  <c r="X1793" i="1" s="1"/>
  <c r="X1794" i="1" s="1"/>
  <c r="X1795" i="1" s="1"/>
  <c r="X1796" i="1" s="1"/>
  <c r="X1797" i="1" s="1"/>
  <c r="X1798" i="1" s="1"/>
  <c r="X1799" i="1" s="1"/>
  <c r="X1800" i="1" s="1"/>
  <c r="X1801" i="1" s="1"/>
  <c r="X1802" i="1" s="1"/>
  <c r="X1803" i="1" s="1"/>
  <c r="X1804" i="1" s="1"/>
  <c r="X1805" i="1" s="1"/>
  <c r="X1806" i="1" s="1"/>
  <c r="X1807" i="1" s="1"/>
  <c r="X1808" i="1" s="1"/>
  <c r="X1809" i="1" s="1"/>
  <c r="X1810" i="1" s="1"/>
  <c r="X1811" i="1" s="1"/>
  <c r="X1812" i="1" s="1"/>
  <c r="X1813" i="1" s="1"/>
  <c r="X1814" i="1" s="1"/>
  <c r="X1815" i="1" s="1"/>
  <c r="X1816" i="1" s="1"/>
  <c r="X1817" i="1" s="1"/>
  <c r="X1818" i="1" s="1"/>
  <c r="X1819" i="1" s="1"/>
  <c r="X1820" i="1" s="1"/>
  <c r="X1821" i="1" s="1"/>
  <c r="X1822" i="1" s="1"/>
  <c r="X1823" i="1" s="1"/>
  <c r="X1824" i="1" s="1"/>
  <c r="X1825" i="1" s="1"/>
  <c r="X1826" i="1" s="1"/>
  <c r="X1827" i="1" s="1"/>
  <c r="X1828" i="1" s="1"/>
  <c r="X1829" i="1" s="1"/>
  <c r="X1830" i="1" s="1"/>
  <c r="X1831" i="1" s="1"/>
  <c r="X1832" i="1" s="1"/>
  <c r="X1833" i="1" s="1"/>
  <c r="X1834" i="1" s="1"/>
  <c r="X1835" i="1" s="1"/>
  <c r="X1836" i="1" s="1"/>
  <c r="X1837" i="1" s="1"/>
  <c r="X1838" i="1" s="1"/>
  <c r="X1839" i="1" s="1"/>
  <c r="X1840" i="1" s="1"/>
  <c r="X1841" i="1" s="1"/>
  <c r="X1842" i="1" s="1"/>
  <c r="X1843" i="1" s="1"/>
  <c r="X1844" i="1" s="1"/>
  <c r="X1845" i="1" s="1"/>
  <c r="X1846" i="1" s="1"/>
  <c r="X1847" i="1" l="1"/>
  <c r="X1848" i="1" s="1"/>
  <c r="X1849" i="1" s="1"/>
  <c r="X1850" i="1" s="1"/>
  <c r="X1851" i="1" s="1"/>
  <c r="X1852" i="1" s="1"/>
  <c r="X1853" i="1" s="1"/>
  <c r="X1854" i="1" s="1"/>
  <c r="X1855" i="1" s="1"/>
  <c r="X1856" i="1" s="1"/>
  <c r="X1857" i="1" s="1"/>
  <c r="X1858" i="1" s="1"/>
  <c r="X1859" i="1" s="1"/>
  <c r="X1860" i="1" s="1"/>
  <c r="X1861" i="1" s="1"/>
  <c r="X1862" i="1" s="1"/>
  <c r="X1863" i="1" s="1"/>
  <c r="X1864" i="1" s="1"/>
  <c r="X1865" i="1" s="1"/>
  <c r="X1866" i="1" s="1"/>
  <c r="X1867" i="1" s="1"/>
  <c r="X1868" i="1" s="1"/>
  <c r="X1869" i="1" s="1"/>
  <c r="X1870" i="1" s="1"/>
  <c r="X1871" i="1" s="1"/>
  <c r="X1872" i="1" s="1"/>
  <c r="X1873" i="1" s="1"/>
  <c r="X1874" i="1" s="1"/>
  <c r="X1875" i="1" l="1"/>
  <c r="X1876" i="1" s="1"/>
  <c r="X1877" i="1" s="1"/>
  <c r="X1878" i="1" s="1"/>
  <c r="X1879" i="1" s="1"/>
  <c r="X1880" i="1" s="1"/>
  <c r="X1881" i="1" s="1"/>
  <c r="X1882" i="1" s="1"/>
  <c r="X1883" i="1" s="1"/>
  <c r="X1884" i="1" s="1"/>
  <c r="X1885" i="1" s="1"/>
  <c r="X1886" i="1" s="1"/>
  <c r="X1887" i="1" s="1"/>
  <c r="X1888" i="1" s="1"/>
  <c r="X1889" i="1" s="1"/>
  <c r="X1890" i="1" s="1"/>
  <c r="X1891" i="1" s="1"/>
  <c r="X1892" i="1" s="1"/>
  <c r="X1893" i="1" s="1"/>
  <c r="X1894" i="1" s="1"/>
  <c r="X1895" i="1" s="1"/>
  <c r="X1896" i="1" s="1"/>
  <c r="X1897" i="1" s="1"/>
  <c r="X1898" i="1" s="1"/>
  <c r="X1899" i="1" s="1"/>
  <c r="X1900" i="1" s="1"/>
  <c r="X1901" i="1" s="1"/>
  <c r="X1902" i="1" s="1"/>
  <c r="X1903" i="1" s="1"/>
  <c r="X1904" i="1" s="1"/>
  <c r="X1905" i="1" s="1"/>
  <c r="X1906" i="1" s="1"/>
  <c r="X1907" i="1" s="1"/>
  <c r="X1908" i="1" s="1"/>
  <c r="X1909" i="1" s="1"/>
  <c r="X1910" i="1" s="1"/>
  <c r="X1911" i="1" s="1"/>
  <c r="X1912" i="1" s="1"/>
  <c r="X1913" i="1" s="1"/>
  <c r="X1914" i="1" s="1"/>
  <c r="X1915" i="1" s="1"/>
  <c r="X1916" i="1" s="1"/>
  <c r="X1917" i="1" s="1"/>
  <c r="X1918" i="1" s="1"/>
  <c r="X1919" i="1" s="1"/>
  <c r="X1920" i="1" s="1"/>
  <c r="X1921" i="1" s="1"/>
  <c r="X1922" i="1" s="1"/>
  <c r="X1923" i="1" s="1"/>
  <c r="X1924" i="1" s="1"/>
  <c r="X1925" i="1" s="1"/>
  <c r="X1926" i="1" s="1"/>
  <c r="X1927" i="1" s="1"/>
  <c r="X1928" i="1" s="1"/>
  <c r="X1929" i="1" s="1"/>
  <c r="X1930" i="1" s="1"/>
  <c r="X1931" i="1" s="1"/>
  <c r="X1932" i="1" s="1"/>
  <c r="X1933" i="1" s="1"/>
  <c r="X1934" i="1" s="1"/>
  <c r="X1935" i="1" s="1"/>
  <c r="X1936" i="1" s="1"/>
  <c r="X1937" i="1" s="1"/>
  <c r="X1938" i="1" s="1"/>
  <c r="X1939" i="1" s="1"/>
  <c r="X1940" i="1" s="1"/>
  <c r="X1941" i="1" s="1"/>
  <c r="X1942" i="1" s="1"/>
  <c r="X1943" i="1" s="1"/>
  <c r="X1944" i="1" s="1"/>
  <c r="X1945" i="1" s="1"/>
  <c r="X1946" i="1" s="1"/>
  <c r="X1947" i="1" s="1"/>
  <c r="X1948" i="1" s="1"/>
  <c r="X1949" i="1" s="1"/>
  <c r="X1950" i="1" s="1"/>
  <c r="X1951" i="1" s="1"/>
  <c r="X1952" i="1" s="1"/>
  <c r="X1953" i="1" s="1"/>
  <c r="X1954" i="1" s="1"/>
  <c r="X1955" i="1" s="1"/>
  <c r="X1956" i="1" s="1"/>
  <c r="X1957" i="1" s="1"/>
  <c r="X1958" i="1" s="1"/>
  <c r="X1959" i="1" s="1"/>
  <c r="X1960" i="1" s="1"/>
  <c r="X1961" i="1" s="1"/>
  <c r="X1962" i="1" s="1"/>
  <c r="X1963" i="1" s="1"/>
  <c r="X1964" i="1" s="1"/>
  <c r="X1965" i="1" s="1"/>
  <c r="X1966" i="1" s="1"/>
  <c r="X1967" i="1" s="1"/>
  <c r="X1968" i="1" s="1"/>
  <c r="X1969" i="1" s="1"/>
  <c r="X1970" i="1" s="1"/>
  <c r="X1971" i="1" s="1"/>
  <c r="X1972" i="1" s="1"/>
  <c r="X1973" i="1" s="1"/>
  <c r="X1974" i="1" s="1"/>
  <c r="X1975" i="1" s="1"/>
  <c r="X1976" i="1" s="1"/>
  <c r="X1977" i="1" s="1"/>
  <c r="X1978" i="1" s="1"/>
  <c r="X1979" i="1" s="1"/>
  <c r="X1980" i="1" s="1"/>
  <c r="X1981" i="1" s="1"/>
  <c r="X1982" i="1" s="1"/>
  <c r="X1983" i="1" s="1"/>
  <c r="X1984" i="1" s="1"/>
  <c r="X1985" i="1" s="1"/>
  <c r="X1986" i="1" s="1"/>
  <c r="X1987" i="1" s="1"/>
  <c r="X1988" i="1" s="1"/>
  <c r="X1989" i="1" s="1"/>
  <c r="X1990" i="1" s="1"/>
  <c r="X1991" i="1" s="1"/>
  <c r="X1992" i="1" s="1"/>
  <c r="X1993" i="1" s="1"/>
  <c r="X1994" i="1" s="1"/>
  <c r="X1995" i="1" s="1"/>
  <c r="X1996" i="1" s="1"/>
  <c r="X1997" i="1" s="1"/>
  <c r="X1998" i="1" s="1"/>
  <c r="X1999" i="1" s="1"/>
  <c r="X2000" i="1" s="1"/>
  <c r="X2001" i="1" s="1"/>
  <c r="X2002" i="1" s="1"/>
  <c r="X2003" i="1" s="1"/>
  <c r="X2004" i="1" s="1"/>
  <c r="X2005" i="1" s="1"/>
  <c r="X2006" i="1" s="1"/>
  <c r="X2007" i="1" s="1"/>
  <c r="X2008" i="1" s="1"/>
  <c r="X2009" i="1" s="1"/>
  <c r="X2010" i="1" s="1"/>
  <c r="X2011" i="1" s="1"/>
  <c r="X2012" i="1" s="1"/>
  <c r="X2013" i="1" s="1"/>
  <c r="X2014" i="1" s="1"/>
  <c r="X2015" i="1" s="1"/>
  <c r="X2016" i="1" s="1"/>
  <c r="X2017" i="1" s="1"/>
  <c r="X2018" i="1" s="1"/>
  <c r="X2019" i="1" s="1"/>
  <c r="X2020" i="1" s="1"/>
  <c r="X2021" i="1" s="1"/>
  <c r="X2022" i="1" s="1"/>
  <c r="X2023" i="1" s="1"/>
  <c r="X2024" i="1" s="1"/>
  <c r="X2025" i="1" s="1"/>
  <c r="X2026" i="1" s="1"/>
  <c r="X2027" i="1" s="1"/>
  <c r="X2028" i="1" s="1"/>
  <c r="X2029" i="1" s="1"/>
  <c r="X2030" i="1" s="1"/>
  <c r="X2031" i="1" s="1"/>
  <c r="X2032" i="1" s="1"/>
  <c r="X2033" i="1" s="1"/>
  <c r="X2034" i="1" s="1"/>
  <c r="X2035" i="1" s="1"/>
  <c r="X2036" i="1" s="1"/>
  <c r="X2037" i="1" s="1"/>
  <c r="X2038" i="1" s="1"/>
  <c r="X2039" i="1" s="1"/>
  <c r="X2040" i="1" s="1"/>
  <c r="X2041" i="1" s="1"/>
  <c r="X2042" i="1" s="1"/>
  <c r="X2043" i="1" s="1"/>
  <c r="X2044" i="1" s="1"/>
  <c r="X2045" i="1" s="1"/>
  <c r="X2046" i="1" s="1"/>
  <c r="X2047" i="1" s="1"/>
  <c r="X2048" i="1" s="1"/>
  <c r="X2049" i="1" s="1"/>
  <c r="X2050" i="1" s="1"/>
  <c r="X2051" i="1" s="1"/>
  <c r="X2052" i="1" s="1"/>
  <c r="X2053" i="1" s="1"/>
  <c r="X2054" i="1" s="1"/>
  <c r="X2055" i="1" s="1"/>
  <c r="X2056" i="1" s="1"/>
  <c r="X2057" i="1" s="1"/>
  <c r="X2058" i="1" s="1"/>
  <c r="X2059" i="1" s="1"/>
  <c r="X2060" i="1" s="1"/>
  <c r="X2061" i="1" s="1"/>
  <c r="X2062" i="1" s="1"/>
  <c r="X2063" i="1" s="1"/>
  <c r="X2064" i="1" s="1"/>
  <c r="X2065" i="1" s="1"/>
  <c r="X2066" i="1" s="1"/>
  <c r="X2067" i="1" s="1"/>
  <c r="X2068" i="1" s="1"/>
  <c r="X2069" i="1" s="1"/>
  <c r="X2070" i="1" s="1"/>
  <c r="X2071" i="1" s="1"/>
  <c r="X2072" i="1" s="1"/>
  <c r="X2073" i="1" s="1"/>
  <c r="X2074" i="1" s="1"/>
  <c r="X2075" i="1" s="1"/>
  <c r="X2076" i="1" s="1"/>
  <c r="X2077" i="1" s="1"/>
  <c r="X2078" i="1" s="1"/>
  <c r="X2079" i="1" s="1"/>
  <c r="X2080" i="1" s="1"/>
  <c r="X2081" i="1" s="1"/>
  <c r="X2082" i="1" s="1"/>
  <c r="X2083" i="1" s="1"/>
  <c r="X2084" i="1" s="1"/>
  <c r="X2085" i="1" s="1"/>
  <c r="X2086" i="1" s="1"/>
  <c r="X2087" i="1" s="1"/>
  <c r="X2088" i="1" s="1"/>
  <c r="X2089" i="1" s="1"/>
  <c r="X2090" i="1" s="1"/>
  <c r="X2091" i="1" s="1"/>
  <c r="X2092" i="1" s="1"/>
  <c r="X2093" i="1" s="1"/>
  <c r="X2094" i="1" s="1"/>
  <c r="X2095" i="1" s="1"/>
  <c r="X2096" i="1" s="1"/>
  <c r="X2097" i="1" s="1"/>
  <c r="X2098" i="1" s="1"/>
  <c r="X2099" i="1" s="1"/>
  <c r="X2100" i="1" s="1"/>
  <c r="X2101" i="1" s="1"/>
  <c r="X2102" i="1" s="1"/>
  <c r="X2103" i="1" s="1"/>
  <c r="X2104" i="1" s="1"/>
  <c r="X2105" i="1" s="1"/>
  <c r="X2106" i="1" s="1"/>
  <c r="X2107" i="1" s="1"/>
  <c r="X2108" i="1" s="1"/>
  <c r="X2109" i="1" s="1"/>
  <c r="X2110" i="1" s="1"/>
  <c r="X2111" i="1" s="1"/>
  <c r="X2112" i="1" s="1"/>
  <c r="X2113" i="1" s="1"/>
  <c r="X2114" i="1" s="1"/>
  <c r="X2115" i="1" s="1"/>
  <c r="X2116" i="1" s="1"/>
  <c r="X2117" i="1" s="1"/>
  <c r="X2118" i="1" s="1"/>
  <c r="X2119" i="1" s="1"/>
  <c r="X2120" i="1" s="1"/>
  <c r="X2121" i="1" s="1"/>
  <c r="X2122" i="1" s="1"/>
  <c r="X2123" i="1" s="1"/>
  <c r="X2124" i="1" s="1"/>
  <c r="X2125" i="1" s="1"/>
  <c r="X2126" i="1" s="1"/>
  <c r="X2127" i="1" s="1"/>
  <c r="X2128" i="1" s="1"/>
  <c r="X2129" i="1" s="1"/>
  <c r="X2130" i="1" s="1"/>
  <c r="X2131" i="1" s="1"/>
  <c r="X2132" i="1" s="1"/>
  <c r="X2133" i="1" s="1"/>
  <c r="X2134" i="1" s="1"/>
  <c r="X2135" i="1" s="1"/>
  <c r="X2136" i="1" s="1"/>
  <c r="X2137" i="1" s="1"/>
  <c r="X2138" i="1" s="1"/>
  <c r="X2139" i="1" s="1"/>
  <c r="X2140" i="1" s="1"/>
  <c r="X2141" i="1" s="1"/>
  <c r="X2142" i="1" s="1"/>
  <c r="X2143" i="1" s="1"/>
  <c r="X2144" i="1" s="1"/>
  <c r="X2145" i="1" s="1"/>
  <c r="X2146" i="1" s="1"/>
  <c r="X2147" i="1" s="1"/>
  <c r="X2148" i="1" s="1"/>
  <c r="X2149" i="1" s="1"/>
  <c r="X2150" i="1" s="1"/>
  <c r="X2151" i="1" s="1"/>
  <c r="X2152" i="1" s="1"/>
  <c r="X2153" i="1" s="1"/>
  <c r="X2154" i="1" s="1"/>
  <c r="X2155" i="1" s="1"/>
  <c r="X2156" i="1" s="1"/>
  <c r="X2157" i="1" s="1"/>
  <c r="X2158" i="1" s="1"/>
  <c r="X2159" i="1" s="1"/>
  <c r="X2160" i="1" s="1"/>
  <c r="X2161" i="1" s="1"/>
  <c r="X2162" i="1" s="1"/>
  <c r="X2163" i="1" s="1"/>
  <c r="X2164" i="1" s="1"/>
  <c r="X2165" i="1" s="1"/>
  <c r="X2166" i="1" s="1"/>
  <c r="X2167" i="1" s="1"/>
  <c r="X2168" i="1" s="1"/>
  <c r="X2169" i="1" s="1"/>
  <c r="X2170" i="1" s="1"/>
  <c r="X2171" i="1" s="1"/>
  <c r="X2172" i="1" s="1"/>
  <c r="X2173" i="1" s="1"/>
  <c r="X2174" i="1" s="1"/>
  <c r="X2175" i="1" s="1"/>
  <c r="X2176" i="1" s="1"/>
  <c r="X2177" i="1" s="1"/>
  <c r="X2178" i="1" s="1"/>
  <c r="X2179" i="1" s="1"/>
  <c r="X2180" i="1" s="1"/>
  <c r="X2181" i="1" s="1"/>
  <c r="X2182" i="1" s="1"/>
  <c r="X2183" i="1" s="1"/>
  <c r="X2184" i="1" s="1"/>
  <c r="X2185" i="1" s="1"/>
  <c r="X2186" i="1" s="1"/>
  <c r="X2187" i="1" s="1"/>
  <c r="X2188" i="1" s="1"/>
  <c r="X2189" i="1" s="1"/>
  <c r="X2190" i="1" s="1"/>
  <c r="X2191" i="1" s="1"/>
  <c r="X2192" i="1" s="1"/>
  <c r="X2193" i="1" s="1"/>
  <c r="X2194" i="1" s="1"/>
  <c r="X2195" i="1" s="1"/>
  <c r="X2196" i="1" s="1"/>
  <c r="X2197" i="1" s="1"/>
  <c r="X2198" i="1" s="1"/>
  <c r="X2199" i="1" s="1"/>
  <c r="X2200" i="1" s="1"/>
  <c r="X2201" i="1" s="1"/>
  <c r="X2202" i="1" s="1"/>
  <c r="X2203" i="1" s="1"/>
  <c r="X2204" i="1" s="1"/>
  <c r="X2205" i="1" s="1"/>
  <c r="X2206" i="1" s="1"/>
  <c r="X2207" i="1" s="1"/>
  <c r="X2209" i="1" s="1"/>
  <c r="X2210" i="1" s="1"/>
  <c r="X2211" i="1" s="1"/>
  <c r="X2212" i="1" s="1"/>
  <c r="X2213" i="1" s="1"/>
  <c r="X2214" i="1" s="1"/>
  <c r="X2215" i="1" s="1"/>
  <c r="X2217" i="1" s="1"/>
  <c r="X2218" i="1" s="1"/>
  <c r="X2219" i="1" s="1"/>
  <c r="X2220" i="1" s="1"/>
  <c r="X2221" i="1" s="1"/>
  <c r="X2222" i="1" s="1"/>
  <c r="X2223" i="1" s="1"/>
  <c r="X2224" i="1" s="1"/>
  <c r="X2225" i="1" s="1"/>
  <c r="X2226" i="1" s="1"/>
  <c r="X2228" i="1" s="1"/>
  <c r="X2229" i="1" s="1"/>
  <c r="X2230" i="1" s="1"/>
  <c r="X2231" i="1" s="1"/>
  <c r="X2232" i="1" s="1"/>
  <c r="X2233" i="1" s="1"/>
  <c r="X2234" i="1" s="1"/>
  <c r="X2236" i="1" s="1"/>
  <c r="X2237" i="1" s="1"/>
  <c r="X2238" i="1" s="1"/>
  <c r="X2239" i="1" s="1"/>
  <c r="X2240" i="1" s="1"/>
  <c r="X2241" i="1" s="1"/>
  <c r="X2242" i="1" s="1"/>
  <c r="X2243" i="1" s="1"/>
  <c r="X2244" i="1" s="1"/>
  <c r="X2245" i="1" s="1"/>
  <c r="X2246" i="1" s="1"/>
  <c r="X2247" i="1" s="1"/>
  <c r="X2248" i="1" s="1"/>
  <c r="X2249" i="1" s="1"/>
  <c r="X2250" i="1" s="1"/>
  <c r="X2251" i="1" s="1"/>
  <c r="X2253" i="1" s="1"/>
  <c r="X2254" i="1" s="1"/>
  <c r="X2255" i="1" s="1"/>
  <c r="X2256" i="1" s="1"/>
  <c r="X2257" i="1" s="1"/>
  <c r="X2258" i="1" s="1"/>
  <c r="X2259" i="1" s="1"/>
  <c r="X2260" i="1" s="1"/>
  <c r="X2261" i="1" s="1"/>
  <c r="X2262" i="1" s="1"/>
  <c r="X2263" i="1" s="1"/>
  <c r="X2264" i="1" s="1"/>
  <c r="X2265" i="1" s="1"/>
  <c r="X2266" i="1" s="1"/>
  <c r="X2267" i="1" s="1"/>
  <c r="X2268" i="1" s="1"/>
  <c r="X2269" i="1" s="1"/>
  <c r="X2270" i="1" s="1"/>
  <c r="X2271" i="1" s="1"/>
  <c r="X2272" i="1" s="1"/>
  <c r="X2273" i="1" s="1"/>
  <c r="X2274" i="1" s="1"/>
  <c r="X2275" i="1" s="1"/>
  <c r="X2276" i="1" s="1"/>
  <c r="X2277" i="1" s="1"/>
  <c r="X2278" i="1" s="1"/>
  <c r="X2279" i="1" s="1"/>
  <c r="X2280" i="1" s="1"/>
  <c r="X2281" i="1" s="1"/>
  <c r="X2282" i="1" s="1"/>
  <c r="X2283" i="1" s="1"/>
  <c r="X2284" i="1" s="1"/>
  <c r="X2285" i="1" s="1"/>
  <c r="X2286" i="1" s="1"/>
  <c r="X2287" i="1" s="1"/>
  <c r="X2288" i="1" s="1"/>
  <c r="X2289" i="1" s="1"/>
  <c r="X2290" i="1" s="1"/>
  <c r="X2291" i="1" s="1"/>
  <c r="X2292" i="1" s="1"/>
  <c r="X2293" i="1" s="1"/>
  <c r="X2294" i="1" s="1"/>
  <c r="X2295" i="1" s="1"/>
  <c r="X2296" i="1" s="1"/>
  <c r="X2297" i="1" s="1"/>
  <c r="X2298" i="1" s="1"/>
  <c r="X2299" i="1" s="1"/>
  <c r="X2300" i="1" s="1"/>
  <c r="X2301" i="1" s="1"/>
  <c r="X2302" i="1" s="1"/>
  <c r="X2303" i="1" s="1"/>
  <c r="X2304" i="1" s="1"/>
  <c r="X2305" i="1" s="1"/>
  <c r="X2306" i="1" s="1"/>
  <c r="X2307" i="1" s="1"/>
  <c r="X2308" i="1" s="1"/>
  <c r="X2309" i="1" s="1"/>
  <c r="X2310" i="1" s="1"/>
  <c r="X2312" i="1" s="1"/>
  <c r="X2313" i="1" s="1"/>
  <c r="X2314" i="1" s="1"/>
  <c r="X2315" i="1" s="1"/>
  <c r="X2316" i="1" s="1"/>
  <c r="X2317" i="1" s="1"/>
  <c r="X2318" i="1" s="1"/>
  <c r="X2319" i="1" s="1"/>
  <c r="X2320" i="1" s="1"/>
  <c r="X2321" i="1" s="1"/>
  <c r="X2322" i="1" s="1"/>
  <c r="X2323" i="1" s="1"/>
  <c r="X2324" i="1" s="1"/>
  <c r="X2325" i="1" s="1"/>
  <c r="X2326" i="1" s="1"/>
  <c r="X2327" i="1" s="1"/>
  <c r="X2328" i="1" s="1"/>
  <c r="X2329" i="1" s="1"/>
  <c r="X2330" i="1" s="1"/>
  <c r="X2331" i="1" s="1"/>
  <c r="X2332" i="1" s="1"/>
  <c r="X2333" i="1" s="1"/>
  <c r="X2334" i="1" s="1"/>
  <c r="X2335" i="1" s="1"/>
  <c r="X2336" i="1" s="1"/>
  <c r="X2337" i="1" s="1"/>
  <c r="X2338" i="1" s="1"/>
  <c r="X2340" i="1" s="1"/>
  <c r="X2341" i="1" s="1"/>
  <c r="X2342" i="1" s="1"/>
  <c r="X2343" i="1" s="1"/>
  <c r="X2344" i="1" s="1"/>
  <c r="X2345" i="1" s="1"/>
  <c r="X2346" i="1" s="1"/>
  <c r="X2347" i="1" s="1"/>
  <c r="X2348" i="1" s="1"/>
  <c r="X2349" i="1" s="1"/>
  <c r="X2350" i="1" s="1"/>
  <c r="X2352" i="1" s="1"/>
  <c r="X2353" i="1" s="1"/>
  <c r="X2354" i="1" s="1"/>
  <c r="X2355" i="1" s="1"/>
  <c r="X2356" i="1" s="1"/>
  <c r="X2357" i="1" s="1"/>
  <c r="X2358" i="1" s="1"/>
  <c r="X2359" i="1" s="1"/>
  <c r="X2360" i="1" s="1"/>
  <c r="X2361" i="1" s="1"/>
  <c r="X2362" i="1" s="1"/>
  <c r="X2363" i="1" s="1"/>
  <c r="X2364" i="1" s="1"/>
  <c r="X2365" i="1" s="1"/>
  <c r="X2366" i="1" s="1"/>
  <c r="X2368" i="1" s="1"/>
  <c r="X2369" i="1" s="1"/>
  <c r="X2370" i="1" s="1"/>
  <c r="X2371" i="1" s="1"/>
  <c r="X2372" i="1" s="1"/>
  <c r="X2373" i="1" s="1"/>
  <c r="X2374" i="1" s="1"/>
  <c r="X2375" i="1" s="1"/>
  <c r="X2376" i="1" s="1"/>
  <c r="X2377" i="1" s="1"/>
  <c r="X2378" i="1" s="1"/>
  <c r="X2379" i="1" s="1"/>
  <c r="X2380" i="1" s="1"/>
  <c r="X2381" i="1" s="1"/>
  <c r="X2382" i="1" s="1"/>
  <c r="X2383" i="1" s="1"/>
  <c r="X2384" i="1" s="1"/>
  <c r="X2385" i="1" s="1"/>
  <c r="X2386" i="1" s="1"/>
  <c r="X2387" i="1" s="1"/>
  <c r="X2388" i="1" s="1"/>
  <c r="X2389" i="1" s="1"/>
  <c r="X2390" i="1" s="1"/>
  <c r="X2391" i="1" s="1"/>
  <c r="X2392" i="1" s="1"/>
  <c r="X2393" i="1" s="1"/>
  <c r="X2394" i="1" s="1"/>
  <c r="X2395" i="1" s="1"/>
  <c r="X2396" i="1" s="1"/>
  <c r="X2397" i="1" s="1"/>
  <c r="X2398" i="1" s="1"/>
  <c r="X2399" i="1" s="1"/>
  <c r="X2400" i="1" s="1"/>
  <c r="X2401" i="1" s="1"/>
  <c r="X2402" i="1" s="1"/>
  <c r="X2403" i="1" s="1"/>
  <c r="X2404" i="1" s="1"/>
  <c r="X2405" i="1" s="1"/>
  <c r="X2406" i="1" s="1"/>
  <c r="X2407" i="1" s="1"/>
  <c r="X2408" i="1" s="1"/>
  <c r="X2409" i="1" s="1"/>
  <c r="X2410" i="1" s="1"/>
  <c r="X2411" i="1" s="1"/>
  <c r="X2412" i="1" s="1"/>
  <c r="X2413" i="1" s="1"/>
  <c r="X2414" i="1" s="1"/>
  <c r="X2415" i="1" s="1"/>
  <c r="X2416" i="1" s="1"/>
  <c r="X2417" i="1" s="1"/>
  <c r="X2418" i="1" s="1"/>
  <c r="X2419" i="1" s="1"/>
  <c r="X2420" i="1" s="1"/>
  <c r="X2422" i="1" s="1"/>
  <c r="X2423" i="1" s="1"/>
  <c r="X2424" i="1" s="1"/>
  <c r="X2426" i="1" s="1"/>
  <c r="X2427" i="1" s="1"/>
  <c r="X2428" i="1" s="1"/>
  <c r="X2429" i="1" s="1"/>
  <c r="X2430" i="1" s="1"/>
  <c r="X2431" i="1" s="1"/>
  <c r="X2432" i="1" s="1"/>
  <c r="X2433" i="1" s="1"/>
  <c r="X2434" i="1" s="1"/>
  <c r="X2435" i="1" s="1"/>
  <c r="X2436" i="1" s="1"/>
  <c r="X2437" i="1" s="1"/>
  <c r="X2438" i="1" s="1"/>
  <c r="X2439" i="1" s="1"/>
  <c r="X2440" i="1" s="1"/>
  <c r="X2441" i="1" s="1"/>
  <c r="X2442" i="1" s="1"/>
  <c r="X2443" i="1" s="1"/>
  <c r="X2444" i="1" s="1"/>
  <c r="X2445" i="1" s="1"/>
  <c r="X2446" i="1" s="1"/>
  <c r="X2448" i="1" s="1"/>
  <c r="X2449" i="1" s="1"/>
  <c r="X2450" i="1" s="1"/>
  <c r="X2451" i="1" s="1"/>
  <c r="X2452" i="1" s="1"/>
  <c r="X2453" i="1" s="1"/>
  <c r="X2454" i="1" s="1"/>
  <c r="X2455" i="1" s="1"/>
  <c r="X2456" i="1" s="1"/>
  <c r="X2457" i="1" s="1"/>
  <c r="X2458" i="1" s="1"/>
  <c r="X2459" i="1" s="1"/>
  <c r="X2460" i="1" s="1"/>
  <c r="X2461" i="1" s="1"/>
  <c r="X2462" i="1" s="1"/>
  <c r="X2463" i="1" s="1"/>
  <c r="X2464" i="1" s="1"/>
  <c r="X2466" i="1" s="1"/>
  <c r="X2467" i="1" s="1"/>
  <c r="X2468" i="1" s="1"/>
  <c r="X2469" i="1" s="1"/>
  <c r="X2471" i="1" s="1"/>
  <c r="X2472" i="1" s="1"/>
  <c r="X2473" i="1" s="1"/>
  <c r="X2474" i="1" s="1"/>
  <c r="X2475" i="1" s="1"/>
  <c r="X2476" i="1" s="1"/>
  <c r="X2477" i="1" s="1"/>
  <c r="X2478" i="1" s="1"/>
  <c r="X2479" i="1" s="1"/>
  <c r="X2480" i="1" s="1"/>
  <c r="X2481" i="1" s="1"/>
  <c r="X2482" i="1" s="1"/>
  <c r="X2483" i="1" s="1"/>
  <c r="X2484" i="1" s="1"/>
  <c r="X2485" i="1" s="1"/>
  <c r="X2486" i="1" s="1"/>
  <c r="X2487" i="1" s="1"/>
  <c r="X2488" i="1" s="1"/>
  <c r="X2489" i="1" s="1"/>
  <c r="X2490" i="1" s="1"/>
  <c r="X2491" i="1" s="1"/>
  <c r="X2492" i="1" s="1"/>
  <c r="X2493" i="1" s="1"/>
  <c r="X2495" i="1" s="1"/>
  <c r="X2496" i="1" s="1"/>
  <c r="X2497" i="1" s="1"/>
  <c r="X2498" i="1" s="1"/>
  <c r="X2499" i="1" s="1"/>
  <c r="X2500" i="1" s="1"/>
  <c r="X2501" i="1" s="1"/>
  <c r="X2502" i="1" s="1"/>
  <c r="X2503" i="1" s="1"/>
  <c r="X2505" i="1" s="1"/>
  <c r="X2506" i="1" s="1"/>
  <c r="X2507" i="1" s="1"/>
  <c r="X2508" i="1" s="1"/>
  <c r="X2509" i="1" s="1"/>
  <c r="X2510" i="1" s="1"/>
  <c r="X2511" i="1" s="1"/>
  <c r="X2512" i="1" s="1"/>
  <c r="X2513" i="1" s="1"/>
  <c r="X2514" i="1" s="1"/>
  <c r="X2515" i="1" s="1"/>
  <c r="X2516" i="1" s="1"/>
  <c r="X2517" i="1" s="1"/>
  <c r="X2518" i="1" s="1"/>
  <c r="X2519" i="1" s="1"/>
  <c r="X2520" i="1" s="1"/>
  <c r="X2521" i="1" s="1"/>
  <c r="X2522" i="1" s="1"/>
  <c r="X2523" i="1" s="1"/>
  <c r="X2524" i="1" s="1"/>
  <c r="X2525" i="1" s="1"/>
  <c r="X2526" i="1" s="1"/>
  <c r="X2527" i="1" s="1"/>
  <c r="X2528" i="1" s="1"/>
  <c r="X2529" i="1" s="1"/>
  <c r="X2530" i="1" s="1"/>
  <c r="X2531" i="1" s="1"/>
  <c r="X2532" i="1" s="1"/>
  <c r="X2533" i="1" s="1"/>
  <c r="X2534" i="1" s="1"/>
  <c r="X2535" i="1" s="1"/>
  <c r="X2536" i="1" s="1"/>
  <c r="X2537" i="1" s="1"/>
  <c r="X2538" i="1" s="1"/>
  <c r="X2539" i="1" s="1"/>
  <c r="X2540" i="1" s="1"/>
  <c r="X2541" i="1" s="1"/>
  <c r="X2542" i="1" s="1"/>
  <c r="X2543" i="1" s="1"/>
  <c r="X2544" i="1" s="1"/>
  <c r="X2545" i="1" s="1"/>
  <c r="X2546" i="1" s="1"/>
  <c r="X2547" i="1" s="1"/>
  <c r="X2548" i="1" s="1"/>
  <c r="X2549" i="1" s="1"/>
  <c r="X2550" i="1" s="1"/>
  <c r="X2551" i="1" s="1"/>
  <c r="X2552" i="1" s="1"/>
  <c r="X2553" i="1" s="1"/>
  <c r="X2555" i="1" s="1"/>
  <c r="X2556" i="1" s="1"/>
  <c r="X2557" i="1" s="1"/>
  <c r="X2558" i="1" s="1"/>
  <c r="X2559" i="1" s="1"/>
  <c r="X2560" i="1" s="1"/>
  <c r="X2561" i="1" s="1"/>
  <c r="X2562" i="1" s="1"/>
  <c r="X2563" i="1" s="1"/>
  <c r="X2564" i="1" s="1"/>
  <c r="X2565" i="1" s="1"/>
  <c r="X2567" i="1" s="1"/>
  <c r="X2568" i="1" s="1"/>
  <c r="X2569" i="1" s="1"/>
  <c r="X2570" i="1" s="1"/>
  <c r="X2571" i="1" s="1"/>
  <c r="X2572" i="1" s="1"/>
  <c r="X2573" i="1" s="1"/>
  <c r="X2574" i="1" s="1"/>
  <c r="X2575" i="1" s="1"/>
  <c r="X2576" i="1" s="1"/>
  <c r="X2578" i="1" s="1"/>
  <c r="X2579" i="1" s="1"/>
  <c r="X2580" i="1" s="1"/>
  <c r="X2581" i="1" s="1"/>
  <c r="X2582" i="1" s="1"/>
  <c r="X2583" i="1" s="1"/>
  <c r="X2584" i="1" s="1"/>
  <c r="X2585" i="1" s="1"/>
  <c r="X2586" i="1" s="1"/>
  <c r="X2587" i="1" s="1"/>
  <c r="X2588" i="1" s="1"/>
  <c r="X2589" i="1" s="1"/>
  <c r="X2590" i="1" s="1"/>
  <c r="X2591" i="1" s="1"/>
  <c r="X2592" i="1" s="1"/>
  <c r="X2594" i="1" s="1"/>
  <c r="X2595" i="1" s="1"/>
  <c r="X2596" i="1" s="1"/>
  <c r="X2598" i="1" s="1"/>
  <c r="X2599" i="1" s="1"/>
  <c r="X2600" i="1" s="1"/>
  <c r="X2601" i="1" s="1"/>
  <c r="X2602" i="1" s="1"/>
  <c r="X2603" i="1" s="1"/>
  <c r="X2604" i="1" s="1"/>
  <c r="X2605" i="1" s="1"/>
  <c r="X2606" i="1" s="1"/>
  <c r="X2607" i="1" s="1"/>
  <c r="X2608" i="1" s="1"/>
  <c r="X2609" i="1" s="1"/>
  <c r="X2610" i="1" s="1"/>
  <c r="X2611" i="1" s="1"/>
  <c r="X2612" i="1" s="1"/>
  <c r="X2613" i="1" s="1"/>
  <c r="X2614" i="1" s="1"/>
  <c r="X2615" i="1" s="1"/>
  <c r="X2616" i="1" s="1"/>
  <c r="X2617" i="1" s="1"/>
  <c r="X2618" i="1" s="1"/>
  <c r="X2619" i="1" s="1"/>
  <c r="X2620" i="1" s="1"/>
  <c r="X2621" i="1" s="1"/>
  <c r="X2622" i="1" s="1"/>
  <c r="X2623" i="1" s="1"/>
  <c r="X2624" i="1" s="1"/>
  <c r="X2625" i="1" s="1"/>
  <c r="X2628" i="1" s="1"/>
  <c r="X2629" i="1" s="1"/>
  <c r="X2630" i="1" s="1"/>
  <c r="X2631" i="1" s="1"/>
  <c r="X2632" i="1" s="1"/>
  <c r="X2633" i="1" s="1"/>
  <c r="X2634" i="1" s="1"/>
  <c r="X2635" i="1" s="1"/>
  <c r="X2636" i="1" s="1"/>
  <c r="X2637" i="1" s="1"/>
  <c r="X2638" i="1" s="1"/>
  <c r="X2641" i="1" s="1"/>
  <c r="X2642" i="1" s="1"/>
  <c r="X2643" i="1" s="1"/>
  <c r="X2644" i="1" s="1"/>
  <c r="X2645" i="1" s="1"/>
  <c r="X2646" i="1" s="1"/>
  <c r="X2647" i="1" s="1"/>
  <c r="X2648" i="1" s="1"/>
  <c r="X2649" i="1" s="1"/>
  <c r="X2650" i="1" s="1"/>
  <c r="X2651" i="1" s="1"/>
  <c r="X2652" i="1" s="1"/>
  <c r="X2653" i="1" s="1"/>
  <c r="X2654" i="1" s="1"/>
  <c r="X2655" i="1" s="1"/>
  <c r="X2656" i="1" s="1"/>
  <c r="X2657" i="1" s="1"/>
  <c r="X2658" i="1" s="1"/>
  <c r="X2659" i="1" s="1"/>
  <c r="X2660" i="1" s="1"/>
  <c r="X2661" i="1" s="1"/>
  <c r="X2662" i="1" s="1"/>
  <c r="X2663" i="1" s="1"/>
  <c r="X2664" i="1" s="1"/>
  <c r="X2665" i="1" s="1"/>
  <c r="X2666" i="1" s="1"/>
  <c r="X2667" i="1" s="1"/>
  <c r="X2668" i="1" s="1"/>
  <c r="X2669" i="1" s="1"/>
  <c r="X2672" i="1" s="1"/>
  <c r="X2673" i="1" s="1"/>
  <c r="X2674" i="1" s="1"/>
  <c r="X2675" i="1" s="1"/>
  <c r="X2676" i="1" s="1"/>
  <c r="X2677" i="1" s="1"/>
  <c r="X2678" i="1" s="1"/>
  <c r="X2679" i="1" s="1"/>
  <c r="X2680" i="1" s="1"/>
  <c r="X2681" i="1" s="1"/>
  <c r="X2683" i="1" s="1"/>
  <c r="X2684" i="1" s="1"/>
  <c r="X2685" i="1" s="1"/>
  <c r="X2686" i="1" s="1"/>
  <c r="X2687" i="1" s="1"/>
  <c r="X2688" i="1" s="1"/>
  <c r="X2689" i="1" s="1"/>
  <c r="X2690" i="1" s="1"/>
  <c r="X2691" i="1" s="1"/>
  <c r="X2692" i="1" s="1"/>
  <c r="X2693" i="1" s="1"/>
  <c r="X2694" i="1" s="1"/>
  <c r="X2695" i="1" s="1"/>
  <c r="X2696" i="1" s="1"/>
  <c r="X2697" i="1" s="1"/>
  <c r="X2698" i="1" s="1"/>
  <c r="X2699" i="1" s="1"/>
  <c r="X2700" i="1" s="1"/>
  <c r="X2701" i="1" s="1"/>
  <c r="X2702" i="1" s="1"/>
  <c r="X2704" i="1" s="1"/>
  <c r="X2705" i="1" s="1"/>
  <c r="X2706" i="1" s="1"/>
  <c r="X2707" i="1" s="1"/>
  <c r="X2708" i="1" s="1"/>
  <c r="X2709" i="1" s="1"/>
  <c r="X2710" i="1" s="1"/>
  <c r="X2711" i="1" s="1"/>
  <c r="X2712" i="1" s="1"/>
  <c r="X2713" i="1" s="1"/>
  <c r="X2714" i="1" s="1"/>
  <c r="X2715" i="1" s="1"/>
  <c r="X2716" i="1" s="1"/>
  <c r="X2717" i="1" s="1"/>
  <c r="X2718" i="1" s="1"/>
  <c r="X2719" i="1" s="1"/>
  <c r="X2720" i="1" s="1"/>
  <c r="X2721" i="1" s="1"/>
  <c r="X2722" i="1" s="1"/>
  <c r="X2723" i="1" s="1"/>
  <c r="X2724" i="1" s="1"/>
  <c r="X2725" i="1" s="1"/>
  <c r="X2726" i="1" s="1"/>
  <c r="X2727" i="1" s="1"/>
  <c r="X2728" i="1" s="1"/>
  <c r="X2729" i="1" s="1"/>
  <c r="X2730" i="1" s="1"/>
  <c r="X2731" i="1" s="1"/>
  <c r="X2732" i="1" s="1"/>
  <c r="X2733" i="1" s="1"/>
  <c r="X2734" i="1" s="1"/>
  <c r="X2735" i="1" s="1"/>
  <c r="X2736" i="1" s="1"/>
  <c r="X2737" i="1" s="1"/>
  <c r="X2738" i="1" s="1"/>
  <c r="X2739" i="1" s="1"/>
  <c r="X2740" i="1" s="1"/>
  <c r="X2741" i="1" s="1"/>
  <c r="X2742" i="1" s="1"/>
  <c r="X2743" i="1" s="1"/>
  <c r="X2744" i="1" s="1"/>
  <c r="X2745" i="1" s="1"/>
  <c r="X2746" i="1" s="1"/>
  <c r="X2747" i="1" s="1"/>
  <c r="X2748" i="1" s="1"/>
  <c r="X2749" i="1" s="1"/>
  <c r="X2750" i="1" s="1"/>
  <c r="X2751" i="1" s="1"/>
  <c r="X2752" i="1" s="1"/>
  <c r="X2753" i="1" s="1"/>
  <c r="X2754" i="1" s="1"/>
  <c r="X2755" i="1" s="1"/>
  <c r="X2756" i="1" s="1"/>
  <c r="X2757" i="1" s="1"/>
  <c r="X2758" i="1" s="1"/>
  <c r="X2759" i="1" s="1"/>
  <c r="X2760" i="1" s="1"/>
  <c r="X2761" i="1" s="1"/>
  <c r="X2762" i="1" s="1"/>
  <c r="X2763" i="1" s="1"/>
  <c r="X2764" i="1" s="1"/>
  <c r="X2765" i="1" s="1"/>
  <c r="X2766" i="1" s="1"/>
  <c r="X2767" i="1" s="1"/>
  <c r="X2768" i="1" s="1"/>
  <c r="X2769" i="1" s="1"/>
  <c r="X2770" i="1" s="1"/>
  <c r="X2771" i="1" s="1"/>
  <c r="X2772" i="1" s="1"/>
  <c r="X2773" i="1" s="1"/>
  <c r="X2774" i="1" s="1"/>
  <c r="X2775" i="1" s="1"/>
  <c r="X2776" i="1" s="1"/>
  <c r="X2777" i="1" s="1"/>
  <c r="X2778" i="1" s="1"/>
  <c r="X2779" i="1" s="1"/>
  <c r="X2780" i="1" s="1"/>
  <c r="X2781" i="1" s="1"/>
  <c r="X2782" i="1" s="1"/>
  <c r="X2783" i="1" s="1"/>
  <c r="X2784" i="1" s="1"/>
  <c r="X2785" i="1" s="1"/>
  <c r="X2786" i="1" s="1"/>
  <c r="X2787" i="1" s="1"/>
  <c r="X2788" i="1" s="1"/>
  <c r="X2789" i="1" s="1"/>
  <c r="X2790" i="1" s="1"/>
  <c r="X2791" i="1" s="1"/>
  <c r="X2792" i="1" s="1"/>
  <c r="X2793" i="1" s="1"/>
  <c r="X2794" i="1" s="1"/>
  <c r="X2795" i="1" s="1"/>
  <c r="X2796" i="1" s="1"/>
  <c r="X2797" i="1" s="1"/>
  <c r="X2798" i="1" s="1"/>
  <c r="X2799" i="1" s="1"/>
  <c r="X2800" i="1" s="1"/>
  <c r="X2801" i="1" s="1"/>
  <c r="X2802" i="1" s="1"/>
  <c r="X2803" i="1" s="1"/>
  <c r="X2804" i="1" s="1"/>
  <c r="X2805" i="1" s="1"/>
  <c r="X2806" i="1" s="1"/>
  <c r="X2807" i="1" s="1"/>
  <c r="X2808" i="1" s="1"/>
  <c r="X2809" i="1" s="1"/>
  <c r="X2810" i="1" s="1"/>
  <c r="X2811" i="1" s="1"/>
  <c r="X2812" i="1" s="1"/>
  <c r="X2813" i="1" s="1"/>
  <c r="X2814" i="1" s="1"/>
  <c r="X2815" i="1" s="1"/>
  <c r="X2816" i="1" s="1"/>
  <c r="X2817" i="1" s="1"/>
  <c r="X2818" i="1" s="1"/>
  <c r="X2819" i="1" s="1"/>
  <c r="X2820" i="1" s="1"/>
  <c r="X2821" i="1" s="1"/>
  <c r="X2822" i="1" s="1"/>
  <c r="X2823" i="1" s="1"/>
  <c r="X2824" i="1" s="1"/>
  <c r="X2825" i="1" s="1"/>
  <c r="X2826" i="1" s="1"/>
  <c r="X2827" i="1" s="1"/>
  <c r="X2828" i="1" s="1"/>
  <c r="X2829" i="1" s="1"/>
  <c r="X2830" i="1" s="1"/>
  <c r="X2831" i="1" s="1"/>
  <c r="X2832" i="1" s="1"/>
  <c r="X2833" i="1" s="1"/>
  <c r="X2834" i="1" s="1"/>
  <c r="X2835" i="1" s="1"/>
  <c r="X2836" i="1" s="1"/>
  <c r="X2837" i="1" s="1"/>
  <c r="X2838" i="1" s="1"/>
  <c r="X2839" i="1" s="1"/>
  <c r="X2840" i="1" s="1"/>
  <c r="X2841" i="1" s="1"/>
  <c r="X2842" i="1" s="1"/>
  <c r="X2843" i="1" s="1"/>
  <c r="X2844" i="1" s="1"/>
  <c r="X2845" i="1" s="1"/>
  <c r="X2846" i="1" s="1"/>
  <c r="X2847" i="1" s="1"/>
  <c r="X2848" i="1" s="1"/>
  <c r="X2849" i="1" s="1"/>
  <c r="X2850" i="1" s="1"/>
  <c r="X2851" i="1" s="1"/>
  <c r="X2852" i="1" s="1"/>
  <c r="X2853" i="1" s="1"/>
  <c r="X2854" i="1" s="1"/>
  <c r="X2855" i="1" s="1"/>
  <c r="X2856" i="1" s="1"/>
  <c r="X2857" i="1" s="1"/>
  <c r="X2858" i="1" s="1"/>
  <c r="X2859" i="1" s="1"/>
  <c r="X2860" i="1" s="1"/>
  <c r="X2861" i="1" s="1"/>
  <c r="X2862" i="1" s="1"/>
  <c r="X2863" i="1" s="1"/>
  <c r="X2864" i="1" s="1"/>
  <c r="X2865" i="1" s="1"/>
  <c r="X2866" i="1" s="1"/>
  <c r="X2867" i="1" s="1"/>
  <c r="X2868" i="1" s="1"/>
  <c r="X2869" i="1" s="1"/>
  <c r="X2870" i="1" s="1"/>
  <c r="X2871" i="1" s="1"/>
  <c r="X2872" i="1" s="1"/>
  <c r="X2873" i="1" s="1"/>
  <c r="X2874" i="1" s="1"/>
  <c r="X2875" i="1" s="1"/>
  <c r="X2876" i="1" s="1"/>
  <c r="X2877" i="1" s="1"/>
  <c r="X2878" i="1" s="1"/>
  <c r="X2879" i="1" s="1"/>
  <c r="X2880" i="1" s="1"/>
  <c r="X2881" i="1" s="1"/>
  <c r="X2882" i="1" s="1"/>
  <c r="X2883" i="1" s="1"/>
  <c r="X2884" i="1" s="1"/>
  <c r="X2885" i="1" s="1"/>
  <c r="X2886" i="1" s="1"/>
  <c r="X2887" i="1" s="1"/>
  <c r="X2888" i="1" s="1"/>
  <c r="X2889" i="1" s="1"/>
  <c r="X2890" i="1" s="1"/>
  <c r="X2891" i="1" s="1"/>
  <c r="X2892" i="1" s="1"/>
  <c r="X2893" i="1" s="1"/>
  <c r="X2894" i="1" s="1"/>
  <c r="X2895" i="1" s="1"/>
  <c r="X2896" i="1" s="1"/>
  <c r="X2897" i="1" s="1"/>
  <c r="X2898" i="1" s="1"/>
  <c r="X2899" i="1" s="1"/>
  <c r="X2900" i="1" s="1"/>
  <c r="X2901" i="1" s="1"/>
  <c r="X2902" i="1" s="1"/>
  <c r="X2903" i="1" s="1"/>
  <c r="X2904" i="1" s="1"/>
  <c r="X2905" i="1" s="1"/>
  <c r="X2906" i="1" s="1"/>
  <c r="X2907" i="1" s="1"/>
  <c r="X2908" i="1" s="1"/>
  <c r="X2909" i="1" s="1"/>
  <c r="X2910" i="1" s="1"/>
  <c r="X2911" i="1" s="1"/>
  <c r="X2912" i="1" s="1"/>
  <c r="X2913" i="1" s="1"/>
  <c r="X2914" i="1" s="1"/>
  <c r="X2915" i="1" s="1"/>
  <c r="X2916" i="1" s="1"/>
  <c r="X2917" i="1" s="1"/>
  <c r="X2918" i="1" s="1"/>
  <c r="X2919" i="1" s="1"/>
  <c r="X2920" i="1" s="1"/>
  <c r="X2921" i="1" s="1"/>
  <c r="X2922" i="1" s="1"/>
  <c r="X2923" i="1" s="1"/>
  <c r="X2924" i="1" s="1"/>
  <c r="X2925" i="1" s="1"/>
  <c r="X2926" i="1" s="1"/>
  <c r="X2927" i="1" s="1"/>
  <c r="X2928" i="1" s="1"/>
  <c r="X2929" i="1" s="1"/>
  <c r="X2930" i="1" s="1"/>
  <c r="X2931" i="1" s="1"/>
  <c r="X2932" i="1" s="1"/>
  <c r="X2933" i="1" s="1"/>
  <c r="X2934" i="1" s="1"/>
  <c r="X2935" i="1" s="1"/>
  <c r="X2936" i="1" s="1"/>
  <c r="X2937" i="1" s="1"/>
  <c r="X2938" i="1" s="1"/>
  <c r="X2939" i="1" s="1"/>
  <c r="X2940" i="1" s="1"/>
  <c r="X2941" i="1" s="1"/>
  <c r="X2942" i="1" s="1"/>
  <c r="X2943" i="1" s="1"/>
  <c r="X2944" i="1" s="1"/>
  <c r="X2945" i="1" s="1"/>
  <c r="X2946" i="1" s="1"/>
  <c r="X2947" i="1" s="1"/>
  <c r="X2948" i="1" s="1"/>
  <c r="X2949" i="1" s="1"/>
  <c r="X2950" i="1" s="1"/>
  <c r="X2951" i="1" s="1"/>
  <c r="X2952" i="1" s="1"/>
  <c r="X2953" i="1" s="1"/>
  <c r="X2954" i="1" s="1"/>
  <c r="X2955" i="1" s="1"/>
  <c r="X2956" i="1" s="1"/>
  <c r="X2957" i="1" s="1"/>
  <c r="X2958" i="1" s="1"/>
  <c r="X2960" i="1" s="1"/>
  <c r="X2961" i="1" s="1"/>
  <c r="X2962" i="1" s="1"/>
  <c r="X2963" i="1" s="1"/>
  <c r="X2964" i="1" s="1"/>
  <c r="X2965" i="1" s="1"/>
  <c r="X2966" i="1" s="1"/>
  <c r="X2967" i="1" s="1"/>
  <c r="X2968" i="1" s="1"/>
  <c r="X2969" i="1" s="1"/>
  <c r="X2970" i="1" s="1"/>
  <c r="X2971" i="1" s="1"/>
  <c r="X2972" i="1" s="1"/>
  <c r="X2973" i="1" s="1"/>
  <c r="X2974" i="1" s="1"/>
  <c r="X2975" i="1" s="1"/>
  <c r="X2976" i="1" s="1"/>
  <c r="X2977" i="1" s="1"/>
  <c r="X2978" i="1" s="1"/>
  <c r="X2979" i="1" s="1"/>
  <c r="X2980" i="1" s="1"/>
  <c r="X2981" i="1" s="1"/>
  <c r="X2982" i="1" s="1"/>
  <c r="X2983" i="1" s="1"/>
  <c r="X2984" i="1" s="1"/>
  <c r="X2985" i="1" s="1"/>
  <c r="X2986" i="1" s="1"/>
  <c r="X2987" i="1" s="1"/>
  <c r="X2988" i="1" s="1"/>
  <c r="X2989" i="1" s="1"/>
  <c r="X2990" i="1" s="1"/>
  <c r="X2991" i="1" s="1"/>
  <c r="X2992" i="1" s="1"/>
  <c r="X2993" i="1" s="1"/>
  <c r="X2994" i="1" s="1"/>
  <c r="X2995" i="1" s="1"/>
  <c r="X2996" i="1" s="1"/>
  <c r="X2997" i="1" s="1"/>
  <c r="X2998" i="1" s="1"/>
  <c r="X2999" i="1" s="1"/>
  <c r="X3000" i="1" s="1"/>
  <c r="X3001" i="1" s="1"/>
  <c r="X3002" i="1" s="1"/>
  <c r="X3003" i="1" s="1"/>
  <c r="X3004" i="1" s="1"/>
  <c r="X3005" i="1" s="1"/>
  <c r="X3006" i="1" s="1"/>
  <c r="X3007" i="1" s="1"/>
  <c r="X3008" i="1" s="1"/>
  <c r="X3009" i="1" s="1"/>
  <c r="X3010" i="1" s="1"/>
  <c r="X3011" i="1" s="1"/>
  <c r="X3012" i="1" s="1"/>
  <c r="X3013" i="1" s="1"/>
  <c r="X3014" i="1" s="1"/>
  <c r="X3015" i="1" s="1"/>
  <c r="X3017" i="1" s="1"/>
  <c r="X3018" i="1" s="1"/>
  <c r="X3019" i="1" s="1"/>
  <c r="X3020" i="1" s="1"/>
  <c r="X3021" i="1" s="1"/>
  <c r="X3022" i="1" s="1"/>
  <c r="X3023" i="1" s="1"/>
  <c r="X3024" i="1" s="1"/>
  <c r="X3025" i="1" s="1"/>
  <c r="X3026" i="1" s="1"/>
  <c r="X3027" i="1" s="1"/>
  <c r="X3028" i="1" s="1"/>
  <c r="X3029" i="1" s="1"/>
  <c r="X3030" i="1" s="1"/>
  <c r="X3031" i="1" s="1"/>
  <c r="X3032" i="1" s="1"/>
  <c r="X3033" i="1" s="1"/>
  <c r="X3034" i="1" s="1"/>
  <c r="X3035" i="1" s="1"/>
  <c r="X3036" i="1" s="1"/>
  <c r="X3037" i="1" s="1"/>
  <c r="X3038" i="1" s="1"/>
  <c r="X3039" i="1" s="1"/>
  <c r="X3040" i="1" s="1"/>
  <c r="X3041" i="1" s="1"/>
  <c r="X3042" i="1" s="1"/>
  <c r="X3043" i="1" s="1"/>
  <c r="X3044" i="1" s="1"/>
  <c r="X3045" i="1" s="1"/>
  <c r="X3046" i="1" s="1"/>
  <c r="X3047" i="1" s="1"/>
  <c r="X3048" i="1" s="1"/>
  <c r="X3049" i="1" s="1"/>
  <c r="X3050" i="1" s="1"/>
  <c r="X3051" i="1" s="1"/>
  <c r="X3052" i="1" s="1"/>
  <c r="X3053" i="1" s="1"/>
  <c r="X3054" i="1" s="1"/>
  <c r="X3055" i="1" s="1"/>
  <c r="X3056" i="1" s="1"/>
  <c r="X3057" i="1" s="1"/>
  <c r="X3058" i="1" s="1"/>
  <c r="X3059" i="1" s="1"/>
  <c r="X3060" i="1" s="1"/>
  <c r="X3061" i="1" s="1"/>
  <c r="X3062" i="1" s="1"/>
  <c r="X3064" i="1" s="1"/>
  <c r="X3065" i="1" s="1"/>
  <c r="X3066" i="1" s="1"/>
  <c r="X3067" i="1" s="1"/>
  <c r="X3068" i="1" s="1"/>
  <c r="X3070" i="1" s="1"/>
  <c r="X3071" i="1" s="1"/>
  <c r="X3072" i="1" s="1"/>
  <c r="X3073" i="1" s="1"/>
  <c r="X3074" i="1" s="1"/>
  <c r="X3075" i="1" s="1"/>
  <c r="X3076" i="1" s="1"/>
  <c r="X3077" i="1" s="1"/>
  <c r="X3078" i="1" s="1"/>
  <c r="X3079" i="1" s="1"/>
  <c r="X3080" i="1" s="1"/>
  <c r="X3081" i="1" s="1"/>
  <c r="X3082" i="1" s="1"/>
  <c r="X3083" i="1" s="1"/>
  <c r="X3084" i="1" s="1"/>
  <c r="X3085" i="1" s="1"/>
  <c r="X3086" i="1" s="1"/>
  <c r="X3087" i="1" s="1"/>
  <c r="X3088" i="1" s="1"/>
  <c r="X3089" i="1" s="1"/>
  <c r="X3090" i="1" s="1"/>
  <c r="X3091" i="1" s="1"/>
  <c r="X3092" i="1" s="1"/>
  <c r="X3093" i="1" s="1"/>
  <c r="X3094" i="1" s="1"/>
  <c r="X3095" i="1" s="1"/>
  <c r="X3097" i="1" s="1"/>
  <c r="X3098" i="1" s="1"/>
  <c r="X3099" i="1" s="1"/>
  <c r="X3100" i="1" s="1"/>
  <c r="X3101" i="1" s="1"/>
  <c r="X3102" i="1" s="1"/>
  <c r="X3103" i="1" s="1"/>
  <c r="X3104" i="1" s="1"/>
  <c r="X3107" i="1" s="1"/>
  <c r="X3108" i="1" s="1"/>
  <c r="X3109" i="1" s="1"/>
  <c r="X3110" i="1" s="1"/>
  <c r="X3111" i="1" s="1"/>
  <c r="X3112" i="1" s="1"/>
  <c r="X3113" i="1" s="1"/>
  <c r="X3114" i="1" s="1"/>
  <c r="X3115" i="1" s="1"/>
  <c r="X3116" i="1" s="1"/>
  <c r="X3117" i="1" s="1"/>
  <c r="X3118" i="1" s="1"/>
  <c r="X3119" i="1" s="1"/>
  <c r="X3120" i="1" s="1"/>
  <c r="X3121" i="1" s="1"/>
  <c r="X3122" i="1" s="1"/>
  <c r="X3123" i="1" s="1"/>
  <c r="X3124" i="1" s="1"/>
  <c r="X3125" i="1" s="1"/>
  <c r="X3126" i="1" s="1"/>
  <c r="X3127" i="1" s="1"/>
  <c r="X3128" i="1" s="1"/>
  <c r="X3129" i="1" s="1"/>
  <c r="X3130" i="1" s="1"/>
  <c r="X3131" i="1" s="1"/>
  <c r="X3132" i="1" s="1"/>
  <c r="X3133" i="1" s="1"/>
  <c r="X3134" i="1" s="1"/>
  <c r="X3135" i="1" s="1"/>
  <c r="X3136" i="1" s="1"/>
  <c r="X3137" i="1" s="1"/>
  <c r="X3138" i="1" s="1"/>
  <c r="X3139" i="1" s="1"/>
  <c r="X3140" i="1" s="1"/>
  <c r="X3141" i="1" s="1"/>
  <c r="X3142" i="1" s="1"/>
  <c r="X3143" i="1" s="1"/>
  <c r="X3144" i="1" s="1"/>
  <c r="X3145" i="1" s="1"/>
  <c r="X3146" i="1" s="1"/>
  <c r="X3147" i="1" s="1"/>
  <c r="X3148" i="1" s="1"/>
  <c r="X3149" i="1" s="1"/>
  <c r="X3150" i="1" s="1"/>
  <c r="X3151" i="1" s="1"/>
  <c r="X3152" i="1" s="1"/>
  <c r="X3153" i="1" s="1"/>
  <c r="X3154" i="1" s="1"/>
  <c r="X3155" i="1" s="1"/>
  <c r="X3156" i="1" s="1"/>
  <c r="X3157" i="1" s="1"/>
  <c r="X3158" i="1" s="1"/>
  <c r="X3159" i="1" s="1"/>
  <c r="X3160" i="1" s="1"/>
  <c r="X3161" i="1" s="1"/>
  <c r="X3162" i="1" s="1"/>
  <c r="X3163" i="1" s="1"/>
  <c r="X3164" i="1" s="1"/>
  <c r="X3165" i="1" s="1"/>
  <c r="X3166" i="1" s="1"/>
  <c r="X3167" i="1" s="1"/>
  <c r="X3168" i="1" s="1"/>
  <c r="X3169" i="1" s="1"/>
  <c r="X3170" i="1" s="1"/>
  <c r="X3171" i="1" s="1"/>
  <c r="X3172" i="1" s="1"/>
  <c r="X3173" i="1" s="1"/>
  <c r="X3174" i="1" s="1"/>
  <c r="X3175" i="1" s="1"/>
  <c r="X3176" i="1" s="1"/>
  <c r="X3177" i="1" s="1"/>
  <c r="X3178" i="1" s="1"/>
  <c r="X3180" i="1" s="1"/>
  <c r="X3181" i="1" s="1"/>
  <c r="X3182" i="1" s="1"/>
  <c r="X3183" i="1" s="1"/>
  <c r="X3184" i="1" s="1"/>
  <c r="X3185" i="1" s="1"/>
  <c r="X3186" i="1" s="1"/>
  <c r="X3187" i="1" s="1"/>
  <c r="X3188" i="1" s="1"/>
  <c r="X3189" i="1" s="1"/>
  <c r="X3190" i="1" s="1"/>
  <c r="X3191" i="1" s="1"/>
  <c r="X3193" i="1" s="1"/>
  <c r="X3194" i="1" s="1"/>
  <c r="X3195" i="1" s="1"/>
  <c r="X3196" i="1" s="1"/>
  <c r="X3197" i="1" s="1"/>
  <c r="X3198" i="1" s="1"/>
  <c r="X3199" i="1" s="1"/>
  <c r="X3201" i="1" s="1"/>
  <c r="X3202" i="1" s="1"/>
  <c r="X3203" i="1" s="1"/>
  <c r="X3204" i="1" s="1"/>
  <c r="X3205" i="1" s="1"/>
  <c r="X3206" i="1" s="1"/>
  <c r="X3207" i="1" s="1"/>
  <c r="X3208" i="1" s="1"/>
  <c r="X3209" i="1" s="1"/>
  <c r="X3210" i="1" s="1"/>
  <c r="X3211" i="1" s="1"/>
  <c r="X3212" i="1" s="1"/>
  <c r="X3213" i="1" s="1"/>
  <c r="X3214" i="1" s="1"/>
  <c r="X3215" i="1" s="1"/>
  <c r="X3216" i="1" s="1"/>
  <c r="X3217" i="1" s="1"/>
  <c r="X3218" i="1" s="1"/>
  <c r="X3219" i="1" s="1"/>
  <c r="X3220" i="1" s="1"/>
  <c r="X3221" i="1" s="1"/>
  <c r="X3222" i="1" s="1"/>
  <c r="X3223" i="1" s="1"/>
  <c r="X3224" i="1" s="1"/>
  <c r="X3225" i="1" s="1"/>
  <c r="X3226" i="1" s="1"/>
  <c r="X3227" i="1" s="1"/>
  <c r="X3228" i="1" s="1"/>
  <c r="X3229" i="1" s="1"/>
  <c r="X3230" i="1" s="1"/>
  <c r="X3231" i="1" s="1"/>
  <c r="X3232" i="1" s="1"/>
  <c r="X3233" i="1" s="1"/>
  <c r="X3234" i="1" s="1"/>
  <c r="X3235" i="1" s="1"/>
  <c r="X3236" i="1" s="1"/>
  <c r="X3237" i="1" s="1"/>
</calcChain>
</file>

<file path=xl/sharedStrings.xml><?xml version="1.0" encoding="utf-8"?>
<sst xmlns="http://schemas.openxmlformats.org/spreadsheetml/2006/main" count="32161" uniqueCount="7310">
  <si>
    <t>Bromoclorargirita</t>
    <phoneticPr fontId="0" type="noConversion"/>
  </si>
  <si>
    <t>Hippocampus hipocampus</t>
  </si>
  <si>
    <t>Chogüí</t>
    <phoneticPr fontId="0" type="noConversion"/>
  </si>
  <si>
    <t>Almadén, C. Real</t>
    <phoneticPr fontId="0" type="noConversion"/>
  </si>
  <si>
    <t>Venezuela</t>
    <phoneticPr fontId="0" type="noConversion"/>
  </si>
  <si>
    <t>Meudon</t>
  </si>
  <si>
    <t>Tití</t>
    <phoneticPr fontId="0" type="noConversion"/>
  </si>
  <si>
    <t>Lemur (maqui mangosta)</t>
    <phoneticPr fontId="0" type="noConversion"/>
  </si>
  <si>
    <t>Madagascar</t>
    <phoneticPr fontId="0" type="noConversion"/>
  </si>
  <si>
    <t>Nycticorax nycticorax</t>
  </si>
  <si>
    <t>Fulica atra</t>
  </si>
  <si>
    <t>Charrancito</t>
  </si>
  <si>
    <t>Sterna cantiaca</t>
  </si>
  <si>
    <t>Nasón</t>
  </si>
  <si>
    <t>Antílope dorcas</t>
  </si>
  <si>
    <t>Antílope</t>
  </si>
  <si>
    <t>Sílex molar cavernoso</t>
  </si>
  <si>
    <t>Menilmontant</t>
  </si>
  <si>
    <t>Piapiac</t>
    <phoneticPr fontId="0" type="noConversion"/>
  </si>
  <si>
    <t>Boll, Wurtemberg</t>
  </si>
  <si>
    <t>Charolles, Saone et Loine</t>
  </si>
  <si>
    <t>Hallstadt, Salzburg</t>
  </si>
  <si>
    <t xml:space="preserve">Harpoceras sp.      </t>
  </si>
  <si>
    <t>Saint-Mamest, Dordogne</t>
  </si>
  <si>
    <t>Royan, Charente-Interieure</t>
  </si>
  <si>
    <t>Les Bains de Rennes</t>
  </si>
  <si>
    <t>Chatyllon</t>
  </si>
  <si>
    <t xml:space="preserve">Meteoritos      </t>
  </si>
  <si>
    <t xml:space="preserve">Brecha con alveolinas y gasterópodos, tallada.        </t>
  </si>
  <si>
    <t>Ariege</t>
  </si>
  <si>
    <t>St. Lysier</t>
  </si>
  <si>
    <t>Rolleboise</t>
  </si>
  <si>
    <t>Nerita polita</t>
    <phoneticPr fontId="0" type="noConversion"/>
  </si>
  <si>
    <t>Panamá</t>
    <phoneticPr fontId="0" type="noConversion"/>
  </si>
  <si>
    <t xml:space="preserve">Skutterudita                     </t>
  </si>
  <si>
    <t>Minerales</t>
    <phoneticPr fontId="0" type="noConversion"/>
  </si>
  <si>
    <t>Oliva erytrostoma</t>
    <phoneticPr fontId="0" type="noConversion"/>
  </si>
  <si>
    <t>Joaquín Montoro</t>
    <phoneticPr fontId="0" type="noConversion"/>
  </si>
  <si>
    <t>Auricalcita</t>
    <phoneticPr fontId="0" type="noConversion"/>
  </si>
  <si>
    <t>Tenorita</t>
    <phoneticPr fontId="0" type="noConversion"/>
  </si>
  <si>
    <t>Bornita</t>
    <phoneticPr fontId="0" type="noConversion"/>
  </si>
  <si>
    <t>Argentita</t>
    <phoneticPr fontId="0" type="noConversion"/>
  </si>
  <si>
    <t>Jamesonita</t>
    <phoneticPr fontId="0" type="noConversion"/>
  </si>
  <si>
    <t>Calcita espástica</t>
    <phoneticPr fontId="0" type="noConversion"/>
  </si>
  <si>
    <t>Córdoba</t>
    <phoneticPr fontId="0" type="noConversion"/>
  </si>
  <si>
    <t>Asociación amigos</t>
    <phoneticPr fontId="0" type="noConversion"/>
  </si>
  <si>
    <t xml:space="preserve">Scolopendra morsitans     </t>
  </si>
  <si>
    <t xml:space="preserve">Squilla mantis        </t>
  </si>
  <si>
    <t>Siberia</t>
  </si>
  <si>
    <t>Chotacabras gris</t>
  </si>
  <si>
    <t>Manuel Soria</t>
  </si>
  <si>
    <t>Málaga</t>
  </si>
  <si>
    <t>Geoda de amatista</t>
  </si>
  <si>
    <t>Pacífico Occidental</t>
  </si>
  <si>
    <t>Escorpión</t>
  </si>
  <si>
    <t>Cangrejo común</t>
  </si>
  <si>
    <t>Escolopendra</t>
  </si>
  <si>
    <t>Viuda negra</t>
  </si>
  <si>
    <t xml:space="preserve">Yeso laminar                            </t>
  </si>
  <si>
    <t>ROCAS ÍGNEAS</t>
  </si>
  <si>
    <t>Acapulco</t>
  </si>
  <si>
    <t>Magallanes</t>
  </si>
  <si>
    <t>Islas de Cabo verde</t>
  </si>
  <si>
    <t>Columba palumbus</t>
  </si>
  <si>
    <t>Paloma torcaz</t>
  </si>
  <si>
    <t>Pico menor</t>
  </si>
  <si>
    <t>Maurien, Pirineos</t>
  </si>
  <si>
    <t>Le Mans, Sarthe</t>
  </si>
  <si>
    <t>Villers, Calvados</t>
  </si>
  <si>
    <t>Ángel Garrote</t>
  </si>
  <si>
    <t>Corbis fimbriata: Fimbria fimbriata</t>
  </si>
  <si>
    <t>Costas de Granada</t>
  </si>
  <si>
    <t>Bologne-Sur-Mer</t>
  </si>
  <si>
    <t>Vieil Saint Remi, Ardennes</t>
  </si>
  <si>
    <t>Environs de Mamers, Sarthe</t>
  </si>
  <si>
    <t>Saint Vigor, Calvados</t>
  </si>
  <si>
    <t>Freville, Mauche</t>
  </si>
  <si>
    <t>Villadieu, Lois et Cher</t>
  </si>
  <si>
    <t>Mar del Japón</t>
  </si>
  <si>
    <t>Patella barbara</t>
  </si>
  <si>
    <t>Freyberg</t>
  </si>
  <si>
    <t>Tiburón blanco</t>
  </si>
  <si>
    <t>Lamma spallanzani</t>
  </si>
  <si>
    <t>Cornouialles</t>
  </si>
  <si>
    <t>Costa de Almería</t>
  </si>
  <si>
    <t>Atlántico</t>
  </si>
  <si>
    <t>Malton, Yorkshire</t>
  </si>
  <si>
    <t>Stieges, Alpes</t>
  </si>
  <si>
    <t>Tonnerre, Yonne</t>
  </si>
  <si>
    <t>Wurtemberg</t>
  </si>
  <si>
    <t xml:space="preserve">Thorbernita      </t>
  </si>
  <si>
    <t xml:space="preserve">Tantalita con moscovita         </t>
  </si>
  <si>
    <t xml:space="preserve">Wulfenita      </t>
  </si>
  <si>
    <t xml:space="preserve">Hematites roja                     </t>
  </si>
  <si>
    <t xml:space="preserve">Gohetita       </t>
  </si>
  <si>
    <t xml:space="preserve">Fluorita </t>
  </si>
  <si>
    <t>Isla de Wight</t>
  </si>
  <si>
    <t>Cherion, Castellane</t>
  </si>
  <si>
    <t>Dresde</t>
  </si>
  <si>
    <t xml:space="preserve">Blenda acaramelada          </t>
  </si>
  <si>
    <t>Cher</t>
  </si>
  <si>
    <t>Montmorency</t>
  </si>
  <si>
    <t>Abans</t>
  </si>
  <si>
    <t>Beauchamp</t>
  </si>
  <si>
    <t>Oise</t>
  </si>
  <si>
    <t>Marignac</t>
  </si>
  <si>
    <t>Cretaie</t>
  </si>
  <si>
    <t>May</t>
  </si>
  <si>
    <t>Villanueva de las Algaidas</t>
  </si>
  <si>
    <t xml:space="preserve">Galena con baritina      </t>
  </si>
  <si>
    <t xml:space="preserve">Pirita alterada a melanterita            </t>
  </si>
  <si>
    <t>Aporrhaïs pes pelecani</t>
    <phoneticPr fontId="0" type="noConversion"/>
  </si>
  <si>
    <t>Philloceras sp.</t>
    <phoneticPr fontId="0" type="noConversion"/>
  </si>
  <si>
    <t xml:space="preserve">Brecha                              </t>
  </si>
  <si>
    <t>Barousse</t>
  </si>
  <si>
    <t>Bayona</t>
  </si>
  <si>
    <t xml:space="preserve">Coluber hippocrepis      </t>
  </si>
  <si>
    <t>Diversos de Andalucía</t>
  </si>
  <si>
    <t>Golondrina caribeña</t>
  </si>
  <si>
    <t xml:space="preserve">Tarentola mauritanica      </t>
  </si>
  <si>
    <t>Benajarafe, Málaga</t>
  </si>
  <si>
    <t xml:space="preserve">Buthus europaeus        </t>
  </si>
  <si>
    <t xml:space="preserve">Iguana tuberculata      </t>
  </si>
  <si>
    <t>Peligros, Granada</t>
  </si>
  <si>
    <t>Loja, Granada</t>
  </si>
  <si>
    <t>Angles, Alpes</t>
  </si>
  <si>
    <t>Montbéliard, Doubs</t>
  </si>
  <si>
    <t>Glareola pratincola</t>
  </si>
  <si>
    <t xml:space="preserve">Cuarzo rosa                           </t>
  </si>
  <si>
    <t xml:space="preserve">Jarosita     </t>
  </si>
  <si>
    <t>Nigüelas, Granada</t>
  </si>
  <si>
    <t>Cierfes</t>
  </si>
  <si>
    <t>Cevennes</t>
  </si>
  <si>
    <t>Pic du Midi</t>
  </si>
  <si>
    <t>Salechon</t>
  </si>
  <si>
    <t>Bosost</t>
  </si>
  <si>
    <t>Coire, Suiza</t>
  </si>
  <si>
    <t>Altos Pirineos</t>
  </si>
  <si>
    <t>Ferrere</t>
  </si>
  <si>
    <t>Commentry</t>
  </si>
  <si>
    <t>José F. Sanchez Prieto</t>
  </si>
  <si>
    <t>Ópalo sobre granito</t>
    <phoneticPr fontId="0" type="noConversion"/>
  </si>
  <si>
    <t>Cámara oscura</t>
    <phoneticPr fontId="0" type="noConversion"/>
  </si>
  <si>
    <t>Lactoria cornuta</t>
  </si>
  <si>
    <t>Pez cofre</t>
  </si>
  <si>
    <t>Copiapó</t>
  </si>
  <si>
    <t>Sajonia</t>
  </si>
  <si>
    <t>Alhama de Granada, Granada</t>
  </si>
  <si>
    <t>Sudáfrica</t>
  </si>
  <si>
    <t>Columbella rustica</t>
  </si>
  <si>
    <t>Fusiturris similis</t>
  </si>
  <si>
    <t>Transilvania</t>
  </si>
  <si>
    <t>Macon</t>
  </si>
  <si>
    <t>Jura</t>
  </si>
  <si>
    <t>Lipari</t>
  </si>
  <si>
    <t xml:space="preserve">Fragmento de jameo basáltico. </t>
  </si>
  <si>
    <t>Marly</t>
  </si>
  <si>
    <t>Charente</t>
  </si>
  <si>
    <t>Montrouge</t>
  </si>
  <si>
    <t>Nancy</t>
  </si>
  <si>
    <t>Zarn</t>
  </si>
  <si>
    <t>Aude</t>
  </si>
  <si>
    <t>Mosela</t>
  </si>
  <si>
    <t>Maestrich</t>
  </si>
  <si>
    <t>Seyssac</t>
  </si>
  <si>
    <t>Sta. Pudia, Granada</t>
  </si>
  <si>
    <t>Mármol de Nancy</t>
  </si>
  <si>
    <t xml:space="preserve">Feto deforme de Canis familiaris     </t>
  </si>
  <si>
    <t xml:space="preserve">Actinolita     </t>
  </si>
  <si>
    <t xml:space="preserve">Actinolita talquizada                    </t>
  </si>
  <si>
    <t xml:space="preserve">Clorita       </t>
  </si>
  <si>
    <t xml:space="preserve">Vermiculita                                 </t>
  </si>
  <si>
    <t>Epothémont, Aube</t>
  </si>
  <si>
    <t>Prosthemadera novazelandia</t>
  </si>
  <si>
    <t>Pájaro cura</t>
  </si>
  <si>
    <t>Rehainviller</t>
  </si>
  <si>
    <t xml:space="preserve">Blenda y galena     </t>
  </si>
  <si>
    <t>Gallo indú</t>
  </si>
  <si>
    <t>Gavilán de Guayana</t>
  </si>
  <si>
    <t>Herault</t>
  </si>
  <si>
    <t>Hâvre</t>
  </si>
  <si>
    <t>Medon</t>
  </si>
  <si>
    <t>Escaldien</t>
  </si>
  <si>
    <t>Fontenebleau</t>
  </si>
  <si>
    <t>Brie</t>
  </si>
  <si>
    <t>Champigny</t>
  </si>
  <si>
    <t>Jury</t>
  </si>
  <si>
    <t>Merthre</t>
  </si>
  <si>
    <t>Exp. 4.1</t>
    <phoneticPr fontId="0" type="noConversion"/>
  </si>
  <si>
    <t>Exp. 5.1</t>
    <phoneticPr fontId="0" type="noConversion"/>
  </si>
  <si>
    <t xml:space="preserve">Ostraea frons        </t>
    <phoneticPr fontId="0" type="noConversion"/>
  </si>
  <si>
    <t>Panopaea jurassi</t>
    <phoneticPr fontId="0" type="noConversion"/>
  </si>
  <si>
    <t xml:space="preserve">Romboedro de calcita </t>
  </si>
  <si>
    <t>Limoges</t>
  </si>
  <si>
    <t>Andujar</t>
  </si>
  <si>
    <t xml:space="preserve">Yeso sacaroideo                      </t>
  </si>
  <si>
    <t>Escocia</t>
  </si>
  <si>
    <t>Baltimore</t>
  </si>
  <si>
    <t>Exp. 3'.1</t>
  </si>
  <si>
    <t>Estepa</t>
  </si>
  <si>
    <t>Pico mediano</t>
  </si>
  <si>
    <t>Escorial, Madrid</t>
  </si>
  <si>
    <t>San Esteban; Vosgos</t>
  </si>
  <si>
    <t>Bretaña</t>
  </si>
  <si>
    <t>Rio Frío. Granada</t>
  </si>
  <si>
    <t>Mygale fasciata</t>
  </si>
  <si>
    <t>Tordo; señorita…</t>
  </si>
  <si>
    <t>Mar de la China</t>
  </si>
  <si>
    <t>Jamaica</t>
  </si>
  <si>
    <t>Carentan</t>
  </si>
  <si>
    <t>Metz</t>
  </si>
  <si>
    <t>Villadieu</t>
  </si>
  <si>
    <t>Lab. Zoológico de Nápoles</t>
  </si>
  <si>
    <t>Perdix perdix</t>
  </si>
  <si>
    <t>Vértebras de Elasmobranquio</t>
  </si>
  <si>
    <t>Pernanbuco</t>
  </si>
  <si>
    <t xml:space="preserve">Hyldoceras bifrons            </t>
  </si>
  <si>
    <t>Charadrius alexandrinus</t>
  </si>
  <si>
    <t>Luis  Alberto Durán</t>
  </si>
  <si>
    <t>Alunita</t>
    <phoneticPr fontId="0" type="noConversion"/>
  </si>
  <si>
    <t>Diversos</t>
  </si>
  <si>
    <t>Islandia</t>
  </si>
  <si>
    <t>Fumarel común</t>
  </si>
  <si>
    <t>Jilguero</t>
  </si>
  <si>
    <t>Cobres grises</t>
  </si>
  <si>
    <t>Siderita, calcopirita, oligisto y limonita</t>
  </si>
  <si>
    <t>Edimburgo</t>
  </si>
  <si>
    <t>Much</t>
  </si>
  <si>
    <t xml:space="preserve">Mycraster cor - testudinarium        </t>
  </si>
  <si>
    <t>Ningle</t>
  </si>
  <si>
    <t>Ningle, prés Boulogne sur mer</t>
  </si>
  <si>
    <t>St. Michel</t>
  </si>
  <si>
    <t>Autur</t>
  </si>
  <si>
    <t>Calvados</t>
  </si>
  <si>
    <t>Commezy</t>
  </si>
  <si>
    <t>St. Bertrand</t>
  </si>
  <si>
    <t>Auxeire</t>
  </si>
  <si>
    <t>Vaugirard</t>
  </si>
  <si>
    <t>Batignolles</t>
  </si>
  <si>
    <t>Aurillac</t>
  </si>
  <si>
    <t>Joinville la Pont</t>
  </si>
  <si>
    <t>Volvic</t>
  </si>
  <si>
    <t>Alcaudón real</t>
  </si>
  <si>
    <t>Fumarel aliblanco</t>
  </si>
  <si>
    <t>St. Michel, Meuse</t>
  </si>
  <si>
    <t>Montrevil-Bellay, Maine et Loire</t>
  </si>
  <si>
    <t>Hettange, Moselle</t>
  </si>
  <si>
    <t xml:space="preserve">Cyclolites sp.                   </t>
  </si>
  <si>
    <t>Perpignan</t>
  </si>
  <si>
    <t>Montpellier</t>
  </si>
  <si>
    <t>Pont-le-Voy, Loir et Cher</t>
  </si>
  <si>
    <t xml:space="preserve">Azurita y limonita                   </t>
  </si>
  <si>
    <t>América del Sur</t>
  </si>
  <si>
    <t xml:space="preserve">Scheelita                           </t>
  </si>
  <si>
    <t>Daun, Coblence</t>
  </si>
  <si>
    <t>Bohéme</t>
  </si>
  <si>
    <t xml:space="preserve">Calymene blumenmachii          </t>
  </si>
  <si>
    <t>Perdiz moruna</t>
  </si>
  <si>
    <t>Solenhofen, Baviera</t>
  </si>
  <si>
    <t>Le Havre</t>
  </si>
  <si>
    <t>Saint-Florentin, Yonne</t>
  </si>
  <si>
    <t>Salto oriental</t>
  </si>
  <si>
    <t>Falco ponticerianus</t>
  </si>
  <si>
    <t>Pita granate</t>
  </si>
  <si>
    <t>Porrón pardo</t>
  </si>
  <si>
    <t xml:space="preserve">Celestina      </t>
  </si>
  <si>
    <t>Oberstein</t>
  </si>
  <si>
    <t>Gallus bankira  ♂ y ♀</t>
  </si>
  <si>
    <t>Ortosa, Prisma y dos pinacoides</t>
  </si>
  <si>
    <t>Porrón común</t>
  </si>
  <si>
    <t xml:space="preserve">Chlamys sp. </t>
  </si>
  <si>
    <t>Oceano Atlántico</t>
  </si>
  <si>
    <t>Ile de Wight</t>
  </si>
  <si>
    <t>Toimerre, Yonne</t>
  </si>
  <si>
    <t xml:space="preserve">Yeso macla en punta de flecha      </t>
  </si>
  <si>
    <t>Pato colorado</t>
  </si>
  <si>
    <t>Anas spectabilis</t>
  </si>
  <si>
    <t>Anas bernicla</t>
  </si>
  <si>
    <t>Cáceres</t>
  </si>
  <si>
    <t>Cortes de la Frontera, Málaga</t>
  </si>
  <si>
    <t xml:space="preserve">Salamandra maculosa         </t>
  </si>
  <si>
    <t>Rainville, Calvados</t>
  </si>
  <si>
    <t>Margvise, Pas de Calais</t>
  </si>
  <si>
    <t>Uchaux, Vaucluse</t>
  </si>
  <si>
    <t>Isla de Elba</t>
  </si>
  <si>
    <t>S. Pablo de Merladet. Copiapó</t>
  </si>
  <si>
    <t>Guyana</t>
  </si>
  <si>
    <t>Amazonas</t>
  </si>
  <si>
    <t>Pez angel</t>
  </si>
  <si>
    <t>Bourré, Loir-et-cher</t>
  </si>
  <si>
    <t>Tarro canelo</t>
  </si>
  <si>
    <t>Escribano lapón</t>
  </si>
  <si>
    <t xml:space="preserve">Ascaris megalocephala      </t>
  </si>
  <si>
    <t>Escragnolles, Var</t>
  </si>
  <si>
    <t>Clars, Escragnolles</t>
  </si>
  <si>
    <t>Esqueleto humano</t>
  </si>
  <si>
    <t>Feto de perro</t>
  </si>
  <si>
    <t>Tringa cinerea</t>
  </si>
  <si>
    <t>Piraña</t>
  </si>
  <si>
    <t>Dorada</t>
  </si>
  <si>
    <t>Agujón</t>
  </si>
  <si>
    <t>Rubio</t>
  </si>
  <si>
    <t>Porzana porzana</t>
  </si>
  <si>
    <t>Mirlo</t>
  </si>
  <si>
    <t>Accentor alpinus</t>
  </si>
  <si>
    <t>Ixobrychus minutus</t>
  </si>
  <si>
    <t>Gallinula chloropus</t>
  </si>
  <si>
    <t>Hipudans borealis</t>
  </si>
  <si>
    <t>Leming</t>
  </si>
  <si>
    <t>Arvicola amphibius</t>
  </si>
  <si>
    <t>Auvernia</t>
  </si>
  <si>
    <t xml:space="preserve">Calcedonias, ópalos, Jaspes, etc...                                                        </t>
  </si>
  <si>
    <t>Cercophitecus saboens</t>
  </si>
  <si>
    <t>Macaco diana</t>
  </si>
  <si>
    <t>Sarrebuck</t>
  </si>
  <si>
    <t>Porzana pusilla</t>
  </si>
  <si>
    <t>Fringilla montifringilla</t>
  </si>
  <si>
    <t>Pinzón real</t>
  </si>
  <si>
    <t>Fémur humano</t>
  </si>
  <si>
    <t>Durance</t>
  </si>
  <si>
    <t>Alto Rhin</t>
  </si>
  <si>
    <t xml:space="preserve">Phacops sp.              </t>
  </si>
  <si>
    <t>Lieja</t>
  </si>
  <si>
    <t>Platalea leucorodia</t>
  </si>
  <si>
    <t xml:space="preserve">Quiastolita     </t>
  </si>
  <si>
    <t>Turdus merula</t>
  </si>
  <si>
    <t>Gundershofen, Bar Rhin</t>
  </si>
  <si>
    <t>Millau, Aveyron</t>
  </si>
  <si>
    <t>Baviera</t>
  </si>
  <si>
    <t>Royan</t>
  </si>
  <si>
    <t>Verdecillo</t>
  </si>
  <si>
    <t>Mirmecophaga tetradactila</t>
  </si>
  <si>
    <t>Theristicus melanopsis</t>
  </si>
  <si>
    <t xml:space="preserve">Distena  masiva                            </t>
  </si>
  <si>
    <t>Lanzarote</t>
  </si>
  <si>
    <t>Críalo</t>
  </si>
  <si>
    <t>Iznájar, Córdoba</t>
  </si>
  <si>
    <t>Escorpina; rascacio..</t>
  </si>
  <si>
    <t>Rascacio</t>
  </si>
  <si>
    <t>Camachuelo</t>
  </si>
  <si>
    <t>Numenius arquata</t>
  </si>
  <si>
    <t>Cangrejo ermitaño</t>
  </si>
  <si>
    <t>Cascanueces</t>
  </si>
  <si>
    <t>Vienne</t>
  </si>
  <si>
    <t>St. Galt, Suisse</t>
  </si>
  <si>
    <t>Ave lira europea</t>
  </si>
  <si>
    <t>Sahara</t>
  </si>
  <si>
    <t>Herborn, Nassan</t>
  </si>
  <si>
    <t>Sterna anglica</t>
  </si>
  <si>
    <t xml:space="preserve">Romboedro de calcita      </t>
  </si>
  <si>
    <t xml:space="preserve">Calcita cementada         </t>
  </si>
  <si>
    <t xml:space="preserve">Aragonito                   </t>
  </si>
  <si>
    <t>Ave del Paraíso</t>
  </si>
  <si>
    <t>Roquero solitario</t>
  </si>
  <si>
    <t>Martín pescador</t>
  </si>
  <si>
    <t>Upupa epops</t>
  </si>
  <si>
    <t>Scymnus lichia</t>
  </si>
  <si>
    <t>Anas glacialis</t>
  </si>
  <si>
    <t>Anas crecca</t>
  </si>
  <si>
    <t>Ste. Catherine, Rouen</t>
  </si>
  <si>
    <t>Marolles, Aube</t>
  </si>
  <si>
    <t>Bellesme, Orne</t>
  </si>
  <si>
    <t>Anas rufina</t>
  </si>
  <si>
    <t>Oceano Pacífico</t>
  </si>
  <si>
    <t>Massachussett</t>
  </si>
  <si>
    <t>Formosa</t>
  </si>
  <si>
    <t>Río de la Plata</t>
  </si>
  <si>
    <t>Cormorán común</t>
  </si>
  <si>
    <t>Zampullín picogrueso</t>
  </si>
  <si>
    <t>Barnacla carinegra</t>
  </si>
  <si>
    <t>Pterocles orientalis</t>
  </si>
  <si>
    <t>Streptopelia turtus</t>
  </si>
  <si>
    <t>Tórtola</t>
  </si>
  <si>
    <t>Columba livia</t>
  </si>
  <si>
    <t>Paloma bravía</t>
  </si>
  <si>
    <t>Netta rufina</t>
  </si>
  <si>
    <t>Tiburón morito</t>
  </si>
  <si>
    <t>Oxynotus centrina</t>
  </si>
  <si>
    <t>Cortaplantas</t>
  </si>
  <si>
    <t>Negrón especulado</t>
  </si>
  <si>
    <t>Río de Janeiro</t>
  </si>
  <si>
    <t>Pisa armata</t>
  </si>
  <si>
    <t>Picos de Europa ( Santander )</t>
  </si>
  <si>
    <t>Hirundo rustica</t>
  </si>
  <si>
    <t>Golondrina</t>
  </si>
  <si>
    <t>Cuculus canorus</t>
  </si>
  <si>
    <t>Cuco</t>
  </si>
  <si>
    <t>Goslar, Brunsvick</t>
  </si>
  <si>
    <t>Tevington</t>
  </si>
  <si>
    <t>Natheim, Wurtemberg</t>
  </si>
  <si>
    <t>Gray, Mte. Saone</t>
  </si>
  <si>
    <t>Dijon</t>
  </si>
  <si>
    <t>Strechla, Sajonia</t>
  </si>
  <si>
    <t>Fécamp</t>
  </si>
  <si>
    <t>Villadieu, Loir et Cher</t>
  </si>
  <si>
    <t>Belemnites dilatatus</t>
  </si>
  <si>
    <t>Plioceno Colonia Sta. Inés (MA)</t>
  </si>
  <si>
    <t>Galeras</t>
  </si>
  <si>
    <t>Bremo común</t>
  </si>
  <si>
    <t>Chanquete</t>
  </si>
  <si>
    <t>Dakota del Sur</t>
  </si>
  <si>
    <t>Aguja</t>
  </si>
  <si>
    <t>Boga</t>
  </si>
  <si>
    <t>Emberizza lapponica</t>
  </si>
  <si>
    <t>Serpiente cascabel</t>
  </si>
  <si>
    <t>Pagalo parásito</t>
  </si>
  <si>
    <t>Vencejo pálido</t>
  </si>
  <si>
    <t>Vencejo real</t>
  </si>
  <si>
    <t>Salmonete de roca</t>
  </si>
  <si>
    <t>Pez zorro</t>
  </si>
  <si>
    <t>Serrano</t>
  </si>
  <si>
    <t>Lenguado</t>
  </si>
  <si>
    <t>Freza de pintarroja</t>
  </si>
  <si>
    <t>Esqueleto de bacalao</t>
  </si>
  <si>
    <t>Feto humano</t>
  </si>
  <si>
    <t>Passer hispaniolensis</t>
  </si>
  <si>
    <t>Gorrión moruno</t>
  </si>
  <si>
    <t>China</t>
  </si>
  <si>
    <t>Bohemia</t>
  </si>
  <si>
    <t>Goerlitz, Prusia</t>
  </si>
  <si>
    <t>Moscú</t>
  </si>
  <si>
    <t>Oropéndola</t>
  </si>
  <si>
    <t>Tortolita sabanera</t>
  </si>
  <si>
    <t>Turdus torquatus</t>
  </si>
  <si>
    <t>Rata de agua</t>
  </si>
  <si>
    <t>Castor liber</t>
  </si>
  <si>
    <t>Zorro marsupial</t>
  </si>
  <si>
    <t>Acentor alpino</t>
  </si>
  <si>
    <t>Macaco mona</t>
  </si>
  <si>
    <t>Guacamayo</t>
  </si>
  <si>
    <t>Alfredo Sáez</t>
  </si>
  <si>
    <t>Gorrión</t>
  </si>
  <si>
    <t>Porphyrio porphyrio</t>
  </si>
  <si>
    <t>Plegadis falcinellus</t>
  </si>
  <si>
    <t>Momotus lessonii</t>
  </si>
  <si>
    <t>Momoto</t>
  </si>
  <si>
    <t>Ericognathus leptorrhynchus</t>
  </si>
  <si>
    <t>Verderón común</t>
  </si>
  <si>
    <t>Chlidonia leucopterus</t>
  </si>
  <si>
    <t>Mustela putorius</t>
  </si>
  <si>
    <t>Armadillo de tres bandas</t>
  </si>
  <si>
    <t>Serinus serinus</t>
  </si>
  <si>
    <t>Escribano montesino</t>
  </si>
  <si>
    <t>Lanius senator</t>
  </si>
  <si>
    <t>Alcaudón común</t>
  </si>
  <si>
    <t>Cassis saburon</t>
  </si>
  <si>
    <t>Buccinum veneris</t>
  </si>
  <si>
    <t>Cyclostoma dolum</t>
  </si>
  <si>
    <t xml:space="preserve">Lucina concentrica </t>
  </si>
  <si>
    <t>Turritella terebellata</t>
  </si>
  <si>
    <t>Halcón abejero</t>
  </si>
  <si>
    <t>Circus cianeus</t>
  </si>
  <si>
    <t>Aguilucho pálido</t>
  </si>
  <si>
    <t xml:space="preserve">Pectunculus pulvinatus  </t>
  </si>
  <si>
    <t xml:space="preserve">Arca rudis  </t>
  </si>
  <si>
    <t xml:space="preserve">Arca modiolaeformis  </t>
  </si>
  <si>
    <t>Braquiópodos</t>
  </si>
  <si>
    <t>Ardea purpurea</t>
  </si>
  <si>
    <t>Embriza citrinella</t>
  </si>
  <si>
    <t>Uria troile: Plantus alle?</t>
  </si>
  <si>
    <t>Arao</t>
  </si>
  <si>
    <t>Estornino negro</t>
  </si>
  <si>
    <t>Cacatúa sulfúrea</t>
  </si>
  <si>
    <t>Pedilymbus podiceps</t>
  </si>
  <si>
    <t>Cuervo de Canadá</t>
  </si>
  <si>
    <t>Sturnus vulgaris</t>
  </si>
  <si>
    <t>Estornino pinto</t>
  </si>
  <si>
    <t>Ánade silbón</t>
  </si>
  <si>
    <t>Ramphastos tucai</t>
  </si>
  <si>
    <t>Tucán</t>
  </si>
  <si>
    <t>Macroramphosus scolopax</t>
  </si>
  <si>
    <t>Phalacrocorax carbo</t>
  </si>
  <si>
    <t>Milano real</t>
  </si>
  <si>
    <t>Astraea rugosa</t>
  </si>
  <si>
    <t>Chlidonia niger</t>
  </si>
  <si>
    <t>Cervus elaphus</t>
  </si>
  <si>
    <t>Gamo</t>
  </si>
  <si>
    <t>Cyanosylvia svecica</t>
  </si>
  <si>
    <t>Pechiazul</t>
  </si>
  <si>
    <t>Cuervo</t>
  </si>
  <si>
    <t>Chova piquigualda</t>
  </si>
  <si>
    <t>Pyrrhocorax pyrrhocorax</t>
  </si>
  <si>
    <t>Encope</t>
  </si>
  <si>
    <t>Emberiza nivalis</t>
  </si>
  <si>
    <t>Escribano real</t>
  </si>
  <si>
    <t>Cabezo de Cortes ( Cartagena )</t>
  </si>
  <si>
    <t>Jaén</t>
  </si>
  <si>
    <t>Miguel A. Fdez. Périz</t>
  </si>
  <si>
    <t>Chotacabras pardo</t>
  </si>
  <si>
    <t>Caprimulgus europaeus</t>
  </si>
  <si>
    <t>Exp. 11.1</t>
  </si>
  <si>
    <t>Exp. 12.1</t>
  </si>
  <si>
    <t>Exp. 13.1</t>
  </si>
  <si>
    <t>Musaraña</t>
  </si>
  <si>
    <t>Belemnites plaxidosus</t>
  </si>
  <si>
    <t>Fustulipora ???</t>
  </si>
  <si>
    <t>Diente de Oxirhina</t>
  </si>
  <si>
    <t>Hemicidaris davidsoni</t>
  </si>
  <si>
    <t>Belemnites subfusiformis</t>
  </si>
  <si>
    <t>Productus lineatus</t>
  </si>
  <si>
    <t>Productus striatus</t>
  </si>
  <si>
    <t>Productus punctatus</t>
  </si>
  <si>
    <t>Astraea helianthoides</t>
  </si>
  <si>
    <t>Cañabota</t>
  </si>
  <si>
    <t>Pez trompeta</t>
  </si>
  <si>
    <t>Chucla</t>
  </si>
  <si>
    <t>Pescadilla</t>
  </si>
  <si>
    <t>Lisa</t>
  </si>
  <si>
    <t>Salmonete de fango</t>
  </si>
  <si>
    <t xml:space="preserve">Hyldoceras sublevisonii                   </t>
  </si>
  <si>
    <t>Ronen</t>
  </si>
  <si>
    <t xml:space="preserve">Trochosmilia compressa  </t>
  </si>
  <si>
    <t>Tringa hipoleucos</t>
  </si>
  <si>
    <t>Pez de San Pedro</t>
  </si>
  <si>
    <t>Merops apiaster</t>
  </si>
  <si>
    <t>Abejarruco</t>
  </si>
  <si>
    <t>Tringa totanus</t>
  </si>
  <si>
    <t>Castor</t>
  </si>
  <si>
    <t>Coatí</t>
  </si>
  <si>
    <t>Abubilla</t>
  </si>
  <si>
    <t>Rallus acuaticus</t>
  </si>
  <si>
    <t>Guión de codornices</t>
  </si>
  <si>
    <t>Turdus iliacus</t>
  </si>
  <si>
    <t>Zorzal alirrojo</t>
  </si>
  <si>
    <t>Turdus viscivorus</t>
  </si>
  <si>
    <t>Zorzal charlo</t>
  </si>
  <si>
    <t>Papagayo</t>
  </si>
  <si>
    <t>Mochuelo</t>
  </si>
  <si>
    <t>Choroy</t>
  </si>
  <si>
    <t>Cnidaros</t>
  </si>
  <si>
    <t>Turdus philomelos</t>
  </si>
  <si>
    <t>Zorzal común</t>
  </si>
  <si>
    <t>Puerco espín</t>
  </si>
  <si>
    <t>Phalangista vulpina</t>
  </si>
  <si>
    <t>Exp. 14.1</t>
  </si>
  <si>
    <t>Exp. 15.1</t>
  </si>
  <si>
    <t>Mono araña</t>
  </si>
  <si>
    <t>Stentor ursinus</t>
  </si>
  <si>
    <t>Mirlo capiblanco</t>
  </si>
  <si>
    <t>Loxia pytiopsittacus</t>
  </si>
  <si>
    <t>Fratercula artica</t>
  </si>
  <si>
    <t>Lechuza gavilana</t>
  </si>
  <si>
    <t>Larus glaucus</t>
  </si>
  <si>
    <t>Gaviota polar</t>
  </si>
  <si>
    <t>" Invasor "</t>
  </si>
  <si>
    <t>Alca</t>
  </si>
  <si>
    <t>Almería</t>
  </si>
  <si>
    <t>Pez volador</t>
  </si>
  <si>
    <t>Olayo</t>
  </si>
  <si>
    <t>Cazón</t>
  </si>
  <si>
    <t>Águila calzada</t>
  </si>
  <si>
    <t>Gavilán</t>
  </si>
  <si>
    <t>Strix virginiana</t>
  </si>
  <si>
    <t>Trogon curucui</t>
  </si>
  <si>
    <t>Quetzal coronado</t>
  </si>
  <si>
    <t>Ave lira</t>
  </si>
  <si>
    <t>Terciopelo</t>
  </si>
  <si>
    <t>Phasianus gallus ♂ y ♀</t>
  </si>
  <si>
    <t>Petaurus laguanoides</t>
  </si>
  <si>
    <t>Talpa europaea</t>
  </si>
  <si>
    <t>Topo</t>
  </si>
  <si>
    <t>Pleurotomaria migrans</t>
  </si>
  <si>
    <t>Calyptorrhinchus galeatus</t>
  </si>
  <si>
    <t>Pez borrico</t>
  </si>
  <si>
    <t>Fringilla nivalis</t>
  </si>
  <si>
    <t>Gaviotín de pico negro</t>
  </si>
  <si>
    <t>Melanita nigra</t>
  </si>
  <si>
    <t>Calcopirita con siderita</t>
  </si>
  <si>
    <t>Galerida cristata</t>
  </si>
  <si>
    <t>Cangrejo violinista</t>
  </si>
  <si>
    <t>Cigala</t>
  </si>
  <si>
    <t>Faisán faraón</t>
  </si>
  <si>
    <t>Anas clipeata</t>
  </si>
  <si>
    <t>Pato cuchara</t>
  </si>
  <si>
    <t>Aythya niroca</t>
  </si>
  <si>
    <t>Acrocidaris sp</t>
  </si>
  <si>
    <t>Pito real</t>
  </si>
  <si>
    <t>Pico picapinos</t>
  </si>
  <si>
    <t>Picus viridis</t>
  </si>
  <si>
    <t>Cintas</t>
  </si>
  <si>
    <t>Congrio</t>
  </si>
  <si>
    <t>Marruecos</t>
  </si>
  <si>
    <t xml:space="preserve">Cervus dama </t>
  </si>
  <si>
    <t>Branta bernicla</t>
  </si>
  <si>
    <t>Chova piquirroja</t>
  </si>
  <si>
    <t>Luis Castellon</t>
  </si>
  <si>
    <t>Mono aullador</t>
  </si>
  <si>
    <t>Turbo segregatus</t>
  </si>
  <si>
    <t>Vertebra de Nothosaurus</t>
  </si>
  <si>
    <t>Erinaceus europaeus</t>
  </si>
  <si>
    <t>Erizo</t>
  </si>
  <si>
    <t>Ánade friso</t>
  </si>
  <si>
    <t>Ammonites subumbilicatus</t>
  </si>
  <si>
    <t>Anas fuligula</t>
  </si>
  <si>
    <t>Nucifraga caryocatactes</t>
  </si>
  <si>
    <t>Aythya fertina</t>
  </si>
  <si>
    <t>Porrón moñudo</t>
  </si>
  <si>
    <t>Melanocorypha calandra</t>
  </si>
  <si>
    <t>Calandria</t>
  </si>
  <si>
    <t>Cercopithecus sphinx</t>
  </si>
  <si>
    <t xml:space="preserve">Cobre nativo </t>
  </si>
  <si>
    <t>Babuino</t>
  </si>
  <si>
    <t>Cebus apella</t>
  </si>
  <si>
    <t>Garduña</t>
  </si>
  <si>
    <t>Mustela vulgaris</t>
  </si>
  <si>
    <t>Turón</t>
  </si>
  <si>
    <t>Dasyurus maculatus</t>
  </si>
  <si>
    <t>Gato marsupial</t>
  </si>
  <si>
    <t>Larus marinus</t>
  </si>
  <si>
    <t>Alondra de prado</t>
  </si>
  <si>
    <t xml:space="preserve">Nucula eudora    </t>
  </si>
  <si>
    <t>Tellina ampliata</t>
  </si>
  <si>
    <t>Trigonia costata</t>
  </si>
  <si>
    <t>Trigonia armata</t>
  </si>
  <si>
    <t>Garcilla cangrejera</t>
  </si>
  <si>
    <t>Alca torda</t>
  </si>
  <si>
    <t>Turnix sylvatica</t>
  </si>
  <si>
    <t>Topo "albino"</t>
  </si>
  <si>
    <t>Ardilla; ??</t>
  </si>
  <si>
    <t>Ornitorrinco</t>
  </si>
  <si>
    <t>Halmaturus elegans</t>
  </si>
  <si>
    <t>Trichopsis pumilus</t>
  </si>
  <si>
    <t>Callionymus fasciatus</t>
  </si>
  <si>
    <t>Alberto Gómez Hernández</t>
  </si>
  <si>
    <t>Santiago de Compostela</t>
  </si>
  <si>
    <t>Comadreja</t>
  </si>
  <si>
    <t>Picogordo</t>
  </si>
  <si>
    <t>Cercophitecus ruber</t>
  </si>
  <si>
    <t>Garrulus glandarius</t>
  </si>
  <si>
    <t>Arrendajo</t>
  </si>
  <si>
    <t>Escribano cerillo</t>
  </si>
  <si>
    <t>Embriza cia</t>
  </si>
  <si>
    <t>Fringilla coelebs</t>
  </si>
  <si>
    <t>Pinzón</t>
  </si>
  <si>
    <t>Tudiela spirillus</t>
  </si>
  <si>
    <t>Fusus intermedius</t>
  </si>
  <si>
    <t xml:space="preserve">Cardium granulosum    </t>
  </si>
  <si>
    <t>Oso hormiguero</t>
  </si>
  <si>
    <t xml:space="preserve">Terebratula intermedia     </t>
  </si>
  <si>
    <t>Phasianus gallus</t>
  </si>
  <si>
    <t>Gallina</t>
  </si>
  <si>
    <t>Gavión</t>
  </si>
  <si>
    <t>Larus canus</t>
  </si>
  <si>
    <t>Gaviota cana</t>
  </si>
  <si>
    <t>Chipe plomizo</t>
  </si>
  <si>
    <t>Pavo virginianus</t>
  </si>
  <si>
    <t>Pavo de Virginia</t>
  </si>
  <si>
    <t>Anas penelope</t>
  </si>
  <si>
    <t>Erizo de mar</t>
  </si>
  <si>
    <t xml:space="preserve">Lythoceras sp.          </t>
  </si>
  <si>
    <t xml:space="preserve">Pleurodeles waltlii </t>
  </si>
  <si>
    <t>Culebra de Esculapio</t>
  </si>
  <si>
    <t>Didelphus opossum</t>
  </si>
  <si>
    <t>Zarigüeya (caypollín)</t>
  </si>
  <si>
    <t xml:space="preserve">Productus semireticulatus </t>
  </si>
  <si>
    <t>Hippurites organisans</t>
  </si>
  <si>
    <t xml:space="preserve">Turbo parkinsoni   </t>
  </si>
  <si>
    <t xml:space="preserve">Linnaea longiscata </t>
  </si>
  <si>
    <t>Polyborus brasilensis</t>
  </si>
  <si>
    <t xml:space="preserve">Leptaena aquila    </t>
  </si>
  <si>
    <t>Paradisea apoda</t>
  </si>
  <si>
    <t>Ardilla voladora</t>
  </si>
  <si>
    <t>Sturnus unicolor</t>
  </si>
  <si>
    <t>Papamoscas del Caribe</t>
  </si>
  <si>
    <t>Jaquetón</t>
  </si>
  <si>
    <t>Caballito de mar</t>
  </si>
  <si>
    <t>Cogujada común</t>
  </si>
  <si>
    <t>Hamites rotundus</t>
  </si>
  <si>
    <t>Scaphites tvani</t>
  </si>
  <si>
    <t>Crioceras asterianus</t>
  </si>
  <si>
    <t>Labrador</t>
  </si>
  <si>
    <t>Spatangus purpureus</t>
  </si>
  <si>
    <t>Cangrejo de las rocas</t>
  </si>
  <si>
    <t>Dryocopus martius</t>
  </si>
  <si>
    <t>Pito negro</t>
  </si>
  <si>
    <t>Caprimulgus ruficollis</t>
  </si>
  <si>
    <t>Cráneo de Capra domestica</t>
  </si>
  <si>
    <t>Pterophyllum scalare</t>
  </si>
  <si>
    <t xml:space="preserve">Ammonites duvalianus </t>
  </si>
  <si>
    <t>Phylloceras sp.</t>
  </si>
  <si>
    <t>Tortuga Carey</t>
  </si>
  <si>
    <t>Arvicola destructor</t>
  </si>
  <si>
    <t>Arvícola</t>
  </si>
  <si>
    <t>Mus argenterratensis</t>
  </si>
  <si>
    <t>Sciurus raffesii</t>
  </si>
  <si>
    <t>Sciurus niger</t>
  </si>
  <si>
    <t>Harpoceras sp.</t>
  </si>
  <si>
    <t>Grammoceras sp.</t>
  </si>
  <si>
    <t>Perisphinctes sp.</t>
  </si>
  <si>
    <t>Pseudodiadema hemisphaericum</t>
  </si>
  <si>
    <t>Mergus albellus</t>
  </si>
  <si>
    <t>Serreta chica</t>
  </si>
  <si>
    <t>Alondra común</t>
  </si>
  <si>
    <t>Lullula arborea</t>
  </si>
  <si>
    <t>Negrón común</t>
  </si>
  <si>
    <t>Anas strepera</t>
  </si>
  <si>
    <t>Suria Cardona</t>
  </si>
  <si>
    <t>Somateria spectabilis</t>
  </si>
  <si>
    <t>Cabra doméstica</t>
  </si>
  <si>
    <t>Sepiolita</t>
  </si>
  <si>
    <t>Oligisto botrioide con limonita</t>
  </si>
  <si>
    <t>Ponferrada</t>
  </si>
  <si>
    <t xml:space="preserve">Galena </t>
  </si>
  <si>
    <t>Linares</t>
  </si>
  <si>
    <t>Felis catus</t>
  </si>
  <si>
    <t>Gato doméstico (angora)</t>
  </si>
  <si>
    <t>Mustela foina</t>
  </si>
  <si>
    <t>Moloch horridus</t>
  </si>
  <si>
    <t>Sphiggurus insidiosus</t>
  </si>
  <si>
    <t>Ocelote</t>
  </si>
  <si>
    <t>Janira cuadricostata</t>
  </si>
  <si>
    <t>Pectunculus insubricus</t>
  </si>
  <si>
    <t>Pectunculus glycimeris</t>
  </si>
  <si>
    <t>Productus horridus</t>
  </si>
  <si>
    <t>Turritella sulcifera</t>
  </si>
  <si>
    <t>Turritella imbricataria</t>
  </si>
  <si>
    <t>Cytherea trigonela</t>
  </si>
  <si>
    <t>Urraca azul</t>
  </si>
  <si>
    <t>Charadrius hiaticula</t>
  </si>
  <si>
    <t>José Sánchez Prieto</t>
  </si>
  <si>
    <t xml:space="preserve">Dakota del Sur </t>
  </si>
  <si>
    <t>Marmotta marmotta</t>
  </si>
  <si>
    <t>Marmota</t>
  </si>
  <si>
    <t>Mercurio nativo</t>
  </si>
  <si>
    <t>Macaco rojo</t>
  </si>
  <si>
    <t>Gulo gulo</t>
  </si>
  <si>
    <t>Glotón</t>
  </si>
  <si>
    <t>Tejón</t>
  </si>
  <si>
    <t>Charrán patinegro</t>
  </si>
  <si>
    <t>Gaviota reidora</t>
  </si>
  <si>
    <t>Busycon perversum</t>
  </si>
  <si>
    <t>Cassidulus melongena</t>
  </si>
  <si>
    <t>Búho real</t>
  </si>
  <si>
    <t>Pentremites piriformis</t>
  </si>
  <si>
    <t>Sigillaria hexagona</t>
  </si>
  <si>
    <t>Spongilla lacustris</t>
  </si>
  <si>
    <t>Lechuza de Virginia</t>
  </si>
  <si>
    <t>Otus vulgaris</t>
  </si>
  <si>
    <t>Neophron pernopterus</t>
  </si>
  <si>
    <t>Halcón sacre</t>
  </si>
  <si>
    <t>Búho chico</t>
  </si>
  <si>
    <t>Búho de Patagonia</t>
  </si>
  <si>
    <t>Bubo bubo</t>
  </si>
  <si>
    <t>Pernis apivorus</t>
  </si>
  <si>
    <t>Aguilucho lagunero</t>
  </si>
  <si>
    <t>Águila real</t>
  </si>
  <si>
    <t>Trochilus auritus</t>
  </si>
  <si>
    <t>Colibrí dorado</t>
  </si>
  <si>
    <t>Gallo</t>
  </si>
  <si>
    <t>Sierra Nevada</t>
  </si>
  <si>
    <t xml:space="preserve">Nummulites laevigatus     </t>
  </si>
  <si>
    <t xml:space="preserve">Nummulites mammillatus </t>
  </si>
  <si>
    <t>Pintarroja</t>
  </si>
  <si>
    <t>Stringocephalus burtini</t>
  </si>
  <si>
    <t>Spirifer vernelini</t>
  </si>
  <si>
    <t xml:space="preserve">Turritella archimodis  </t>
  </si>
  <si>
    <t>Fósiles</t>
  </si>
  <si>
    <t xml:space="preserve">Strophomena depressa </t>
  </si>
  <si>
    <t>Exp. 2.1</t>
  </si>
  <si>
    <t>Ancilaria glandiformis</t>
  </si>
  <si>
    <t>Trigonocarpum noeggorath</t>
  </si>
  <si>
    <t>Munida meleagris ♂ y ♀</t>
  </si>
  <si>
    <t>Ammonites mayorianus</t>
  </si>
  <si>
    <t>Ynoceramus concentricus</t>
  </si>
  <si>
    <t xml:space="preserve">Cardiola interrupta </t>
  </si>
  <si>
    <t>Radiolites bournoni</t>
  </si>
  <si>
    <t>Sphaerulites toucasianus</t>
  </si>
  <si>
    <t>Sphaerulites cylindracens</t>
  </si>
  <si>
    <t>Ammonites toarcensis</t>
  </si>
  <si>
    <t xml:space="preserve">Ammonites mantellii </t>
  </si>
  <si>
    <t>Turrilites costatus</t>
  </si>
  <si>
    <t>Camarón de Jamaica</t>
  </si>
  <si>
    <t xml:space="preserve">Ammonites lyellii   </t>
  </si>
  <si>
    <t xml:space="preserve">Nummulites perforatus  </t>
  </si>
  <si>
    <t>Holectypus depressus</t>
  </si>
  <si>
    <t>Apiocrinus rotundus</t>
  </si>
  <si>
    <t>Alauda arvensis</t>
  </si>
  <si>
    <t>Topo dorado de El Cabo</t>
  </si>
  <si>
    <t>Oenanthe leucura</t>
  </si>
  <si>
    <t>Cercophitecus mona</t>
  </si>
  <si>
    <t>Scorpaena porcus</t>
  </si>
  <si>
    <t>Collalba negra</t>
  </si>
  <si>
    <t>Alzacola</t>
  </si>
  <si>
    <t>Urraca</t>
  </si>
  <si>
    <t>Mus decumanus</t>
  </si>
  <si>
    <t>Eider real</t>
  </si>
  <si>
    <t>Somateria mollisima</t>
  </si>
  <si>
    <t>Eider</t>
  </si>
  <si>
    <t>Basiliscus vittatus</t>
  </si>
  <si>
    <t>Suberites domuncula</t>
  </si>
  <si>
    <t>Platelmintos</t>
  </si>
  <si>
    <t>Stylina oculata</t>
  </si>
  <si>
    <t>Uranoscopus scaber</t>
  </si>
  <si>
    <t xml:space="preserve">Cellepora spp.  </t>
  </si>
  <si>
    <t xml:space="preserve">Rhynchonella concinnoides  </t>
  </si>
  <si>
    <t>Lacerta vivípara</t>
  </si>
  <si>
    <t>Pleurodictyum problematicum</t>
  </si>
  <si>
    <t>Phacops faecundus</t>
  </si>
  <si>
    <t>Pholadidea concamerata</t>
  </si>
  <si>
    <t>Falco rufinus</t>
  </si>
  <si>
    <t>Halcón rojo</t>
  </si>
  <si>
    <t>Graptolithus spiralis</t>
  </si>
  <si>
    <t>Trinucleus ornatus</t>
  </si>
  <si>
    <t>Tsohadites koenigi</t>
  </si>
  <si>
    <t>Athene noctua</t>
  </si>
  <si>
    <t>Terebratula digona</t>
  </si>
  <si>
    <t>Paradoxides bohemicus</t>
  </si>
  <si>
    <t>Capulus priscus</t>
  </si>
  <si>
    <t>Capulus elegans</t>
  </si>
  <si>
    <t>Dolyum canaliculatum</t>
  </si>
  <si>
    <t>Amphidesma reticulata</t>
  </si>
  <si>
    <t xml:space="preserve">Terebratula saemanni  </t>
  </si>
  <si>
    <t>Buho bubo</t>
  </si>
  <si>
    <t xml:space="preserve">Tarentola mauritanica  </t>
  </si>
  <si>
    <t>Bubo magallanicus</t>
  </si>
  <si>
    <t>Spirigera concentrica</t>
  </si>
  <si>
    <t>Spirigerina reticularis</t>
  </si>
  <si>
    <t>Echinus melo</t>
  </si>
  <si>
    <t>Pez martillo</t>
  </si>
  <si>
    <t>Meyeria magna</t>
  </si>
  <si>
    <t xml:space="preserve">Pentamerus acutilobatus  </t>
  </si>
  <si>
    <t xml:space="preserve">Corbis pectunculus  </t>
  </si>
  <si>
    <t>Cyathophyllum ceratites</t>
  </si>
  <si>
    <t>Serpula phyllora</t>
  </si>
  <si>
    <t>Ostrea longirostris</t>
  </si>
  <si>
    <t>Phoca vitulina</t>
  </si>
  <si>
    <t>Squalus cornubica</t>
  </si>
  <si>
    <t>Cerceta carretona</t>
  </si>
  <si>
    <t xml:space="preserve">Carta del Ilmo. Sr. Don Natalio Rivas al arquitecto del edificio. De Gran Vía. D. Fernando Wilhelmi ( 1.917 ) </t>
  </si>
  <si>
    <t xml:space="preserve">Ostraea virgula    </t>
  </si>
  <si>
    <t>Sphaerulites angeïodes</t>
  </si>
  <si>
    <t>Mono caí</t>
  </si>
  <si>
    <t>Sorex araneus</t>
  </si>
  <si>
    <t>Ranella ranina</t>
  </si>
  <si>
    <t xml:space="preserve">Ammonites latidorsatus </t>
  </si>
  <si>
    <t>Chondrostoma nasus</t>
  </si>
  <si>
    <t xml:space="preserve">Terebratulla ombrella     </t>
  </si>
  <si>
    <t>Chorlitejo grande</t>
  </si>
  <si>
    <t>Correlimos de Temminck</t>
  </si>
  <si>
    <t>Andarríos chico</t>
  </si>
  <si>
    <t>Anélidos</t>
  </si>
  <si>
    <t>Terebratula semistriata</t>
  </si>
  <si>
    <t>Chorlitejo patinegro</t>
  </si>
  <si>
    <t>Andarríos de Terek</t>
  </si>
  <si>
    <t xml:space="preserve">Rhynchonella lamarchii   </t>
  </si>
  <si>
    <t>Caliza glauconiosa conchífera</t>
  </si>
  <si>
    <t>Cepola rubescens</t>
  </si>
  <si>
    <t>Ateles hybridus</t>
  </si>
  <si>
    <t xml:space="preserve">Terebratulla praelonga   </t>
  </si>
  <si>
    <t>Totovía</t>
  </si>
  <si>
    <t>Alauda sibirica</t>
  </si>
  <si>
    <t>Alauda tartarica</t>
  </si>
  <si>
    <t>Desmán</t>
  </si>
  <si>
    <t>Corculum cardias</t>
  </si>
  <si>
    <t xml:space="preserve">Ynoceramus mytiloïdes       </t>
  </si>
  <si>
    <t>Piquituerto lorito</t>
  </si>
  <si>
    <t>Arca fibrosa</t>
  </si>
  <si>
    <t xml:space="preserve">Astarte voltzii        </t>
  </si>
  <si>
    <t xml:space="preserve">Cytherea laevigata  </t>
  </si>
  <si>
    <t>Caliza: Cerithium y Paleotherium</t>
  </si>
  <si>
    <t>Echinolampas linki</t>
  </si>
  <si>
    <t>Corbis lamellosa</t>
  </si>
  <si>
    <t>Cucullaea crosatina</t>
  </si>
  <si>
    <t>Murex foliatus</t>
  </si>
  <si>
    <t>Hamulina astieriana</t>
  </si>
  <si>
    <t>Aptychus sp.</t>
  </si>
  <si>
    <t>Pecten hoffmannii</t>
  </si>
  <si>
    <t>Spirifer spp.</t>
  </si>
  <si>
    <t>Terebratula schunzii</t>
  </si>
  <si>
    <t>Salicites caliza nummulitica</t>
  </si>
  <si>
    <t>Streptorhynchus umbraculum</t>
  </si>
  <si>
    <t>Pterocera oceani</t>
  </si>
  <si>
    <t>Pez guitarra</t>
  </si>
  <si>
    <t xml:space="preserve">Phacops latifrons </t>
  </si>
  <si>
    <t xml:space="preserve">Capulus anguinus </t>
  </si>
  <si>
    <t xml:space="preserve">Corbulla gallica </t>
  </si>
  <si>
    <t xml:space="preserve">Corbula ficus     </t>
  </si>
  <si>
    <t>Terebratula vitrea</t>
  </si>
  <si>
    <t>Conus marmoreus</t>
  </si>
  <si>
    <t xml:space="preserve">Terebratula sulcirostris  </t>
  </si>
  <si>
    <t xml:space="preserve">Ostrea cyathula  </t>
  </si>
  <si>
    <t xml:space="preserve">Pileopsis cornucopiae </t>
  </si>
  <si>
    <t xml:space="preserve">Pecten jacobaeus </t>
  </si>
  <si>
    <t xml:space="preserve">Pecten dubius </t>
  </si>
  <si>
    <t xml:space="preserve">Oliva basteroti    </t>
  </si>
  <si>
    <t>Concholepas peruvianus</t>
  </si>
  <si>
    <t xml:space="preserve">Orthis striatula </t>
  </si>
  <si>
    <t>Canis aureus</t>
  </si>
  <si>
    <t>Hueso de Nothosaurus</t>
  </si>
  <si>
    <t>Falange de Nothosaurus</t>
  </si>
  <si>
    <t>Vertebra de Mosasaurus</t>
  </si>
  <si>
    <t xml:space="preserve">Scaphites obliquus    </t>
  </si>
  <si>
    <t xml:space="preserve">Hamites elegans  </t>
  </si>
  <si>
    <t>Merlucius merlangus</t>
  </si>
  <si>
    <t>Mullus barbatus</t>
  </si>
  <si>
    <t>Pleuronectes solea</t>
  </si>
  <si>
    <t>Abramis brama</t>
  </si>
  <si>
    <t>Rana temporaria</t>
  </si>
  <si>
    <t>Ynoceramus cripsii</t>
  </si>
  <si>
    <t>Pleurotomaria armata</t>
  </si>
  <si>
    <t>Ampularia scalarina</t>
  </si>
  <si>
    <t xml:space="preserve">Cyphosoma rugosum   </t>
  </si>
  <si>
    <t>Pholadomya decusata</t>
  </si>
  <si>
    <t>Lambis sp.</t>
  </si>
  <si>
    <t>Siphonia punctata</t>
  </si>
  <si>
    <t>Terebratula obesa</t>
  </si>
  <si>
    <t xml:space="preserve">Ostraea gregaria  </t>
  </si>
  <si>
    <t>Ostraea vesicularis minor</t>
  </si>
  <si>
    <t>Myophoria vulgaris</t>
  </si>
  <si>
    <t>Cigüeña</t>
  </si>
  <si>
    <t>Perna mytiloides</t>
  </si>
  <si>
    <t xml:space="preserve">Arca requieniana  </t>
  </si>
  <si>
    <t>Trigla lira</t>
  </si>
  <si>
    <t xml:space="preserve">Spongia pezizoides     </t>
  </si>
  <si>
    <t>Aguja colinegra</t>
  </si>
  <si>
    <t>Agachadiza común</t>
  </si>
  <si>
    <t>Correlimos común</t>
  </si>
  <si>
    <t>Correlimos zarapitín</t>
  </si>
  <si>
    <t>Chorlito gris</t>
  </si>
  <si>
    <t>Rascón</t>
  </si>
  <si>
    <t>Natrix maura</t>
  </si>
  <si>
    <t>Planorbis marginata</t>
  </si>
  <si>
    <t xml:space="preserve">Nucula pectinata  </t>
  </si>
  <si>
    <t>Arctica islandica</t>
  </si>
  <si>
    <t>Pachymatisma johnstonia</t>
  </si>
  <si>
    <t>Lucina plana</t>
  </si>
  <si>
    <t>Caliza con alveolinas y pectínidos</t>
  </si>
  <si>
    <t>Caliza con pectínidos</t>
  </si>
  <si>
    <t>Zarapito trinador</t>
  </si>
  <si>
    <t>Equinus microtuber</t>
  </si>
  <si>
    <t>Lutraria oblonga</t>
  </si>
  <si>
    <t>Dentalium mosae</t>
  </si>
  <si>
    <t>Calpurnus verrucosus</t>
  </si>
  <si>
    <t>Zonaria pyrum</t>
  </si>
  <si>
    <t xml:space="preserve">Arca turonica </t>
  </si>
  <si>
    <t>Turbinella poligona</t>
  </si>
  <si>
    <t>Maza pyrum</t>
  </si>
  <si>
    <t xml:space="preserve">Terebratula sphaeroidalis   </t>
  </si>
  <si>
    <t>Ovula ovum</t>
  </si>
  <si>
    <t>Volva volva</t>
  </si>
  <si>
    <t>Sphaenopteris affinis</t>
  </si>
  <si>
    <t>Ostrea gingensis</t>
  </si>
  <si>
    <t>Chama papyracea</t>
  </si>
  <si>
    <t>Lucina saxorum</t>
  </si>
  <si>
    <t>Natica josephina</t>
  </si>
  <si>
    <t>Murex crasilabrum</t>
  </si>
  <si>
    <t xml:space="preserve">Cardium porulosum </t>
  </si>
  <si>
    <t>Spirifer alatus</t>
  </si>
  <si>
    <t xml:space="preserve">Buccinum costulatum  </t>
  </si>
  <si>
    <t>Perca gigas</t>
  </si>
  <si>
    <t>Cherma</t>
  </si>
  <si>
    <t>Calamites secckrovii</t>
  </si>
  <si>
    <t>Avicula cybele</t>
  </si>
  <si>
    <t>Molares de Equus</t>
  </si>
  <si>
    <t>Pleurotoma prisca</t>
  </si>
  <si>
    <t>Avicula varians</t>
  </si>
  <si>
    <t>Avicula speluniaria</t>
  </si>
  <si>
    <t>Spirifer glaber</t>
  </si>
  <si>
    <t>Buccinum baccatum</t>
  </si>
  <si>
    <t>Olivella undatella</t>
  </si>
  <si>
    <t>Yeso cristalizado sin maclar</t>
  </si>
  <si>
    <t>Yeso macla en punta de flecha</t>
  </si>
  <si>
    <t>Yeso fibroso</t>
  </si>
  <si>
    <t>Mitra labratula</t>
  </si>
  <si>
    <t>Calceola sandalina</t>
  </si>
  <si>
    <t>Cerithium serratum</t>
  </si>
  <si>
    <t>Cerithium lapidum</t>
  </si>
  <si>
    <t>Pupa nitidula</t>
  </si>
  <si>
    <t xml:space="preserve">Cerithium broodhii </t>
  </si>
  <si>
    <t>Erato laveis</t>
  </si>
  <si>
    <t>Cardium edule</t>
  </si>
  <si>
    <t>Tortuga boba</t>
  </si>
  <si>
    <t>Tortuga carey</t>
  </si>
  <si>
    <t>Architectonica maxima</t>
  </si>
  <si>
    <t>Dermatocera vitrea</t>
  </si>
  <si>
    <t>Fungia equinata</t>
  </si>
  <si>
    <t>Vermiculita con calcopirita</t>
  </si>
  <si>
    <t>Costilla de Elephas</t>
  </si>
  <si>
    <t>Mitra junior</t>
  </si>
  <si>
    <t>Granito</t>
  </si>
  <si>
    <t>Vertebra de pez</t>
  </si>
  <si>
    <t xml:space="preserve">Phillipsia gemmulifera </t>
  </si>
  <si>
    <t>Colimbo ártico</t>
  </si>
  <si>
    <t xml:space="preserve">Balanus uddevallensis </t>
  </si>
  <si>
    <t>Cabra montés</t>
  </si>
  <si>
    <t xml:space="preserve">Trochoseris distorta </t>
  </si>
  <si>
    <t xml:space="preserve">Cyclostoma mumia </t>
  </si>
  <si>
    <t>Natica spp.</t>
  </si>
  <si>
    <t xml:space="preserve">Terebratula sappho    </t>
  </si>
  <si>
    <t>Toxaster complanatus</t>
  </si>
  <si>
    <t xml:space="preserve">Sowerbyceras tortisulcatum </t>
  </si>
  <si>
    <t xml:space="preserve">Otosphinctes sp. </t>
  </si>
  <si>
    <t>Exp. 4.1</t>
  </si>
  <si>
    <t>Exp. 5.1</t>
  </si>
  <si>
    <t>Philina aperta</t>
  </si>
  <si>
    <t>Sparus auratus</t>
  </si>
  <si>
    <t>Murex radix</t>
  </si>
  <si>
    <t>Ranella giganteum</t>
  </si>
  <si>
    <t>Emys caspica</t>
  </si>
  <si>
    <t xml:space="preserve">Terebratula pectunculoïdes  </t>
  </si>
  <si>
    <t>Cymbiola vespertilio</t>
  </si>
  <si>
    <t>Retepora cellulosa</t>
  </si>
  <si>
    <t>TUNICADOS</t>
  </si>
  <si>
    <t>Scorpaena notata</t>
  </si>
  <si>
    <t>Ostraea deltoidea</t>
  </si>
  <si>
    <t>Pholadomya exaltata</t>
  </si>
  <si>
    <t>Blanus cinereus</t>
  </si>
  <si>
    <t>Litografías</t>
  </si>
  <si>
    <t>Panopaea mandibula</t>
  </si>
  <si>
    <t xml:space="preserve">Pholadomya inornata  </t>
  </si>
  <si>
    <t>Spongiaria fosil</t>
  </si>
  <si>
    <t>Cyclolites elipticus</t>
  </si>
  <si>
    <t>Gervillea socialis</t>
  </si>
  <si>
    <t>Lima maxima</t>
  </si>
  <si>
    <t>Ostraea vesicularis</t>
  </si>
  <si>
    <t xml:space="preserve">Mya rugosa      </t>
  </si>
  <si>
    <t>Pholadomya protei</t>
  </si>
  <si>
    <t xml:space="preserve">Ostraea biauriculata  </t>
  </si>
  <si>
    <t>Mullus surmulletus</t>
  </si>
  <si>
    <t xml:space="preserve">Ostraea columba      </t>
  </si>
  <si>
    <t>Coronella laveis</t>
  </si>
  <si>
    <t>Sección de Astraea rugosa</t>
  </si>
  <si>
    <t>Tunicados</t>
  </si>
  <si>
    <t>Ostraea marshii</t>
  </si>
  <si>
    <t>Panopaea bronguiartina</t>
  </si>
  <si>
    <t>Lupa diacantha</t>
  </si>
  <si>
    <t>Planorbis corneus</t>
  </si>
  <si>
    <t xml:space="preserve">Terebratula cardium        </t>
  </si>
  <si>
    <t>Brissus unicolor</t>
  </si>
  <si>
    <t>Chama griphoides</t>
  </si>
  <si>
    <t>Tellina incarnata</t>
  </si>
  <si>
    <t>Archibebe común</t>
  </si>
  <si>
    <t>Ensis ensis</t>
  </si>
  <si>
    <t>Tellina planata</t>
  </si>
  <si>
    <t>Semillas</t>
  </si>
  <si>
    <t>Ampullaria umbella</t>
  </si>
  <si>
    <t xml:space="preserve">Rhynchonella vespertilis    </t>
  </si>
  <si>
    <t>Chione cancellata</t>
  </si>
  <si>
    <t>Arca noneliana</t>
  </si>
  <si>
    <t xml:space="preserve">Tapes gregaria  </t>
  </si>
  <si>
    <t xml:space="preserve">Trigonia spinosa    </t>
  </si>
  <si>
    <t>Spondylus spinosus</t>
  </si>
  <si>
    <t>Cyprina noneliana</t>
  </si>
  <si>
    <t>Trigonia scabra</t>
  </si>
  <si>
    <t>Hexanchus griseus</t>
  </si>
  <si>
    <t>Littorina ahenea</t>
  </si>
  <si>
    <t>Turbinella brasiliana</t>
  </si>
  <si>
    <t xml:space="preserve">Cytherea incrassata </t>
  </si>
  <si>
    <t xml:space="preserve">Pectunculus obovatus </t>
  </si>
  <si>
    <t>Bellerophon bilobatum</t>
  </si>
  <si>
    <t>Lucina gigantea</t>
  </si>
  <si>
    <t>Lucina concéntrica</t>
  </si>
  <si>
    <t>Thracia villeciuscula</t>
  </si>
  <si>
    <t>Spirifer speciosus</t>
  </si>
  <si>
    <t>Cyathophyllum helianthoïdes</t>
  </si>
  <si>
    <t>Cyctoceras fraternum</t>
  </si>
  <si>
    <t>Orthoceras truncatum</t>
  </si>
  <si>
    <t>Pleurohynchus armatus</t>
  </si>
  <si>
    <t>Leptaena stephani</t>
  </si>
  <si>
    <t>Molares de caballo</t>
  </si>
  <si>
    <t>Linnaea ovata</t>
  </si>
  <si>
    <t>Dendrophyllia cariosa</t>
  </si>
  <si>
    <t xml:space="preserve">Pleurotomaria conoidea </t>
  </si>
  <si>
    <t xml:space="preserve">Cerithium fusiforme </t>
  </si>
  <si>
    <t xml:space="preserve">Pyrula linei  </t>
  </si>
  <si>
    <t>Spirifer lineatus</t>
  </si>
  <si>
    <t>Posidonomya beckeri</t>
  </si>
  <si>
    <t>Madrepora solanderi</t>
  </si>
  <si>
    <t>Terebra fuscata</t>
  </si>
  <si>
    <t>Pocillopora acuta</t>
  </si>
  <si>
    <t>Otis tetrax</t>
  </si>
  <si>
    <t>Leptinita</t>
  </si>
  <si>
    <t>Esteatita</t>
  </si>
  <si>
    <t>Pupa uva</t>
  </si>
  <si>
    <t>Conus gladiator</t>
  </si>
  <si>
    <t>Bulla estriata</t>
  </si>
  <si>
    <t xml:space="preserve">Orthoceras bohemicum </t>
  </si>
  <si>
    <t>Crioceras actidrianus</t>
  </si>
  <si>
    <t>Pez sierra</t>
  </si>
  <si>
    <t xml:space="preserve">Conus mercati    </t>
  </si>
  <si>
    <t>Pileopsis dilatatus</t>
  </si>
  <si>
    <t xml:space="preserve">Pyrula clava </t>
  </si>
  <si>
    <t>Exp. 1.2</t>
  </si>
  <si>
    <t>Siderita con oligisto especular</t>
  </si>
  <si>
    <t xml:space="preserve">Terebratula hoczuesi </t>
  </si>
  <si>
    <t xml:space="preserve">Pecten maximus </t>
  </si>
  <si>
    <t>Ammonites mamillaris</t>
  </si>
  <si>
    <t>Ammonites lallierianus</t>
  </si>
  <si>
    <t>Ammonites linguiferus</t>
  </si>
  <si>
    <t>Ammonites torulosus</t>
  </si>
  <si>
    <t xml:space="preserve">Planorbis corneus  </t>
  </si>
  <si>
    <t xml:space="preserve">Eupsammia trochiformis </t>
  </si>
  <si>
    <t xml:space="preserve">Terebratula prisca     </t>
  </si>
  <si>
    <t xml:space="preserve">Terebratula linguata   </t>
  </si>
  <si>
    <t>Exp. 6.1</t>
  </si>
  <si>
    <t>Exp. 7.1</t>
  </si>
  <si>
    <t>Exp. 16.1</t>
  </si>
  <si>
    <t>Crepidula dilatata</t>
  </si>
  <si>
    <t>Helix punctata</t>
  </si>
  <si>
    <t>Helix marmorata</t>
  </si>
  <si>
    <t>Hinnites irregularis</t>
  </si>
  <si>
    <t>Terebratula sella</t>
  </si>
  <si>
    <t xml:space="preserve">Nucleolites minimus   </t>
  </si>
  <si>
    <t>Anfibios</t>
  </si>
  <si>
    <t xml:space="preserve">Holaster subglobosus   </t>
  </si>
  <si>
    <t>Turbo sub-duplicatus</t>
  </si>
  <si>
    <t>Cuprita y calcopirita</t>
  </si>
  <si>
    <t>Magnetita</t>
  </si>
  <si>
    <t>Puzzolana</t>
  </si>
  <si>
    <t>Tephrina pavimentosa</t>
  </si>
  <si>
    <t xml:space="preserve">Trochus thonetensis   </t>
  </si>
  <si>
    <t>Exogyra couloni</t>
  </si>
  <si>
    <t>Pinna granulata</t>
  </si>
  <si>
    <t>Cardium coralinum</t>
  </si>
  <si>
    <t>Myophoria pes auseris</t>
  </si>
  <si>
    <t>Xantho planus</t>
  </si>
  <si>
    <t>Eupagurus bernhardus</t>
  </si>
  <si>
    <t>Gryphaea arcuata</t>
  </si>
  <si>
    <t>Gelasimus longimanus</t>
  </si>
  <si>
    <t>Galatea squamosa</t>
  </si>
  <si>
    <t>Sección de Helix sp.</t>
  </si>
  <si>
    <t>Sección de Trunchulariopsis trunchulus</t>
  </si>
  <si>
    <t>Oropimente lamelar</t>
  </si>
  <si>
    <t>Arenisca con Pectem y Myophoria</t>
  </si>
  <si>
    <t xml:space="preserve">Ostraea larva        </t>
  </si>
  <si>
    <t xml:space="preserve">Ostraea auricularis  </t>
  </si>
  <si>
    <t>Arca noae</t>
  </si>
  <si>
    <t>Cynthia microcosmus</t>
  </si>
  <si>
    <t>Amalthea conica</t>
  </si>
  <si>
    <t>Planorbis tenagophilus</t>
  </si>
  <si>
    <t>Cyclotus perezi</t>
  </si>
  <si>
    <t xml:space="preserve">Arca harpax    </t>
  </si>
  <si>
    <t xml:space="preserve">Terebratula vulgaris     </t>
  </si>
  <si>
    <t>Nematodo</t>
  </si>
  <si>
    <t>Calappa granulata</t>
  </si>
  <si>
    <t>Malleus malleus</t>
  </si>
  <si>
    <t>Solen marginatus</t>
  </si>
  <si>
    <t>Caliza lacustre fitífera</t>
  </si>
  <si>
    <t>Trigonia crenulata</t>
  </si>
  <si>
    <t>Cucullaea glabra</t>
  </si>
  <si>
    <t>Arca mailleana</t>
  </si>
  <si>
    <t>Plicatula inflata</t>
  </si>
  <si>
    <t xml:space="preserve">Cardita partoichi  </t>
  </si>
  <si>
    <t xml:space="preserve">Cardita affinis  </t>
  </si>
  <si>
    <t>Melania inquinata</t>
  </si>
  <si>
    <t xml:space="preserve">Chama ponderosa  </t>
  </si>
  <si>
    <t>Echinus spp.</t>
  </si>
  <si>
    <t>Pyrene ocelata</t>
  </si>
  <si>
    <t xml:space="preserve">Pecten janus    </t>
  </si>
  <si>
    <t xml:space="preserve">Neithea atava      </t>
  </si>
  <si>
    <t>Columbella mercatoria</t>
  </si>
  <si>
    <t>Aporrhais serresianus</t>
  </si>
  <si>
    <t>Tellina radiata</t>
  </si>
  <si>
    <t>Ostrea plicatuloides</t>
  </si>
  <si>
    <t>Micraster brevis</t>
  </si>
  <si>
    <t>Goniatites crenistria</t>
  </si>
  <si>
    <t>Pentamerus galeatus</t>
  </si>
  <si>
    <t xml:space="preserve">Fusus rostratus </t>
  </si>
  <si>
    <t>Fusus burdigalensis</t>
  </si>
  <si>
    <t>Pleurotoma borsoni</t>
  </si>
  <si>
    <t>Petricola ruperella</t>
  </si>
  <si>
    <t xml:space="preserve">Cardita imbricata </t>
  </si>
  <si>
    <t>Pecopteris plumosa</t>
  </si>
  <si>
    <t>Cerithium thiarella</t>
  </si>
  <si>
    <t>Echinanthus cuvieri</t>
  </si>
  <si>
    <t xml:space="preserve">Cerithium doliolum  </t>
  </si>
  <si>
    <t>Cilindra fenestrata</t>
  </si>
  <si>
    <t>Rissoa constellata</t>
  </si>
  <si>
    <t>Psammobia tellinoides</t>
  </si>
  <si>
    <t>Terebratula linguata???</t>
  </si>
  <si>
    <t>Baculites fanjasii</t>
  </si>
  <si>
    <t>Natica ponderosa</t>
  </si>
  <si>
    <t xml:space="preserve">Voluta labrella  </t>
  </si>
  <si>
    <t xml:space="preserve">Cerithium bronni   </t>
  </si>
  <si>
    <t>Molares de Buey</t>
  </si>
  <si>
    <t>Imbricaria marmorata</t>
  </si>
  <si>
    <t>Harpa articularis</t>
  </si>
  <si>
    <t>Ancilla teresa</t>
  </si>
  <si>
    <t>Oliva inflata</t>
  </si>
  <si>
    <t>Oliva minacea</t>
  </si>
  <si>
    <t>Littorina littorea</t>
  </si>
  <si>
    <t>Balamus tintinabulum</t>
  </si>
  <si>
    <t>Diorita granitoidea</t>
  </si>
  <si>
    <t>Patella magallanica</t>
  </si>
  <si>
    <t>Moscovita, cuarzo y ortosa en pegmatita</t>
  </si>
  <si>
    <t>Eurita porfiroidea granítica</t>
  </si>
  <si>
    <t>Eurita muy micácea</t>
  </si>
  <si>
    <t>Eurita</t>
  </si>
  <si>
    <t>Moluscos</t>
  </si>
  <si>
    <t>Pyrrhula enucleator</t>
  </si>
  <si>
    <t>Pholas dactylus</t>
  </si>
  <si>
    <t>Granodiorita</t>
  </si>
  <si>
    <t>Biotita</t>
  </si>
  <si>
    <t>Lepidolita</t>
  </si>
  <si>
    <t>Dendrophilla ramea</t>
  </si>
  <si>
    <t>Exp. 1.1</t>
  </si>
  <si>
    <t>Siderita</t>
  </si>
  <si>
    <t>Rocas ígneas</t>
  </si>
  <si>
    <t>Fissurella limbata</t>
  </si>
  <si>
    <t xml:space="preserve">Saxicava rugosa     </t>
  </si>
  <si>
    <t>Cyrtia trapezoïdalis</t>
  </si>
  <si>
    <t>Unio pictorum</t>
  </si>
  <si>
    <t>Modiola barbata</t>
  </si>
  <si>
    <t>Aplustrum aplustre</t>
  </si>
  <si>
    <t>Exp. 17.1</t>
  </si>
  <si>
    <t>Pentacrinus basaltiformis</t>
  </si>
  <si>
    <t>Lima semisulcata</t>
  </si>
  <si>
    <t>Spatha rubens</t>
  </si>
  <si>
    <t>Anodonta fluviatilis</t>
  </si>
  <si>
    <t>Helix aspersa</t>
  </si>
  <si>
    <t>Helix alonensis</t>
  </si>
  <si>
    <t>Minerales</t>
  </si>
  <si>
    <t>Mamíferos</t>
  </si>
  <si>
    <t>PECES</t>
  </si>
  <si>
    <t>Exp. 6p</t>
  </si>
  <si>
    <t xml:space="preserve">Delphinula globata        </t>
  </si>
  <si>
    <t xml:space="preserve">Cerithium buccinoides   </t>
  </si>
  <si>
    <t xml:space="preserve">Natica hemisphaerica  </t>
  </si>
  <si>
    <t>Nautilus elegans</t>
  </si>
  <si>
    <t xml:space="preserve">Milleriorinus horridus  </t>
  </si>
  <si>
    <t>Mytilus cuneiformis</t>
  </si>
  <si>
    <t>Acanthocardia erinacea</t>
  </si>
  <si>
    <t>Acanthocardia aculeata</t>
  </si>
  <si>
    <t>Peces</t>
  </si>
  <si>
    <t>Diceras minor</t>
  </si>
  <si>
    <t>Pholadomya multicostata</t>
  </si>
  <si>
    <t>Phallusia mammillata</t>
  </si>
  <si>
    <t>AVES</t>
  </si>
  <si>
    <t>Cnidarios</t>
  </si>
  <si>
    <t>Alcaraván</t>
  </si>
  <si>
    <t xml:space="preserve">Nautilus triangularis  </t>
  </si>
  <si>
    <t xml:space="preserve">Ostraea flabellata   </t>
  </si>
  <si>
    <t xml:space="preserve">Chemnintzia heddingtonensis </t>
  </si>
  <si>
    <t>Tiara amarula</t>
  </si>
  <si>
    <t>Exogyra conica</t>
  </si>
  <si>
    <t>Cobalto oxidado negro</t>
  </si>
  <si>
    <t>Dolomía subcompacta blanquecina</t>
  </si>
  <si>
    <t>Sección de Luria lurida</t>
  </si>
  <si>
    <t>Azufre nativo negro</t>
  </si>
  <si>
    <t>Bismuto nativo</t>
  </si>
  <si>
    <t>Caliza pudíngica</t>
  </si>
  <si>
    <t>Dolomía cretosa</t>
  </si>
  <si>
    <t>Sección de Aporrhais pes-pelecani</t>
  </si>
  <si>
    <t>Venus lamellaris</t>
  </si>
  <si>
    <t>Ostraea edulis</t>
  </si>
  <si>
    <t>Arenisca verde calcárea con orbitolinas</t>
  </si>
  <si>
    <t>Avoceta</t>
  </si>
  <si>
    <t>Semicassis saburon</t>
  </si>
  <si>
    <t xml:space="preserve">Succinea anfibia ? </t>
  </si>
  <si>
    <t>Carpilius coralinus</t>
  </si>
  <si>
    <t>Neritina cumingiana</t>
  </si>
  <si>
    <t>Opérculo de Naticarius ebraeus</t>
  </si>
  <si>
    <t>Martinete</t>
  </si>
  <si>
    <t>Aves</t>
  </si>
  <si>
    <t>Campolotus antiquus</t>
  </si>
  <si>
    <t>Venus broodhir</t>
  </si>
  <si>
    <t>Venus spp.</t>
  </si>
  <si>
    <t>Venus vetula</t>
  </si>
  <si>
    <t>Pectunculus dor</t>
  </si>
  <si>
    <t>Venus inflata</t>
  </si>
  <si>
    <t>Glauconoma chinensis</t>
  </si>
  <si>
    <t>Cardita angusticostata</t>
  </si>
  <si>
    <t>Cyrtulus serotimus</t>
  </si>
  <si>
    <t xml:space="preserve">Cardita planicosta  </t>
  </si>
  <si>
    <t>Vermetus lumbricalis</t>
  </si>
  <si>
    <t>Sanguinolaria rosea</t>
  </si>
  <si>
    <t>Bandurria</t>
  </si>
  <si>
    <t>Cucullaea incertus</t>
  </si>
  <si>
    <t>Ostrea archiaci</t>
  </si>
  <si>
    <t>Xenophora mediterránea</t>
  </si>
  <si>
    <t xml:space="preserve">Columbella sp. </t>
  </si>
  <si>
    <t>Brecha poligénica</t>
  </si>
  <si>
    <t>Marginella glabela</t>
  </si>
  <si>
    <t>Aporrhais pes-pelecani</t>
  </si>
  <si>
    <t>Agalina cellaria</t>
  </si>
  <si>
    <t>Pharella javanica</t>
  </si>
  <si>
    <t>Arenisca abigarrada fitífera</t>
  </si>
  <si>
    <t>Travertino</t>
  </si>
  <si>
    <t>Pleurotoma obeliscus</t>
  </si>
  <si>
    <t>Trochus podolicus</t>
  </si>
  <si>
    <t>Chama lazarus</t>
  </si>
  <si>
    <t>Triphoris perversum</t>
  </si>
  <si>
    <t>Colimbo chico</t>
  </si>
  <si>
    <t>Solen caribensis</t>
  </si>
  <si>
    <t>Vertagus vulgaris</t>
  </si>
  <si>
    <t>Aspergillum vaginiferum</t>
  </si>
  <si>
    <t xml:space="preserve">Chemnintzia semidecusata </t>
  </si>
  <si>
    <t>Cyathoseris infundibuliformis</t>
  </si>
  <si>
    <t>Molasa siciliana verdosa conchífera</t>
  </si>
  <si>
    <t xml:space="preserve">Cerithium bidentatum  </t>
  </si>
  <si>
    <t>Pseudostrombus politus</t>
  </si>
  <si>
    <t>Littorina columelaris</t>
  </si>
  <si>
    <t xml:space="preserve">Natica crassatina </t>
  </si>
  <si>
    <t xml:space="preserve">Cypraea splendus </t>
  </si>
  <si>
    <t>Trivia coccinea</t>
  </si>
  <si>
    <t xml:space="preserve">Natica mutabilis </t>
  </si>
  <si>
    <t xml:space="preserve">Fusus ficulneus  </t>
  </si>
  <si>
    <t xml:space="preserve">Cypraea annulus </t>
  </si>
  <si>
    <t xml:space="preserve">Cypraea fabagina  </t>
  </si>
  <si>
    <t>Fluorita</t>
  </si>
  <si>
    <t>Vanellus vanellus</t>
  </si>
  <si>
    <t>Diorita</t>
  </si>
  <si>
    <t xml:space="preserve">Cerithium bonei </t>
  </si>
  <si>
    <t>Teredo norvegicus</t>
  </si>
  <si>
    <t>Heteraster</t>
  </si>
  <si>
    <t>Neolisoceras sp.</t>
  </si>
  <si>
    <t>Aspidoceras sp.</t>
  </si>
  <si>
    <t>Moscovita</t>
  </si>
  <si>
    <t>Actinota cristalizada en talco</t>
  </si>
  <si>
    <t>Perezoso tridáctilo</t>
  </si>
  <si>
    <t>Peridotita</t>
  </si>
  <si>
    <t xml:space="preserve">Cerithium nuduus </t>
  </si>
  <si>
    <t>Balistes capriscus</t>
  </si>
  <si>
    <t>Calcarenita con restos homínidos</t>
  </si>
  <si>
    <t>Discinia lamellosa</t>
  </si>
  <si>
    <t>Falsa ágata</t>
  </si>
  <si>
    <t>Azurita y malaquita con algo de cinabrio</t>
  </si>
  <si>
    <t>Azurita y malaquita</t>
  </si>
  <si>
    <t>Fisurella viridis</t>
  </si>
  <si>
    <t>Aplita</t>
  </si>
  <si>
    <t>Leptinita gráfica maculada</t>
  </si>
  <si>
    <t>Paludina impura</t>
  </si>
  <si>
    <t>Mytilus edulis</t>
  </si>
  <si>
    <t xml:space="preserve">Sphaerulites alatus  </t>
  </si>
  <si>
    <t>Plicatula plicata</t>
  </si>
  <si>
    <t>Ostraea cristata</t>
  </si>
  <si>
    <t>Babuino oso</t>
  </si>
  <si>
    <t>Exp. 4p</t>
  </si>
  <si>
    <t>Exp. 5p</t>
  </si>
  <si>
    <t xml:space="preserve">Holaster carinatus   </t>
  </si>
  <si>
    <t>Pedum spondyloideum</t>
  </si>
  <si>
    <t>Anomia elyros</t>
  </si>
  <si>
    <t>Fissurellidea hiantula</t>
  </si>
  <si>
    <t>Vitrina pellucida</t>
  </si>
  <si>
    <t>Reptiles</t>
  </si>
  <si>
    <t>Mytilus ovalis</t>
  </si>
  <si>
    <t>Mytilus afer</t>
  </si>
  <si>
    <t>Cinocephalus porcarius</t>
  </si>
  <si>
    <t>Colymbus glacialis</t>
  </si>
  <si>
    <t>Helix trenquelleonis</t>
  </si>
  <si>
    <t>Unio litoralis</t>
  </si>
  <si>
    <t>Venus verrucosa</t>
  </si>
  <si>
    <t>Glens glens</t>
  </si>
  <si>
    <t>Helix heligmoidea</t>
  </si>
  <si>
    <t>Hippopus equinus</t>
  </si>
  <si>
    <t>Byssanodonta ( Unio ) panamensis</t>
  </si>
  <si>
    <t>MOLUSCOS</t>
  </si>
  <si>
    <t>ANÉLIDOS</t>
  </si>
  <si>
    <t>Equinodermos</t>
  </si>
  <si>
    <t>Artrópodos</t>
  </si>
  <si>
    <t>Caliza con Hippurites</t>
  </si>
  <si>
    <t>Acavus nemoralis</t>
  </si>
  <si>
    <t>Piedra pómez</t>
  </si>
  <si>
    <t>Bullimus versicolor</t>
  </si>
  <si>
    <t>Acanthocardia deshayesi</t>
  </si>
  <si>
    <t>Fisurella virescens</t>
  </si>
  <si>
    <t>Castalia ambigua</t>
  </si>
  <si>
    <t>Serpentina con granates cromíferos</t>
  </si>
  <si>
    <t>Helix rentsii</t>
  </si>
  <si>
    <t>Helix juno</t>
  </si>
  <si>
    <t>Helix similaris</t>
  </si>
  <si>
    <t>Radula lima</t>
  </si>
  <si>
    <t>EQUINODERMOS</t>
  </si>
  <si>
    <t>BRIOZOOS</t>
  </si>
  <si>
    <t>Caliza con Cerithium</t>
  </si>
  <si>
    <t>Toro de lidia</t>
  </si>
  <si>
    <t>Scrobicularia plana</t>
  </si>
  <si>
    <t>Mactra coralina</t>
  </si>
  <si>
    <t>Poríferos</t>
  </si>
  <si>
    <t>Unicardium cardioïdes</t>
  </si>
  <si>
    <t>PLATELMINTOS</t>
  </si>
  <si>
    <t>NEMATODOS</t>
  </si>
  <si>
    <t>Semicassis undulata</t>
  </si>
  <si>
    <t>Nephrops norvegicus</t>
  </si>
  <si>
    <t>Xanto sandichandii</t>
  </si>
  <si>
    <t>Modelos cristalográficos</t>
  </si>
  <si>
    <t>Caliza con Ostraea arquata</t>
  </si>
  <si>
    <t>Creta compacta con alveolinas</t>
  </si>
  <si>
    <t>Sección de Thais hemastoma</t>
  </si>
  <si>
    <t>Dosinia exoleta</t>
  </si>
  <si>
    <t>Caliza compacta con Córbulas</t>
  </si>
  <si>
    <t>Caliza nodulosa</t>
  </si>
  <si>
    <t>Palemon jamaicensis</t>
  </si>
  <si>
    <t xml:space="preserve">Buccinum gemmatum ? </t>
  </si>
  <si>
    <t>Avefría</t>
  </si>
  <si>
    <t>Tridacna gigas</t>
  </si>
  <si>
    <t>Galeus melanostomum</t>
  </si>
  <si>
    <t>Sycotypus ficus</t>
  </si>
  <si>
    <t>Purpura xanthostoma</t>
  </si>
  <si>
    <t>Purpura kiosquiformis</t>
  </si>
  <si>
    <t>Purpura haemastoma</t>
  </si>
  <si>
    <t>Purpura deltoidea</t>
  </si>
  <si>
    <t>Pudinga cuarzosa</t>
  </si>
  <si>
    <t>Natica tigrina</t>
  </si>
  <si>
    <t>Cerithium mesegnuoïdes</t>
  </si>
  <si>
    <t>Venus umbonaria</t>
  </si>
  <si>
    <t>Sección de Semicassis undulata</t>
  </si>
  <si>
    <t>Cymatium corrugatum</t>
  </si>
  <si>
    <t xml:space="preserve">Psammobia rudis </t>
  </si>
  <si>
    <t>Corbula nimbosa</t>
  </si>
  <si>
    <t>Mya arenaria</t>
  </si>
  <si>
    <t>Chimera monstrosa</t>
  </si>
  <si>
    <t>Dorys tuberculata</t>
  </si>
  <si>
    <t>Hermione hystricella</t>
  </si>
  <si>
    <t>Focha común</t>
  </si>
  <si>
    <t>Frailecillo</t>
  </si>
  <si>
    <t>Zampullín chico</t>
  </si>
  <si>
    <t>Schilderia achatidea</t>
  </si>
  <si>
    <t>Calamón común</t>
  </si>
  <si>
    <t>Conger nigrus</t>
  </si>
  <si>
    <t>Crenilabrus gibbus</t>
  </si>
  <si>
    <t>Trunchulariopsis trunchulus</t>
  </si>
  <si>
    <t>Fasciolaria linaria</t>
  </si>
  <si>
    <t>Fusinus pulchellus</t>
  </si>
  <si>
    <t>Phas textum</t>
  </si>
  <si>
    <t>Tellina virgata</t>
  </si>
  <si>
    <t>Tellina scobinata</t>
  </si>
  <si>
    <t>Donax anatinum</t>
  </si>
  <si>
    <t>Cymatium cutaceum</t>
  </si>
  <si>
    <t>Molasa granuda gris</t>
  </si>
  <si>
    <t>Trochocochea constricta</t>
  </si>
  <si>
    <t>Lucina columbella</t>
  </si>
  <si>
    <t>Urosalpix fusus</t>
  </si>
  <si>
    <t>Buccinulum corneum</t>
  </si>
  <si>
    <t>Purpura melo</t>
  </si>
  <si>
    <t>Monoceros brevidentatum</t>
  </si>
  <si>
    <t>Monoceros crassilabrum</t>
  </si>
  <si>
    <t>Recusvirrostra avosetta</t>
  </si>
  <si>
    <t>Ciconia ciconia</t>
  </si>
  <si>
    <t>Gallinago gallinago</t>
  </si>
  <si>
    <t>Salamandra</t>
  </si>
  <si>
    <t>Gallipato</t>
  </si>
  <si>
    <t>Smithsonita</t>
  </si>
  <si>
    <t>Pórfido</t>
  </si>
  <si>
    <t xml:space="preserve">Pyrula rusticula </t>
  </si>
  <si>
    <t xml:space="preserve">Sepia blainvillei  </t>
  </si>
  <si>
    <t>Terebratula princeps</t>
  </si>
  <si>
    <t>Nerinea gosae</t>
  </si>
  <si>
    <t>Ciervo</t>
  </si>
  <si>
    <t>Modiola guyanensis</t>
  </si>
  <si>
    <t xml:space="preserve">Neritina conoidea  </t>
  </si>
  <si>
    <t xml:space="preserve">Trochocyathus finnatus  </t>
  </si>
  <si>
    <t>Espilita carbonatada con zeolita</t>
  </si>
  <si>
    <t>Lavas cordadas</t>
  </si>
  <si>
    <t>Gohetita</t>
  </si>
  <si>
    <t>Limonita estalactítica</t>
  </si>
  <si>
    <t>Pisidium amnicum</t>
  </si>
  <si>
    <t>Quebrantahuesos</t>
  </si>
  <si>
    <t>Arca tuberculosa</t>
  </si>
  <si>
    <t xml:space="preserve">Terebratula hastata </t>
  </si>
  <si>
    <t xml:space="preserve">Spirifer bisulcatus  </t>
  </si>
  <si>
    <t>Exp. 3.1</t>
  </si>
  <si>
    <t xml:space="preserve">Ostrea bellovacina  </t>
  </si>
  <si>
    <t>Ardea cinerea</t>
  </si>
  <si>
    <t>Bullimus foveolatus</t>
  </si>
  <si>
    <t>Bullimus rosaceus</t>
  </si>
  <si>
    <t>Bullimus albicans</t>
  </si>
  <si>
    <t>Bullimus chilensis</t>
  </si>
  <si>
    <t xml:space="preserve">Cerithium galeottii            </t>
  </si>
  <si>
    <t>Obsidiana</t>
  </si>
  <si>
    <t>Traquita</t>
  </si>
  <si>
    <t>Dacita</t>
  </si>
  <si>
    <t>Andesita</t>
  </si>
  <si>
    <t>Granada</t>
  </si>
  <si>
    <t>Apofilita</t>
  </si>
  <si>
    <t>Estilbita</t>
  </si>
  <si>
    <t>Oligisto en romboedros modificados</t>
  </si>
  <si>
    <t>Acanthocardia tuberculata</t>
  </si>
  <si>
    <t>Pachygrapsus marmoratus</t>
  </si>
  <si>
    <t>Cardisonia guanhumi</t>
  </si>
  <si>
    <t xml:space="preserve">Pisa sp. </t>
  </si>
  <si>
    <t>Glycymeris pilosa</t>
  </si>
  <si>
    <t>Exp. 7p</t>
  </si>
  <si>
    <t>Exp. 8p</t>
  </si>
  <si>
    <t>Exp. 9p</t>
  </si>
  <si>
    <t>Haminea hydatis</t>
  </si>
  <si>
    <t>Haliotys tuberculata</t>
  </si>
  <si>
    <t>Geodas de amatista con romboedros de calcita</t>
  </si>
  <si>
    <t>Luis Alberto Durán</t>
  </si>
  <si>
    <t>Níquel arsenicado</t>
  </si>
  <si>
    <t>Calcopirita y cuprita</t>
  </si>
  <si>
    <t>Caliza incrustante con Paludina impura</t>
  </si>
  <si>
    <t>París</t>
  </si>
  <si>
    <t>Sección de Ocenebra erinacea</t>
  </si>
  <si>
    <t>Sección de Buccinulum corneum</t>
  </si>
  <si>
    <t>Ciudad Real</t>
  </si>
  <si>
    <t>Littorina obesa</t>
  </si>
  <si>
    <t xml:space="preserve">Plicatula pedum     </t>
  </si>
  <si>
    <t>Dolabella rumphii</t>
  </si>
  <si>
    <t>Canastera</t>
  </si>
  <si>
    <t>Eledone moschata</t>
  </si>
  <si>
    <t>Mactra solida</t>
  </si>
  <si>
    <t>Cochlodesma proetenue</t>
  </si>
  <si>
    <t>Siliqua gibaza</t>
  </si>
  <si>
    <t>Mya truncata</t>
  </si>
  <si>
    <t>Pseudosimnia carnea</t>
  </si>
  <si>
    <t>Murex brandaris</t>
  </si>
  <si>
    <t>Ocenebra erinacea</t>
  </si>
  <si>
    <t>Luria lurida</t>
  </si>
  <si>
    <t>Lutraria solenoides</t>
  </si>
  <si>
    <t>Micacita común ondulada</t>
  </si>
  <si>
    <t>Filita</t>
  </si>
  <si>
    <t>Trochus buschii</t>
  </si>
  <si>
    <t>Dolomía subsacaroidea rosada</t>
  </si>
  <si>
    <t>Pinna nobilis</t>
  </si>
  <si>
    <t>Polluela chica</t>
  </si>
  <si>
    <t>Polluela pintoja</t>
  </si>
  <si>
    <t>Agachadiza chica</t>
  </si>
  <si>
    <t>Zarapito real</t>
  </si>
  <si>
    <t>Avestruz</t>
  </si>
  <si>
    <t>Lima lima</t>
  </si>
  <si>
    <t>Polla de agua</t>
  </si>
  <si>
    <t>Grauvaca pizarrosa violeta</t>
  </si>
  <si>
    <t>Arenisca roja silicosa</t>
  </si>
  <si>
    <t>Neritina viridis</t>
  </si>
  <si>
    <t>Neritina auriculata</t>
  </si>
  <si>
    <t>Tectus conus</t>
  </si>
  <si>
    <t>Espátula</t>
  </si>
  <si>
    <t>Morito</t>
  </si>
  <si>
    <t>Catinus concavus</t>
  </si>
  <si>
    <t>Jantina violacea</t>
  </si>
  <si>
    <t>Lucina pensilvanica</t>
  </si>
  <si>
    <t>Lucina  jamaicensis</t>
  </si>
  <si>
    <t>Donax ringens</t>
  </si>
  <si>
    <t>Donax denticulatus</t>
  </si>
  <si>
    <t>Buccinum insigne</t>
  </si>
  <si>
    <t>Donax cayenensis</t>
  </si>
  <si>
    <t>Xiphias gladius</t>
  </si>
  <si>
    <t>Umbonium moniliferum</t>
  </si>
  <si>
    <t>Voluta guinaica</t>
  </si>
  <si>
    <t>Cancellaria cancellata</t>
  </si>
  <si>
    <t>Melo aethiopica</t>
  </si>
  <si>
    <t>Nassa laveis</t>
  </si>
  <si>
    <t>Harpa minor</t>
  </si>
  <si>
    <t>Numenius pheopus</t>
  </si>
  <si>
    <t>Nassa gayi</t>
  </si>
  <si>
    <t>Conchopatella peruviana</t>
  </si>
  <si>
    <t>Buccinum reticulatum</t>
  </si>
  <si>
    <t xml:space="preserve">Cerithium conoidale </t>
  </si>
  <si>
    <t>Pizarra arcillosa común</t>
  </si>
  <si>
    <t>Meláfido granudo</t>
  </si>
  <si>
    <t xml:space="preserve">Mitra sp. </t>
  </si>
  <si>
    <t>Cobre nativo</t>
  </si>
  <si>
    <t>Pizarra talcosa estriada</t>
  </si>
  <si>
    <t>Turritella sp.</t>
  </si>
  <si>
    <t>Sienita</t>
  </si>
  <si>
    <t>Leptolepis knorrii</t>
  </si>
  <si>
    <t>Vertebra de Oxirhina</t>
  </si>
  <si>
    <t>Hemipedina miliaris</t>
  </si>
  <si>
    <t>Ursus arctos</t>
  </si>
  <si>
    <t>Fisurella birradiata</t>
  </si>
  <si>
    <t>Granito porfiroideo sienítico</t>
  </si>
  <si>
    <t>Tonalita</t>
  </si>
  <si>
    <t xml:space="preserve">Ostrea lamellosa   </t>
  </si>
  <si>
    <t>Cocodrilo africano</t>
  </si>
  <si>
    <t>Iguana verde</t>
  </si>
  <si>
    <t>Patella vulgata</t>
  </si>
  <si>
    <t>Gabro</t>
  </si>
  <si>
    <t>Gypaetus barbatus</t>
  </si>
  <si>
    <t>Bullimus montevidensis</t>
  </si>
  <si>
    <t>Bullimus iostomus</t>
  </si>
  <si>
    <t>Ceratites humboltedensis</t>
  </si>
  <si>
    <t>Epipeltoceras treptense</t>
  </si>
  <si>
    <t>Béticas</t>
  </si>
  <si>
    <t>Culebra lisa</t>
  </si>
  <si>
    <t>Culebra de escalera</t>
  </si>
  <si>
    <t>Galápago</t>
  </si>
  <si>
    <t>Hemicardium inversum</t>
  </si>
  <si>
    <t>Pegmatita con turmalina</t>
  </si>
  <si>
    <t>Pegmatita</t>
  </si>
  <si>
    <t>Albita</t>
  </si>
  <si>
    <t>Apofilita con estilbita</t>
  </si>
  <si>
    <t>Trochatella constellata</t>
  </si>
  <si>
    <t>Lucinella divaricata</t>
  </si>
  <si>
    <t>Siphonaria venosa</t>
  </si>
  <si>
    <t>Siphonaria pectinata</t>
  </si>
  <si>
    <t>Hipponix barbata</t>
  </si>
  <si>
    <t>Caliza oolítica de las margas yesosas</t>
  </si>
  <si>
    <t>Pectunculus gaditanus</t>
  </si>
  <si>
    <t>Psammobia depressa</t>
  </si>
  <si>
    <t>Glycymeris gigantean</t>
  </si>
  <si>
    <t>Laevicardium obloncylum</t>
  </si>
  <si>
    <t>Soralopsis pellis-serpentis</t>
  </si>
  <si>
    <t>Bugula flabellata</t>
  </si>
  <si>
    <t>Briozoos</t>
  </si>
  <si>
    <t>Carcinus maenas</t>
  </si>
  <si>
    <t>Melania hastula</t>
  </si>
  <si>
    <t>Vibex aurita</t>
  </si>
  <si>
    <t>Corallium sp.</t>
  </si>
  <si>
    <t>Caliza lacustre rosada manganesífera silicosa</t>
  </si>
  <si>
    <t>Arenisca cuarcífera fina</t>
  </si>
  <si>
    <t>Caliza liásica con terebrátulas</t>
  </si>
  <si>
    <t>Bracheux, Oise</t>
  </si>
  <si>
    <t>Castellane, B. Alpes</t>
  </si>
  <si>
    <t>Gausac</t>
  </si>
  <si>
    <t>Rathsburg</t>
  </si>
  <si>
    <t>Limón de mar</t>
  </si>
  <si>
    <t xml:space="preserve">Ostraea sp.       </t>
  </si>
  <si>
    <t>Bollene, Vaucluse</t>
  </si>
  <si>
    <t>Lonjumeau</t>
  </si>
  <si>
    <t>Etrechy, Seine et Oise</t>
  </si>
  <si>
    <t xml:space="preserve">Lithognatus mormyrus    </t>
  </si>
  <si>
    <t>Herrera</t>
  </si>
  <si>
    <t>Mediterráneo</t>
  </si>
  <si>
    <t>Jarosita</t>
  </si>
  <si>
    <t>Scomber scombrus</t>
  </si>
  <si>
    <t>Avetorrillo común</t>
  </si>
  <si>
    <t>Cepola macrophtalma</t>
  </si>
  <si>
    <t>Cymatium parthenopaeum</t>
  </si>
  <si>
    <t xml:space="preserve">Arca carinata  </t>
  </si>
  <si>
    <t>Pandora rostrata</t>
  </si>
  <si>
    <t>Garza imperial</t>
  </si>
  <si>
    <t>Dolomía fétida negruzca madrepórica</t>
  </si>
  <si>
    <t xml:space="preserve">Plicatula tubifera    </t>
  </si>
  <si>
    <t xml:space="preserve">Arca eudesii       </t>
  </si>
  <si>
    <t xml:space="preserve">Mytilus asper     </t>
  </si>
  <si>
    <t xml:space="preserve">Trigonia navis    </t>
  </si>
  <si>
    <t>Creta cloritada común</t>
  </si>
  <si>
    <t>Creta blanca</t>
  </si>
  <si>
    <t>Margaritiana margaritifera</t>
  </si>
  <si>
    <t>Pontevedra</t>
  </si>
  <si>
    <t>La Herradura ( Granada )</t>
  </si>
  <si>
    <t>Costas de Portugal</t>
  </si>
  <si>
    <t>Caliza oolítica ferruginosa conchífera</t>
  </si>
  <si>
    <t>Turba común</t>
  </si>
  <si>
    <t>Livonia pica</t>
  </si>
  <si>
    <t>Monodonta turbinata</t>
  </si>
  <si>
    <t>Polinices josephina</t>
  </si>
  <si>
    <t>Natica millepunctata</t>
  </si>
  <si>
    <t>Natiopsis granum</t>
  </si>
  <si>
    <t>Thais hemastoma</t>
  </si>
  <si>
    <t>Neritella pulligera</t>
  </si>
  <si>
    <t>Janthina janthina</t>
  </si>
  <si>
    <t>Eburna luctosa</t>
  </si>
  <si>
    <t>Venus columbiensis</t>
  </si>
  <si>
    <t>Trigonella lessoni</t>
  </si>
  <si>
    <t>Anfibolita común micácea</t>
  </si>
  <si>
    <t>Hornblenda</t>
  </si>
  <si>
    <t>Asbesto</t>
  </si>
  <si>
    <t>Sphaeronassa mutabilis</t>
  </si>
  <si>
    <t>Magnesita con sepiolita</t>
  </si>
  <si>
    <t xml:space="preserve">Fusus minax </t>
  </si>
  <si>
    <t>Oceano Índico</t>
  </si>
  <si>
    <t>Carlos Benavente</t>
  </si>
  <si>
    <t>Chile</t>
  </si>
  <si>
    <t>Eurita porfiroidea cuarcífera</t>
  </si>
  <si>
    <t>Rana bermeja</t>
  </si>
  <si>
    <t>Diorita apizarrada</t>
  </si>
  <si>
    <t>Ofita</t>
  </si>
  <si>
    <t>Venus macrodon</t>
  </si>
  <si>
    <t>Dentalium vulgare</t>
  </si>
  <si>
    <t>Tronco gimnosperma</t>
  </si>
  <si>
    <t>Calcoesquisto amigdalar</t>
  </si>
  <si>
    <t xml:space="preserve">Conularia anomala </t>
  </si>
  <si>
    <t xml:space="preserve">Terebratula melonica </t>
  </si>
  <si>
    <t xml:space="preserve">Terebratula herculea      </t>
  </si>
  <si>
    <t>Turbo rugosus</t>
  </si>
  <si>
    <t>Garza real</t>
  </si>
  <si>
    <t>Avutarda</t>
  </si>
  <si>
    <t>Arca gradata</t>
  </si>
  <si>
    <t xml:space="preserve">Cerithium pictum              </t>
  </si>
  <si>
    <t xml:space="preserve">Cerithium plicatum            </t>
  </si>
  <si>
    <t>Leptinita maculada</t>
  </si>
  <si>
    <t>Spirula laevis</t>
  </si>
  <si>
    <t>Pirita en pentagonododecaedros</t>
  </si>
  <si>
    <t>Burgos</t>
  </si>
  <si>
    <t xml:space="preserve">Cabo de Gata </t>
  </si>
  <si>
    <t>Basilisco</t>
  </si>
  <si>
    <t>Hyldoceras semipollitum</t>
  </si>
  <si>
    <t>Antonio Pablo Jiménez</t>
  </si>
  <si>
    <t>Collima gemma</t>
  </si>
  <si>
    <t>Alamedilla</t>
  </si>
  <si>
    <t>Zittelia collignoni</t>
  </si>
  <si>
    <t>Espilita con amigdaloides de calcita, labradorita y augita</t>
  </si>
  <si>
    <t>Espilita carbonatada</t>
  </si>
  <si>
    <t>Noalejo</t>
  </si>
  <si>
    <t>Río Genil, Loja</t>
  </si>
  <si>
    <t>Caliza basta con miliolites</t>
  </si>
  <si>
    <t>Huéscar</t>
  </si>
  <si>
    <t>Plioceno</t>
  </si>
  <si>
    <t>Labradorita</t>
  </si>
  <si>
    <t>Ucrania</t>
  </si>
  <si>
    <t>Caliza lacustre conchífera bituminosa</t>
  </si>
  <si>
    <t>Caliza amarillenta</t>
  </si>
  <si>
    <t>Rappana rapiformis</t>
  </si>
  <si>
    <t>Anomia ephippium</t>
  </si>
  <si>
    <t>Caliza lacustre tubulífera</t>
  </si>
  <si>
    <t>Sevilla</t>
  </si>
  <si>
    <t>Callista chione</t>
  </si>
  <si>
    <t>Venus nux</t>
  </si>
  <si>
    <t>Asfalto en masa</t>
  </si>
  <si>
    <t>Calcopirita con carbonatos de cobre</t>
  </si>
  <si>
    <t>Azurita con cinabrio</t>
  </si>
  <si>
    <t>Pirita</t>
  </si>
  <si>
    <t>Lechuza común</t>
  </si>
  <si>
    <t>Mirlo verde del Senegal</t>
  </si>
  <si>
    <t>Montevil Bellay, Maine et Loire</t>
  </si>
  <si>
    <t>Étrcéchy, Seine et Oise</t>
  </si>
  <si>
    <t>Gaas, Landes</t>
  </si>
  <si>
    <t>Piromorfita</t>
  </si>
  <si>
    <t>Cinabrio</t>
  </si>
  <si>
    <t>Mariano Hdez. Colorado</t>
  </si>
  <si>
    <t>Sarpa salpa</t>
  </si>
  <si>
    <t>Salpa o salema</t>
  </si>
  <si>
    <t>Arenisca calcedónica brechoide</t>
  </si>
  <si>
    <t>Arenisca calcarífera</t>
  </si>
  <si>
    <t>Caliza compacta rosada</t>
  </si>
  <si>
    <t>Arenisca lustrosa compacta zonar</t>
  </si>
  <si>
    <t>Cassidea testiculus</t>
  </si>
  <si>
    <t>Casmaria vibex</t>
  </si>
  <si>
    <t>Arenisca conchífera</t>
  </si>
  <si>
    <t>Mamma mamilla</t>
  </si>
  <si>
    <t>Neverita chemnitzia</t>
  </si>
  <si>
    <t>Ampullaria martinezii</t>
  </si>
  <si>
    <t>Tridacna scuamosa</t>
  </si>
  <si>
    <t>Cee ( A Coruña )</t>
  </si>
  <si>
    <t>Caliza amarillenta con Lima</t>
  </si>
  <si>
    <t>Caliza con crinoides</t>
  </si>
  <si>
    <t xml:space="preserve">Chemnintzia lactea          </t>
  </si>
  <si>
    <t>Lithopoma tuber</t>
  </si>
  <si>
    <t>Amussium sp.</t>
  </si>
  <si>
    <t>Pentacrinus briaeus</t>
  </si>
  <si>
    <t>Turbo saxosus</t>
  </si>
  <si>
    <t>Madagascar</t>
  </si>
  <si>
    <t>Valenzuela López</t>
  </si>
  <si>
    <t>Ptychophylloceras ptychoicum</t>
  </si>
  <si>
    <t>Cerithium multistriatum</t>
  </si>
  <si>
    <t>Gneis con granates</t>
  </si>
  <si>
    <t>Rodonita</t>
  </si>
  <si>
    <t>Galatea radiata</t>
  </si>
  <si>
    <t>Capsa brasiliensis</t>
  </si>
  <si>
    <t>Callista ericina</t>
  </si>
  <si>
    <t>Serpentina noble</t>
  </si>
  <si>
    <t>Norte de Europa</t>
  </si>
  <si>
    <t>Patagonia</t>
  </si>
  <si>
    <t>Mar Rojo</t>
  </si>
  <si>
    <t>Mazatlan</t>
  </si>
  <si>
    <t>Fernanbuco</t>
  </si>
  <si>
    <t>Littorina canariensis</t>
  </si>
  <si>
    <t>Moloch</t>
  </si>
  <si>
    <t>Orthalicus obductus</t>
  </si>
  <si>
    <t>Orthalicus beasoni</t>
  </si>
  <si>
    <t>Zidonia angulata</t>
  </si>
  <si>
    <t>Epitonium commutatum</t>
  </si>
  <si>
    <t>Foca común</t>
  </si>
  <si>
    <t>Gamuza o rebeco</t>
  </si>
  <si>
    <t>Cabo de Buena Esperanza</t>
  </si>
  <si>
    <t>Guatemala</t>
  </si>
  <si>
    <t>Sta. Elena</t>
  </si>
  <si>
    <t>Vexillum coccineum</t>
  </si>
  <si>
    <t>Turris undatiruga</t>
  </si>
  <si>
    <t>Basalto</t>
  </si>
  <si>
    <t>Piromérido</t>
  </si>
  <si>
    <t>Calcoesquisto rojo penachado</t>
  </si>
  <si>
    <t>Pórfido con labradorita y augita</t>
  </si>
  <si>
    <t>Ortosa</t>
  </si>
  <si>
    <t>Nubecula geografica</t>
  </si>
  <si>
    <t>Conus ebraeus</t>
  </si>
  <si>
    <t>Spisula subtruncata</t>
  </si>
  <si>
    <t>Estaurolita</t>
  </si>
  <si>
    <t>Berilo</t>
  </si>
  <si>
    <t xml:space="preserve">Lophius piscatorius       </t>
  </si>
  <si>
    <t xml:space="preserve">Callionymus maculatus       </t>
  </si>
  <si>
    <t>MINERALES</t>
  </si>
  <si>
    <t xml:space="preserve">Macroramphosus scolopax       </t>
  </si>
  <si>
    <t xml:space="preserve">Belone belone       </t>
  </si>
  <si>
    <t xml:space="preserve">Boops boops       </t>
  </si>
  <si>
    <t xml:space="preserve">Aphya minuta       </t>
  </si>
  <si>
    <t xml:space="preserve">Zoarces viviparus       </t>
  </si>
  <si>
    <t>Iguana tuberculata</t>
  </si>
  <si>
    <t xml:space="preserve">Mugil chelo       </t>
  </si>
  <si>
    <t>Baza</t>
  </si>
  <si>
    <t xml:space="preserve">Nummulites planulatus     </t>
  </si>
  <si>
    <t xml:space="preserve">Nummulites ronaulti          </t>
  </si>
  <si>
    <t>Gneis subestratoides</t>
  </si>
  <si>
    <t>Gneis</t>
  </si>
  <si>
    <t>Dactylopterus volitans</t>
  </si>
  <si>
    <t>Sorbas ( Almería )</t>
  </si>
  <si>
    <t>Nassarius coronatus</t>
  </si>
  <si>
    <t>Cerytium vulgatum</t>
  </si>
  <si>
    <t>Bitownita</t>
  </si>
  <si>
    <t>Madrid</t>
  </si>
  <si>
    <t>Cabril</t>
  </si>
  <si>
    <t>Suecia</t>
  </si>
  <si>
    <t>Córcega</t>
  </si>
  <si>
    <t>Tirol</t>
  </si>
  <si>
    <t>Tigre</t>
  </si>
  <si>
    <t>Psammobia foeroensis</t>
  </si>
  <si>
    <t>Azufre nativo</t>
  </si>
  <si>
    <t>Caliza brechoide con Janira atava</t>
  </si>
  <si>
    <t>Silvina</t>
  </si>
  <si>
    <t>Siderita</t>
    <phoneticPr fontId="0" type="noConversion"/>
  </si>
  <si>
    <t>Europa</t>
  </si>
  <si>
    <t>Pizarra filádica con pirita arsenical</t>
  </si>
  <si>
    <t>Grignon, Seine et Oise</t>
  </si>
  <si>
    <t>Conizac, Andes</t>
  </si>
  <si>
    <t>Dax, Landes</t>
  </si>
  <si>
    <t>Cuise la Motte, Oise</t>
  </si>
  <si>
    <t>Opérculo de Astraea rugosa</t>
  </si>
  <si>
    <t>Caliza oolítica</t>
  </si>
  <si>
    <t>Dolomía ferruginosa parda</t>
  </si>
  <si>
    <t>Plata nativa</t>
  </si>
  <si>
    <t>Pinna muricata</t>
  </si>
  <si>
    <t>Placura planceata</t>
  </si>
  <si>
    <t>Caliza con gasterópodos</t>
  </si>
  <si>
    <t>Eurita cuarcífera alterada</t>
  </si>
  <si>
    <t>Aguja colipinta</t>
  </si>
  <si>
    <t>Pato de cola larga</t>
  </si>
  <si>
    <t>Alondra siberiana</t>
  </si>
  <si>
    <t>Blanco y negro</t>
  </si>
  <si>
    <t>India</t>
  </si>
  <si>
    <t>África</t>
  </si>
  <si>
    <t>Micacita rubiginosa</t>
  </si>
  <si>
    <t>Migmatita</t>
  </si>
  <si>
    <t>Micacita filádica ondulada</t>
  </si>
  <si>
    <t>Meláfido con amigdaloides de oligisto, más clorita</t>
  </si>
  <si>
    <t>Alto Saona</t>
  </si>
  <si>
    <t>Luxemburgo</t>
  </si>
  <si>
    <t>Faisán chino</t>
  </si>
  <si>
    <t>Víbora cornuda</t>
  </si>
  <si>
    <t>Codorniz</t>
  </si>
  <si>
    <t>Nasua narica</t>
  </si>
  <si>
    <t>Ardilla zorra</t>
  </si>
  <si>
    <t>Nutria</t>
  </si>
  <si>
    <t>Exp. 9p. Exterior</t>
  </si>
  <si>
    <t>Ormoy, Seine et Oise</t>
  </si>
  <si>
    <t>Jeurre, Seine et Oise</t>
  </si>
  <si>
    <t>Auvers, Seine et Oise</t>
  </si>
  <si>
    <t>Chaumont, Oise</t>
  </si>
  <si>
    <t>Damery, Marne</t>
  </si>
  <si>
    <t>Gneis común con pajitas</t>
  </si>
  <si>
    <t>Hinia incrassata</t>
  </si>
  <si>
    <t>Buccinum undatum</t>
  </si>
  <si>
    <t>Northia serrata</t>
  </si>
  <si>
    <t>Blenda ferrífera con calcita y limonita</t>
  </si>
  <si>
    <t>Paraguay</t>
  </si>
  <si>
    <t>Australia</t>
  </si>
  <si>
    <t>Méjico</t>
  </si>
  <si>
    <t>Caniles, Granada</t>
  </si>
  <si>
    <t>Culebrilla ciega</t>
  </si>
  <si>
    <t>Camaleón</t>
  </si>
  <si>
    <t>Culebra acuática viperina</t>
  </si>
  <si>
    <t>América meridional</t>
  </si>
  <si>
    <t>Santander</t>
  </si>
  <si>
    <t>Lab. Zoológ. De Nápoles</t>
  </si>
  <si>
    <t>Meláfido con epidota</t>
  </si>
  <si>
    <t>Micacita común escamosa</t>
  </si>
  <si>
    <t>Culebra de herradura</t>
  </si>
  <si>
    <t>Patella zebrina</t>
  </si>
  <si>
    <t>Túnez</t>
  </si>
  <si>
    <t>Pez ballesta</t>
  </si>
  <si>
    <t>Barranco S. Juan, Srra. Nevada</t>
  </si>
  <si>
    <t xml:space="preserve">Zeus faber       </t>
  </si>
  <si>
    <t>Cherburgo</t>
  </si>
  <si>
    <t>Vosgos</t>
  </si>
  <si>
    <t xml:space="preserve">Maenas vulgaris       </t>
  </si>
  <si>
    <t xml:space="preserve">Scorpaena porcus      </t>
  </si>
  <si>
    <t>Cantábrico</t>
  </si>
  <si>
    <t>Río Genil</t>
  </si>
  <si>
    <t>Acuario</t>
  </si>
  <si>
    <t>Cuba</t>
  </si>
  <si>
    <t>Nilo</t>
  </si>
  <si>
    <t>África occidental</t>
  </si>
  <si>
    <t>Sta. Rosa, Ecuador</t>
  </si>
  <si>
    <t>Corrientes</t>
  </si>
  <si>
    <t>Callia lubrica</t>
  </si>
  <si>
    <t>Coquimbo, Chile</t>
  </si>
  <si>
    <t>Rio de Janeiro</t>
  </si>
  <si>
    <t>Perú</t>
  </si>
  <si>
    <t>Nerita ornata</t>
  </si>
  <si>
    <t>Brasil</t>
  </si>
  <si>
    <t>Luis  Ignacio Durán</t>
  </si>
  <si>
    <t>Albolote, Granada</t>
  </si>
  <si>
    <t>Suiza</t>
  </si>
  <si>
    <t>Dactylioceras seudocomune</t>
  </si>
  <si>
    <t>Colomera</t>
  </si>
  <si>
    <t>Caliza lacustre bituminosa</t>
  </si>
  <si>
    <t>Prehenita</t>
  </si>
  <si>
    <t>Caliza basta fosilífera</t>
  </si>
  <si>
    <t>Léognan, Bordeaux</t>
  </si>
  <si>
    <t>Caliza neocómica subsacaroidea</t>
  </si>
  <si>
    <t>Sylvia galactotes</t>
    <phoneticPr fontId="0" type="noConversion"/>
  </si>
  <si>
    <t>Aves</t>
    <phoneticPr fontId="0" type="noConversion"/>
  </si>
  <si>
    <t>Alzacola</t>
    <phoneticPr fontId="0" type="noConversion"/>
  </si>
  <si>
    <t>Calcita sobre pirita</t>
  </si>
  <si>
    <t>Calcopirita con gohetita</t>
  </si>
  <si>
    <t>Pirita con melanterita</t>
  </si>
  <si>
    <t>Calcopirita</t>
  </si>
  <si>
    <t>Arrendajo funesto</t>
  </si>
  <si>
    <t>Iberus terrestris</t>
  </si>
  <si>
    <t xml:space="preserve">Ulmus spp.     </t>
  </si>
  <si>
    <t xml:space="preserve">Pitar rudis      </t>
  </si>
  <si>
    <t>Margocaliza amarillenta con fractura concoidea</t>
  </si>
  <si>
    <t>Benajarafe ( Málaga )</t>
  </si>
  <si>
    <t>Arca zebra</t>
  </si>
  <si>
    <t>Caliza con Encrinites ferruginosa</t>
  </si>
  <si>
    <t>Dendritas de pirolusita</t>
  </si>
  <si>
    <t>Bauxita</t>
  </si>
  <si>
    <t>Cypraecassis rufa</t>
  </si>
  <si>
    <t>Cassis tuberosa</t>
  </si>
  <si>
    <t>Gerardmer</t>
  </si>
  <si>
    <t>Biarville</t>
  </si>
  <si>
    <t>Coryophyllia clavus</t>
  </si>
  <si>
    <t xml:space="preserve">Pennatula phosphorea      </t>
  </si>
  <si>
    <t>Islas Sandwich</t>
  </si>
  <si>
    <t>Diorita con actinota y labradorita</t>
  </si>
  <si>
    <t>Mont Dore</t>
  </si>
  <si>
    <t>Gneis subestratoideo</t>
  </si>
  <si>
    <t>Cinabrio y óxidos de hierro</t>
  </si>
  <si>
    <t>Indopacífico</t>
  </si>
  <si>
    <t>Chiclana ( Cádiz )</t>
  </si>
  <si>
    <t>Groenlandia</t>
  </si>
  <si>
    <t>Archangel</t>
  </si>
  <si>
    <t>Pizarra arcillosa basta</t>
  </si>
  <si>
    <t>Anfibolita</t>
  </si>
  <si>
    <t>Strombus gigas</t>
  </si>
  <si>
    <t>Beauchamps, Seine et Oise</t>
  </si>
  <si>
    <t>Leognan, Burdeos</t>
  </si>
  <si>
    <t>Viena</t>
  </si>
  <si>
    <t>Saucats, Bordeaux</t>
  </si>
  <si>
    <t>Águila perdicera</t>
  </si>
  <si>
    <t>Cerithium adustum</t>
  </si>
  <si>
    <t>Gecko</t>
  </si>
  <si>
    <t>Lagartija común</t>
  </si>
  <si>
    <t>Galena argentífera-antimonial</t>
  </si>
  <si>
    <t>Lagarto ocelado</t>
  </si>
  <si>
    <t>Lagartija de turbera</t>
  </si>
  <si>
    <t xml:space="preserve">Turritella intermedia        </t>
  </si>
  <si>
    <t>Oligisto</t>
  </si>
  <si>
    <t xml:space="preserve">Aplysia punctata       </t>
  </si>
  <si>
    <t>Indopadífico</t>
  </si>
  <si>
    <t xml:space="preserve">Loligo sp.      </t>
  </si>
  <si>
    <t>Marisa cornu-arietis</t>
  </si>
  <si>
    <t>Filipinas</t>
  </si>
  <si>
    <t>Conchinchina</t>
  </si>
  <si>
    <t>Volga</t>
  </si>
  <si>
    <t>Valencia</t>
  </si>
  <si>
    <t>Indias orientales</t>
  </si>
  <si>
    <t>Desierto de Atacama</t>
  </si>
  <si>
    <t>Baeza, Ecuador</t>
  </si>
  <si>
    <t>Córdoba, Tucumán</t>
  </si>
  <si>
    <t>Bahia</t>
  </si>
  <si>
    <t>Guayaquil</t>
  </si>
  <si>
    <t>Oklahoma</t>
  </si>
  <si>
    <t>Micacita apizarrada gris</t>
  </si>
  <si>
    <t>Fotografías</t>
  </si>
  <si>
    <t>Documentos</t>
  </si>
  <si>
    <t>Micacita nodulosa con maclas gruesas</t>
  </si>
  <si>
    <t>Limosa melanura</t>
  </si>
  <si>
    <t>Cabanas ( A Coruña )</t>
  </si>
  <si>
    <t>Limosa limosa</t>
  </si>
  <si>
    <t>Pasillo</t>
  </si>
  <si>
    <t>Rocas  ígneas</t>
  </si>
  <si>
    <t>Scheveiz</t>
  </si>
  <si>
    <t>Oceanía</t>
  </si>
  <si>
    <t>Italia</t>
  </si>
  <si>
    <t>Valle Modelle</t>
  </si>
  <si>
    <t>Chateau Lambert</t>
  </si>
  <si>
    <t>Doberg, Prusia</t>
  </si>
  <si>
    <t>Huasco, Chile</t>
  </si>
  <si>
    <t>Tahití</t>
  </si>
  <si>
    <t>Scutum unguis</t>
  </si>
  <si>
    <t>Siphonara linsoleta</t>
  </si>
  <si>
    <t>Delegación Prov. Medio Ambiente</t>
    <phoneticPr fontId="0" type="noConversion"/>
  </si>
  <si>
    <t>Herpestes ichneumon</t>
    <phoneticPr fontId="0" type="noConversion"/>
  </si>
  <si>
    <t>Meloncillo</t>
    <phoneticPr fontId="0" type="noConversion"/>
  </si>
  <si>
    <t>Guayaquil, Ecuador</t>
  </si>
  <si>
    <t>Taboga, Nueva Granada</t>
  </si>
  <si>
    <t>Chancharnayo, Perú</t>
  </si>
  <si>
    <t>Islas Salmón</t>
  </si>
  <si>
    <t>Venezuela</t>
  </si>
  <si>
    <t>Lab. Zoológico de Valencia</t>
  </si>
  <si>
    <t>Verechembach</t>
  </si>
  <si>
    <t>Rocheford</t>
  </si>
  <si>
    <t>Fisurella gemmata</t>
  </si>
  <si>
    <t>Terebratula latisinuata</t>
    <phoneticPr fontId="0" type="noConversion"/>
  </si>
  <si>
    <t>Aragonito</t>
  </si>
  <si>
    <t>Mar de Filipinas</t>
  </si>
  <si>
    <t>Antígua ganadería Lesaca. Esp.</t>
  </si>
  <si>
    <t>Alemania</t>
  </si>
  <si>
    <t>Prehenita con augita</t>
    <phoneticPr fontId="0" type="noConversion"/>
  </si>
  <si>
    <t>Caribe</t>
  </si>
  <si>
    <t>Panamá</t>
  </si>
  <si>
    <t>Diazoma violacea</t>
  </si>
  <si>
    <t>Cymbium olla</t>
  </si>
  <si>
    <t>BRAQUIÓPODOS</t>
  </si>
  <si>
    <t>Darmstand</t>
  </si>
  <si>
    <t>Luisiana</t>
  </si>
  <si>
    <t>Noruega</t>
  </si>
  <si>
    <t>California</t>
  </si>
  <si>
    <t>Nueva Zelanda</t>
  </si>
  <si>
    <t>Senegal</t>
  </si>
  <si>
    <t>Manila</t>
  </si>
  <si>
    <t>Surinam</t>
  </si>
  <si>
    <t>Abisinia</t>
  </si>
  <si>
    <t>Egipto</t>
  </si>
  <si>
    <t>Isla de San Pedro</t>
  </si>
  <si>
    <t>Nueva Holanda</t>
  </si>
  <si>
    <t>Francia</t>
  </si>
  <si>
    <t>Colombia</t>
  </si>
  <si>
    <t>Alpes</t>
  </si>
  <si>
    <t>Alsacia</t>
  </si>
  <si>
    <t>Rata (d’agout)</t>
  </si>
  <si>
    <t>Nueva Granada</t>
  </si>
  <si>
    <t>Gambier</t>
  </si>
  <si>
    <t>Desterro, Brasil</t>
  </si>
  <si>
    <t>Caliza coralina con Encrinites</t>
  </si>
  <si>
    <t>Caliza liásica con Terebrátulas</t>
  </si>
  <si>
    <t>Caliza con Terebrátula</t>
  </si>
  <si>
    <t>Golfo de Valencia</t>
  </si>
  <si>
    <t>Kamschaska, Argentina</t>
  </si>
  <si>
    <t>Islas Malvinas</t>
  </si>
  <si>
    <t>Islas Marquesas</t>
  </si>
  <si>
    <t>Estilbita en cristales fasciculados</t>
  </si>
  <si>
    <t>Asia</t>
  </si>
  <si>
    <t>Sierra Nevada, Granada</t>
  </si>
  <si>
    <t>Sierra Morena</t>
  </si>
  <si>
    <t>África meridional</t>
  </si>
  <si>
    <t>Sumatra</t>
  </si>
  <si>
    <t>Java</t>
  </si>
  <si>
    <t>Salamanquesa</t>
  </si>
  <si>
    <t>Vipera latastei</t>
  </si>
  <si>
    <t>Cabannes, Landes</t>
  </si>
  <si>
    <t>Hoihheim, Franckfurt</t>
  </si>
  <si>
    <t>Environs d'Epernay</t>
  </si>
  <si>
    <t>Turdus aeneus</t>
  </si>
  <si>
    <t>Cárabo</t>
  </si>
  <si>
    <t xml:space="preserve">Clypeaster altus      </t>
  </si>
  <si>
    <t>Strix flammea</t>
  </si>
  <si>
    <t>Cassidaria thyrrena</t>
  </si>
  <si>
    <t>Donax trunchulus</t>
    <phoneticPr fontId="0" type="noConversion"/>
  </si>
  <si>
    <t>Moluscos</t>
    <phoneticPr fontId="0" type="noConversion"/>
  </si>
  <si>
    <t>Málaga</t>
    <phoneticPr fontId="0" type="noConversion"/>
  </si>
  <si>
    <t>Cerithium varicosum</t>
  </si>
  <si>
    <t>Calcita</t>
  </si>
  <si>
    <t>Murcia</t>
  </si>
  <si>
    <t>Asturias</t>
  </si>
  <si>
    <t>San Vicente de la Barquera (S)</t>
  </si>
  <si>
    <t>Oceano Índico</t>
    <phoneticPr fontId="0" type="noConversion"/>
  </si>
  <si>
    <t>Sancets</t>
  </si>
  <si>
    <t>Brignon</t>
  </si>
  <si>
    <t>Malacca</t>
  </si>
  <si>
    <t>Tubipora musica</t>
  </si>
  <si>
    <t>Islas Seychelles</t>
  </si>
  <si>
    <t>Cebú</t>
  </si>
  <si>
    <t xml:space="preserve">Cymbium olla       </t>
  </si>
  <si>
    <t>Turbo marmoratus</t>
  </si>
  <si>
    <t xml:space="preserve">Aplysia fasciata     </t>
  </si>
  <si>
    <t>Minerales</t>
    <phoneticPr fontId="0" type="noConversion"/>
  </si>
  <si>
    <t>Laponia</t>
    <phoneticPr fontId="0" type="noConversion"/>
  </si>
  <si>
    <t>Granada</t>
    <phoneticPr fontId="0" type="noConversion"/>
  </si>
  <si>
    <t>Oligisto especular</t>
  </si>
  <si>
    <t>Larus ridibundus</t>
  </si>
  <si>
    <t>América del Norte</t>
  </si>
  <si>
    <t>Goethita con limonita</t>
  </si>
  <si>
    <t>Riotinto</t>
  </si>
  <si>
    <t>Huelva</t>
  </si>
  <si>
    <t>Almadén (Ciudad Real)</t>
  </si>
  <si>
    <t>Riotinto (Huelva)</t>
  </si>
  <si>
    <t>Estroncianita</t>
  </si>
  <si>
    <t>Callao</t>
  </si>
  <si>
    <t>Viznar, Granada</t>
  </si>
  <si>
    <t>Pectem varius</t>
  </si>
  <si>
    <t>Mamíferos</t>
    <phoneticPr fontId="0" type="noConversion"/>
  </si>
  <si>
    <t>Andalucía</t>
    <phoneticPr fontId="0" type="noConversion"/>
  </si>
  <si>
    <t>Granada</t>
    <phoneticPr fontId="0" type="noConversion"/>
  </si>
  <si>
    <t>Ceylán</t>
  </si>
  <si>
    <t>Lima</t>
  </si>
  <si>
    <t>Rosario de Santa Fe</t>
  </si>
  <si>
    <t>Calceola sandalina</t>
    <phoneticPr fontId="0" type="noConversion"/>
  </si>
  <si>
    <t>Exp. 3.1</t>
    <phoneticPr fontId="0" type="noConversion"/>
  </si>
  <si>
    <t>Fósiles</t>
    <phoneticPr fontId="0" type="noConversion"/>
  </si>
  <si>
    <t>Conus planorbis</t>
  </si>
  <si>
    <t>Mármol</t>
  </si>
  <si>
    <t>Antillas</t>
  </si>
  <si>
    <t>Mares del Norte</t>
  </si>
  <si>
    <t>Valparaiso</t>
  </si>
  <si>
    <t>Montevideo</t>
  </si>
  <si>
    <t>Cabo de Gata</t>
  </si>
  <si>
    <t>Luis Ignacio Durán</t>
  </si>
  <si>
    <t>Tenerife</t>
  </si>
  <si>
    <t>Macla de la casiterita (en codo)</t>
  </si>
  <si>
    <t>s/n Sistema cúbico: trapezoedro</t>
  </si>
  <si>
    <t>Pseudogrammoceras sp.</t>
  </si>
  <si>
    <t>Leioceras opalinum</t>
  </si>
  <si>
    <t>Turrilites sp.</t>
  </si>
  <si>
    <t>Nummulites sp. (Formación "Guara")</t>
  </si>
  <si>
    <t>Pirineo de Huesca</t>
  </si>
  <si>
    <t>San Pedro Alcántara (Málaga)</t>
  </si>
  <si>
    <t>Paleodictyon sp.</t>
  </si>
  <si>
    <t>Flysch Campo de Gibraltar</t>
  </si>
  <si>
    <t>Ánade silbón joven</t>
  </si>
  <si>
    <t>Gorrión alpino</t>
  </si>
  <si>
    <t>Sala 2</t>
  </si>
  <si>
    <t>CARTELAS HISTÓRICAS VERTEBRADOS + VARIOS</t>
  </si>
  <si>
    <t xml:space="preserve">Rostellaria fissurella </t>
  </si>
  <si>
    <t>Scarus ceruleus</t>
  </si>
  <si>
    <t>Pez loro</t>
  </si>
  <si>
    <t>S.Nevada (Cerro de los Machos)</t>
  </si>
  <si>
    <t>Nereis sp.</t>
  </si>
  <si>
    <t>Serranus cabrilla</t>
  </si>
  <si>
    <t>Cabrilla</t>
  </si>
  <si>
    <t>Coris julis</t>
  </si>
  <si>
    <t>Julia o doncella</t>
  </si>
  <si>
    <t>Nº 86.- Sistema rómbico: prisma, dos bipirámides y pinacoide</t>
  </si>
  <si>
    <t>OSTEOLOGÍA</t>
  </si>
  <si>
    <t>Nº Cat. RGA</t>
  </si>
  <si>
    <t>SÓLIDOS CRISTALOGRÁFICOS EN CRISTAL DE BOHEMIA</t>
  </si>
  <si>
    <t>Vitrina 3.3</t>
  </si>
  <si>
    <t>MODELOS DIDÁCTICOS REDES CRISTALINAS</t>
  </si>
  <si>
    <t>Almacén</t>
  </si>
  <si>
    <t>Cangrejo espinoso</t>
  </si>
  <si>
    <t>Restaurado por JLR-CB abril/2015</t>
  </si>
  <si>
    <t>La caja original era de madera; la actual, de cartón, parce de pañuelos "silk twist"</t>
  </si>
  <si>
    <t>35-40</t>
  </si>
  <si>
    <t>Peanas y soportes</t>
  </si>
  <si>
    <t>Vitrina 13.2</t>
  </si>
  <si>
    <t>Vitrina 12.2</t>
  </si>
  <si>
    <t>Fuera Vitrina</t>
  </si>
  <si>
    <t>Vitrina 1.2</t>
  </si>
  <si>
    <t>Vitrina 2.2</t>
  </si>
  <si>
    <t>Vitrina 3.2</t>
  </si>
  <si>
    <t>Vitrina 4.2</t>
  </si>
  <si>
    <t>Vitrina 5.2</t>
  </si>
  <si>
    <t>Vitrina 6.2</t>
  </si>
  <si>
    <t>Vitrina 7.2</t>
  </si>
  <si>
    <t>Vitrina 8.2</t>
  </si>
  <si>
    <t>Vitrina 9.2</t>
  </si>
  <si>
    <t>Vitrina 10.2</t>
  </si>
  <si>
    <t>Vitrina 11.2</t>
  </si>
  <si>
    <t>Vitrina 19.2</t>
  </si>
  <si>
    <t>Vitrina 20.2</t>
  </si>
  <si>
    <t>Vitrina 21.2</t>
  </si>
  <si>
    <t>Vitrina 22.2</t>
  </si>
  <si>
    <t>Vitrina extra 1.2</t>
  </si>
  <si>
    <t>Vitrina 14.2</t>
  </si>
  <si>
    <t>Vitrina 15.2</t>
  </si>
  <si>
    <t>Vitrina 16.2</t>
  </si>
  <si>
    <t>Vitrina 17.2</t>
  </si>
  <si>
    <t>Vitrina 18.2</t>
  </si>
  <si>
    <t>Vitrina extra 2.2</t>
  </si>
  <si>
    <t>Vitrina 4.3</t>
  </si>
  <si>
    <t>Vitrina 11.3</t>
  </si>
  <si>
    <t>Vitrina 10.3</t>
  </si>
  <si>
    <t>Vitrina 7.3</t>
  </si>
  <si>
    <t>Vitrina 8.3</t>
  </si>
  <si>
    <t>Vitrina 9.3</t>
  </si>
  <si>
    <t>MICROSCOPÍA Y DISECCIÓN</t>
  </si>
  <si>
    <t>CRISTALOGRAFÍA</t>
  </si>
  <si>
    <t>Sobre Vitrina extra 2.2</t>
  </si>
  <si>
    <t>Osteología</t>
  </si>
  <si>
    <t>Restaurado por JLR-CB junio/2015</t>
  </si>
  <si>
    <t>Cartelas</t>
  </si>
  <si>
    <t>Revistas</t>
  </si>
  <si>
    <t>Libros</t>
  </si>
  <si>
    <t>DOCUMENTOS</t>
  </si>
  <si>
    <t>Suelos</t>
  </si>
  <si>
    <t>Oso</t>
  </si>
  <si>
    <t>REVISTAS:</t>
  </si>
  <si>
    <t xml:space="preserve">Huesos oído medio </t>
  </si>
  <si>
    <t>Perca</t>
  </si>
  <si>
    <t>Varios fragmentos de huesos humanos (cúbito, omóplato…) con detalle de la médula ósea</t>
  </si>
  <si>
    <t>Ardilla</t>
  </si>
  <si>
    <t>Jabalí</t>
  </si>
  <si>
    <t>Lobo</t>
  </si>
  <si>
    <t>Delfín</t>
  </si>
  <si>
    <t>Caballo</t>
  </si>
  <si>
    <t>Conejo</t>
  </si>
  <si>
    <t>Gato</t>
  </si>
  <si>
    <t>Hombre</t>
  </si>
  <si>
    <t>UBICACIÓN</t>
  </si>
  <si>
    <t>Estuches didácticos</t>
  </si>
  <si>
    <t>R. metamórficas</t>
  </si>
  <si>
    <t>R. sedimentarias</t>
  </si>
  <si>
    <t>Único representante de los 40 existentes</t>
  </si>
  <si>
    <t>Sistema monoclínico, holoédrico: Prisma y dos pinacoides</t>
  </si>
  <si>
    <t>Sistema cúbico tetartoédrico: Tetartoedro</t>
  </si>
  <si>
    <t>SÓLIDOS CRISTALOGRÁFICOS EN MADERA DE HAYA PRENSADA NUMERADOS</t>
  </si>
  <si>
    <t>Folleto informativo colección sólidos cristalográficos en madera de pino</t>
  </si>
  <si>
    <t>Allmikro</t>
  </si>
  <si>
    <t>CEJA 313 1/97/2</t>
  </si>
  <si>
    <t>Enosa</t>
  </si>
  <si>
    <t>PSICOLOGÍA</t>
  </si>
  <si>
    <t>Psicología</t>
  </si>
  <si>
    <t>Sin refrencias</t>
  </si>
  <si>
    <t>Estatutos de la Sociedad Española de Pedagogía, Madrid, 1956</t>
  </si>
  <si>
    <t>Boletín de inscripción en la Soc. Española de Pedagogía, Serrano 27, Madrid</t>
  </si>
  <si>
    <t>Soc. Española Pedagogía</t>
  </si>
  <si>
    <t>Mineralogía</t>
  </si>
  <si>
    <t>SALUD-MEDICINA</t>
  </si>
  <si>
    <t>Salud-Medicina</t>
  </si>
  <si>
    <t>AGI-IMSAEquipo de exploración luminosa</t>
  </si>
  <si>
    <t>Laceda, Baracaldo</t>
  </si>
  <si>
    <t>Pata trasera rota</t>
  </si>
  <si>
    <t>MATERIAL LABORATORIO</t>
  </si>
  <si>
    <t>E. Adnet pag 153, nº 3427, fig 596</t>
  </si>
  <si>
    <t xml:space="preserve">Cultura Madrid </t>
  </si>
  <si>
    <t>Tubos abductores s. XX</t>
  </si>
  <si>
    <t>Material Laboratorio</t>
  </si>
  <si>
    <t>Material Laboraatorio</t>
  </si>
  <si>
    <t>MATERIAL MEDIDA</t>
  </si>
  <si>
    <t>Tubo de ensayo vidrio, con vertidor</t>
  </si>
  <si>
    <t>Estuches cilíndricos para densímetros</t>
  </si>
  <si>
    <t>Medida</t>
  </si>
  <si>
    <t>Pendiente restauración</t>
  </si>
  <si>
    <t>GEODESIA</t>
  </si>
  <si>
    <t>Geodesia</t>
  </si>
  <si>
    <t>Material Audiovisual</t>
  </si>
  <si>
    <t>Limpieza 5/15 JLR-CB</t>
  </si>
  <si>
    <t>Trigo</t>
  </si>
  <si>
    <t>Morera</t>
  </si>
  <si>
    <t>Fresa</t>
  </si>
  <si>
    <t>Pavo doméstico</t>
  </si>
  <si>
    <t>Gigante de Madagascar</t>
  </si>
  <si>
    <t>Boa</t>
  </si>
  <si>
    <t>Discursos Real Sociedad Española de Historia Natural  faltan 1889-1893 y 1895-1903</t>
  </si>
  <si>
    <t>Memorias Real Sociedad Española de Historia Natural, faltan 1910, 1925 y 1926</t>
  </si>
  <si>
    <t>Memorias especiales, Real Sociedad Española de Historia Natural, faltan 1915, 1916, 1919, 1920, 1925, 1926, 1930, 1932, 1935, 1941</t>
  </si>
  <si>
    <r>
      <rPr>
        <b/>
        <sz val="10"/>
        <color rgb="FFFF0000"/>
        <rFont val="Arial"/>
        <family val="2"/>
      </rPr>
      <t>EOS ?</t>
    </r>
    <r>
      <rPr>
        <sz val="10"/>
        <rFont val="Arial"/>
        <family val="2"/>
      </rPr>
      <t>; falta 1949</t>
    </r>
  </si>
  <si>
    <t>Microscopía</t>
  </si>
  <si>
    <t>Reactivos-Colorantes</t>
  </si>
  <si>
    <t>Pinzas latón s XIX</t>
  </si>
  <si>
    <t>Disección</t>
  </si>
  <si>
    <t>Material laboratorio</t>
  </si>
  <si>
    <t>Mecheros de alcohol, vidrio</t>
  </si>
  <si>
    <t>Vasos-evaporadores de latón s. XX</t>
  </si>
  <si>
    <t>Vaso-evaporador de zinc s XX</t>
  </si>
  <si>
    <t>Tubos cerrados análisis mineralógico</t>
  </si>
  <si>
    <t>Material Laboratoio</t>
  </si>
  <si>
    <t>PRODUCTOS QUÍMICOS</t>
  </si>
  <si>
    <t xml:space="preserve">Nuez con aro de 4 cm </t>
  </si>
  <si>
    <t xml:space="preserve">Nuez con aro de 9 cm </t>
  </si>
  <si>
    <t>Cuentagotas, con perilla de goma</t>
  </si>
  <si>
    <t>Material Lboratorio</t>
  </si>
  <si>
    <t>Tubo de ensayo vidrio, grueso calibre…</t>
  </si>
  <si>
    <t>Megalosaurus</t>
  </si>
  <si>
    <t>Laberintodon</t>
  </si>
  <si>
    <t xml:space="preserve">Pterodactilus </t>
  </si>
  <si>
    <t>Iguanodon</t>
  </si>
  <si>
    <t>Carta Exma. Diputación Provincial a...</t>
  </si>
  <si>
    <t>Fonendoscopio - estetoscopio final s. XX</t>
  </si>
  <si>
    <t>Fonendoscopio - estetoscopio, mitad s XX</t>
  </si>
  <si>
    <t>Pinzas para tela, s XX</t>
  </si>
  <si>
    <t>Pinzas de retención, s XX</t>
  </si>
  <si>
    <t>Resina de Copal</t>
  </si>
  <si>
    <t>Exposito pasillo</t>
  </si>
  <si>
    <t>Vitrina 1.1</t>
  </si>
  <si>
    <t>Vitrina 2.1</t>
  </si>
  <si>
    <t>Dotación J.A.</t>
  </si>
  <si>
    <t>Restaurada 9/2015 JLR-CB</t>
  </si>
  <si>
    <t>Sala 3</t>
  </si>
  <si>
    <t>Material Laboratrorio</t>
  </si>
  <si>
    <t>Sala 1</t>
  </si>
  <si>
    <t>Focha moruna</t>
  </si>
  <si>
    <t>Canario</t>
  </si>
  <si>
    <t>Corvus corax</t>
  </si>
  <si>
    <t>Ptilostomus senegalensis</t>
  </si>
  <si>
    <t>Martín pescador gigante de collar</t>
  </si>
  <si>
    <t>Teru-teru o Ave fría espolada</t>
  </si>
  <si>
    <t>Mindanao</t>
  </si>
  <si>
    <t>Phaluraria glaricopsis</t>
  </si>
  <si>
    <t>Colibrí...</t>
  </si>
  <si>
    <t>Eupetormina hirandinacea</t>
  </si>
  <si>
    <t>¿Colibrí…?</t>
  </si>
  <si>
    <t>Ganso o ánsar común</t>
  </si>
  <si>
    <t>Ganso o ánsarcampestre</t>
  </si>
  <si>
    <t>Pato criollo o reañl</t>
  </si>
  <si>
    <t>Retroproyector 3M</t>
  </si>
  <si>
    <t>Almacén BG</t>
  </si>
  <si>
    <t>Puntero pantalla proyección, incandescencia</t>
  </si>
  <si>
    <t>Visor diapositivas sin iluminacion</t>
  </si>
  <si>
    <t>Calcita, sección de estalactita</t>
  </si>
  <si>
    <t xml:space="preserve">Calcita en diente de perro      </t>
  </si>
  <si>
    <t>Cámara oscura</t>
  </si>
  <si>
    <t xml:space="preserve">Fluorita masiva    </t>
  </si>
  <si>
    <t>Exp.12p</t>
  </si>
  <si>
    <t>Gossan</t>
  </si>
  <si>
    <t>Exp 14p</t>
  </si>
  <si>
    <t>Accesorios</t>
  </si>
  <si>
    <t>Exp. 3 M</t>
  </si>
  <si>
    <t>Exp. 4 M</t>
  </si>
  <si>
    <t>Exp.  3 M</t>
  </si>
  <si>
    <t>Exp. 5 M</t>
  </si>
  <si>
    <t>Exp. 7 M</t>
  </si>
  <si>
    <t>Exp. 8 M</t>
  </si>
  <si>
    <t>Exp. 6 M</t>
  </si>
  <si>
    <t>Exp. 9 M</t>
  </si>
  <si>
    <t>Exp. 10 M</t>
  </si>
  <si>
    <t>EXP. 10 M</t>
  </si>
  <si>
    <t>Geiserita</t>
  </si>
  <si>
    <t xml:space="preserve">Hematites roja terrosa                </t>
  </si>
  <si>
    <t>Hematites gris</t>
  </si>
  <si>
    <t>Soportes</t>
  </si>
  <si>
    <t>No es una titonidae- lechuza</t>
  </si>
  <si>
    <t>Pequén o mochuelo de madriguera</t>
  </si>
  <si>
    <t>Coruja .autillo</t>
  </si>
  <si>
    <t>Accipiter nisus, macho y hembra</t>
  </si>
  <si>
    <t>¿Gavilán? Águila etíope</t>
  </si>
  <si>
    <t>Águila culebrera</t>
  </si>
  <si>
    <t>Cayena (Guayana francesa)</t>
  </si>
  <si>
    <t>Carancho: nombre genérico de ave de presa</t>
  </si>
  <si>
    <t>Alimoche</t>
  </si>
  <si>
    <t xml:space="preserve">Valparaiso </t>
  </si>
  <si>
    <t>Valle del Limpopo</t>
  </si>
  <si>
    <t>Murex trunchulus</t>
  </si>
  <si>
    <t>Dolium perdix</t>
  </si>
  <si>
    <t>Cassidaria vibex</t>
  </si>
  <si>
    <t>CARTELAS (diferenciar entre los dos modeolos existentes)</t>
  </si>
  <si>
    <t>Muebles Expositores horizontales</t>
  </si>
  <si>
    <t>Salas</t>
  </si>
  <si>
    <t>Pantalla de proyección gran tamaño, Dpto. CCNN</t>
  </si>
  <si>
    <t>Material Audiovisula</t>
  </si>
  <si>
    <t>Despacho Sala 3</t>
  </si>
  <si>
    <t>Retroproyector ¿marca…?</t>
  </si>
  <si>
    <t>Material Audivisual</t>
  </si>
  <si>
    <t>Mesa Visuales sala 3Material Audiovisual</t>
  </si>
  <si>
    <t>Pantalla de proyección pequeña Dpto. CCNN</t>
  </si>
  <si>
    <t>Vitrina 10.2 exterior</t>
  </si>
  <si>
    <t>Sala 1. Vitrinas 2.1</t>
  </si>
  <si>
    <t>Vitrina 10.2.</t>
  </si>
  <si>
    <t>Material Audiovisuales</t>
  </si>
  <si>
    <t>Material audiovisula</t>
  </si>
  <si>
    <t>CEJA</t>
  </si>
  <si>
    <t>Material audiovisual</t>
  </si>
  <si>
    <t>"Flor de sauco" en frasco pequeño vidrio esmerilado con tapon roto (sin aleta)</t>
  </si>
  <si>
    <t>COLECCIÓN SEMILLAS ¡DESGLOSAR!</t>
  </si>
  <si>
    <t>Macla Rutilo (Tetragonal)</t>
  </si>
  <si>
    <t>Macla yeso punta de flecha (Monoclínico)</t>
  </si>
  <si>
    <t>Macla de dos tetraedros (Tetragonal)</t>
  </si>
  <si>
    <t>Macla de entrecruzamiento de la Phyllipsita (Tetragonal)</t>
  </si>
  <si>
    <t>Maclas</t>
  </si>
  <si>
    <t>SÓLIDOS CRISTALOGRÁFICOS EN RESINA, numerados con etiquetas adhesivas</t>
  </si>
  <si>
    <t>SÓLIDOS CRISTALOGRÁFICOS EN PLÁSTICO RÍGIDO DE COLORES</t>
  </si>
  <si>
    <t>Modelos sólidos sencillos (a excepción de la combinación de cubo y octaedro)</t>
  </si>
  <si>
    <t>Pendientes clasificación; se trata de formas compuestas, combinación de dos o más sencillas.</t>
  </si>
  <si>
    <t>Sala 2, taxidermia</t>
  </si>
  <si>
    <t>Restaurados por JLR-CB en abril-junio/2017</t>
  </si>
  <si>
    <t>Silla madera, modelo  Thonet</t>
  </si>
  <si>
    <t>Platillo original para balanza roverbal.</t>
  </si>
  <si>
    <t>Microscopia Biológica</t>
  </si>
  <si>
    <t>Microscopia Geológica</t>
  </si>
  <si>
    <t>Vidrio transparente, varilla int.</t>
  </si>
  <si>
    <t>MATERIAL DE DISECCIÓN</t>
  </si>
  <si>
    <t>Frasco gotero de vidrio</t>
  </si>
  <si>
    <t>vidrio soplado transparente, para microscopía</t>
  </si>
  <si>
    <t>ext. cartón, int. terciopelo, siglo XIX.</t>
  </si>
  <si>
    <t xml:space="preserve">Lancetas </t>
  </si>
  <si>
    <t>mango madera</t>
  </si>
  <si>
    <t>mango metal</t>
  </si>
  <si>
    <t xml:space="preserve">Agujas enmangadas, </t>
  </si>
  <si>
    <t xml:space="preserve">Espátula </t>
  </si>
  <si>
    <t>Escalpelo</t>
  </si>
  <si>
    <t>mango baquelita</t>
  </si>
  <si>
    <t>Tijeras punta recta fina</t>
  </si>
  <si>
    <t xml:space="preserve"> (punta rota)</t>
  </si>
  <si>
    <t>Tijeras punta recta gruesa</t>
  </si>
  <si>
    <t xml:space="preserve"> (muy oxidadas)</t>
  </si>
  <si>
    <t>Tijeras punta curva fina</t>
  </si>
  <si>
    <t xml:space="preserve"> (oxidadas)</t>
  </si>
  <si>
    <t>Goma reseca y quebradiza</t>
  </si>
  <si>
    <t xml:space="preserve">Inflador de goma naranja para esfingomanómetro, </t>
  </si>
  <si>
    <t xml:space="preserve"> marca Kauto nº 3.</t>
  </si>
  <si>
    <t xml:space="preserve"> marca ICO-CLARA ENOSA, 2ª mitad s. XX</t>
  </si>
  <si>
    <t>ASTRONOMÍA Y GEODESIA</t>
  </si>
  <si>
    <t>Jeringas metálicas</t>
  </si>
  <si>
    <t xml:space="preserve"> para perfusión de soluciones fijadoras y colorantes microscopía</t>
  </si>
  <si>
    <t>Gradilla de madera portatubos, tres niveles,</t>
  </si>
  <si>
    <t xml:space="preserve"> 30 orificios, 42 x 20</t>
  </si>
  <si>
    <t xml:space="preserve">Gradilla de madera portatubos, </t>
  </si>
  <si>
    <t xml:space="preserve">25 cm, fila sencilla, 6 unidades, </t>
  </si>
  <si>
    <t>Lupa de mano</t>
  </si>
  <si>
    <t>Se encuentra fracturada pero arreglada</t>
  </si>
  <si>
    <t>Microscopía Biológica</t>
  </si>
  <si>
    <t>Nuevos</t>
  </si>
  <si>
    <t>Microtomo manual cilíndrico Enosa mod. Instituto</t>
  </si>
  <si>
    <t xml:space="preserve">Microtomo de cuchilla deslizante, </t>
  </si>
  <si>
    <t xml:space="preserve">Caja de 48 portaobjetos </t>
  </si>
  <si>
    <t>Estuche cartón, vidrio de bordes sin pulir, de 7,5 x 2,5 cm, 1,5 mm espesor</t>
  </si>
  <si>
    <t>Cajita de 45 cubreobjetos circulares, último tercio XIX.</t>
  </si>
  <si>
    <t>Estuche cartón, 2 cm diámetro</t>
  </si>
  <si>
    <t>Varios fracturados</t>
  </si>
  <si>
    <t>incluye una preparación del 11-5-1980 de diatomeas con tinción Gram</t>
  </si>
  <si>
    <t>5 preparaciones óptimas, 7 fracturadas</t>
  </si>
  <si>
    <t>Exp.  5 M</t>
  </si>
  <si>
    <t>Óptimo</t>
  </si>
  <si>
    <t>Restaurado el estuche</t>
  </si>
  <si>
    <t>La colección original era de 100. Las que quedan están en esta óptimo</t>
  </si>
  <si>
    <t>Restauradas deos de ellas (pegadas)</t>
  </si>
  <si>
    <t>Se han restaurado-pegado dos preparaciones partodas</t>
  </si>
  <si>
    <t>Óptimo, completo.</t>
  </si>
  <si>
    <t>Bueno</t>
  </si>
  <si>
    <r>
      <t>Nº 27.- Sistema cúbico: cubo y tetraedro ( domina el tetraedro )</t>
    </r>
    <r>
      <rPr>
        <b/>
        <sz val="12"/>
        <rFont val="Arial"/>
        <family val="2"/>
      </rPr>
      <t xml:space="preserve"> </t>
    </r>
  </si>
  <si>
    <r>
      <t>Calcita en diente de perro</t>
    </r>
    <r>
      <rPr>
        <b/>
        <sz val="12"/>
        <color indexed="12"/>
        <rFont val="Arial"/>
        <family val="2"/>
      </rPr>
      <t xml:space="preserve">      </t>
    </r>
  </si>
  <si>
    <r>
      <t>Siderita en romboedros</t>
    </r>
    <r>
      <rPr>
        <b/>
        <sz val="12"/>
        <color indexed="12"/>
        <rFont val="Arial"/>
        <family val="2"/>
      </rPr>
      <t xml:space="preserve">      </t>
    </r>
  </si>
  <si>
    <r>
      <t>Galena con greenockita</t>
    </r>
    <r>
      <rPr>
        <b/>
        <sz val="12"/>
        <color indexed="12"/>
        <rFont val="Arial"/>
        <family val="2"/>
      </rPr>
      <t xml:space="preserve">       </t>
    </r>
  </si>
  <si>
    <r>
      <t>Meteoritos</t>
    </r>
    <r>
      <rPr>
        <b/>
        <sz val="12"/>
        <color indexed="12"/>
        <rFont val="Arial"/>
        <family val="2"/>
      </rPr>
      <t xml:space="preserve">      </t>
    </r>
  </si>
  <si>
    <r>
      <t xml:space="preserve">Blenda ferrífera   </t>
    </r>
    <r>
      <rPr>
        <b/>
        <sz val="12"/>
        <color indexed="12"/>
        <rFont val="Arial"/>
        <family val="2"/>
      </rPr>
      <t xml:space="preserve">  </t>
    </r>
  </si>
  <si>
    <r>
      <t>Prehenita con ferroactinolita</t>
    </r>
    <r>
      <rPr>
        <b/>
        <sz val="12"/>
        <color indexed="12"/>
        <rFont val="Arial"/>
        <family val="2"/>
      </rPr>
      <t xml:space="preserve">    </t>
    </r>
    <r>
      <rPr>
        <sz val="12"/>
        <rFont val="Arial"/>
        <family val="2"/>
      </rPr>
      <t xml:space="preserve"> (Filosilicato)</t>
    </r>
  </si>
  <si>
    <r>
      <t>Exocoetus volitans</t>
    </r>
    <r>
      <rPr>
        <b/>
        <sz val="12"/>
        <color indexed="12"/>
        <rFont val="Arial"/>
        <family val="2"/>
      </rPr>
      <t xml:space="preserve">      </t>
    </r>
  </si>
  <si>
    <r>
      <t>Galeus galeus</t>
    </r>
    <r>
      <rPr>
        <b/>
        <sz val="12"/>
        <color indexed="12"/>
        <rFont val="Arial"/>
        <family val="2"/>
      </rPr>
      <t xml:space="preserve">       </t>
    </r>
  </si>
  <si>
    <r>
      <t xml:space="preserve">Mustelus vulgaris </t>
    </r>
    <r>
      <rPr>
        <b/>
        <sz val="12"/>
        <color indexed="12"/>
        <rFont val="Arial"/>
        <family val="2"/>
      </rPr>
      <t xml:space="preserve">      </t>
    </r>
  </si>
  <si>
    <r>
      <t>Elaphe longuisima</t>
    </r>
    <r>
      <rPr>
        <sz val="12"/>
        <color indexed="12"/>
        <rFont val="Arial"/>
        <family val="2"/>
      </rPr>
      <t xml:space="preserve">      </t>
    </r>
  </si>
  <si>
    <t xml:space="preserve">Bueno, </t>
  </si>
  <si>
    <t>Estuche de 2 bandejas, con indicaciones del nº de aumentos a que deben observarse. Portas 5,8-6,00x3,00 cm, cobres 2x2, dos sellados</t>
  </si>
  <si>
    <t>Bueno. Para mejorar su exposición museística, se ubican en dos estuches, el original y uno actual con reproducción de la cartela</t>
  </si>
  <si>
    <t>* Colección de Biología Marina Serie Plancton</t>
  </si>
  <si>
    <t>Restaurada: pegado etiquetas; 7 se encontraban muy fracturadasaurada; 6 son recuperadas en el almacén de BG 21-6-2017</t>
  </si>
  <si>
    <t>Bueno, solo una fracturada</t>
  </si>
  <si>
    <t>Se ubica en estuche de joyería actual</t>
  </si>
  <si>
    <t>Colección muy incompleta: faltan 3, una fracturada</t>
  </si>
  <si>
    <t>Limpieza y clasificación</t>
  </si>
  <si>
    <t>Regular, faltan la mitad de las preparaciones. Al estuche le fakta el lateral superior Tres están fracturadas</t>
  </si>
  <si>
    <t>No existen, en su lugar hay 5 portas nuevos</t>
  </si>
  <si>
    <t>Colección muy incompleta: faltan 4 y 2 están rotas</t>
  </si>
  <si>
    <t>Limpieza y clasificación. Pegado tapa caja</t>
  </si>
  <si>
    <t>Regular, faltan 8, y 11 tienen la etiqueta despegada. Penduiente clasificación</t>
  </si>
  <si>
    <t>Limpieza, ordenado</t>
  </si>
  <si>
    <t>Regular, faltan 7, y 2 tienen la etiqueta despegada. Pendiente clasificación</t>
  </si>
  <si>
    <t>Limpieza y ordenada</t>
  </si>
  <si>
    <t>Bueno, etiquetadas. Una rota.</t>
  </si>
  <si>
    <t>Restaurada la rota.</t>
  </si>
  <si>
    <t>Estuche de vidrio, con tapa, portas 7,5x2,5 cm; cubres redondos y rectangulares. Fechadas enentre 1947 y 1948</t>
  </si>
  <si>
    <t>Limpieza y ordenación</t>
  </si>
  <si>
    <t>Colección completa, una sin etiqueta (alas insecto)</t>
  </si>
  <si>
    <t>Lab. B/G del IES. Etiquetadas con papel ENOSA. Ubicadas en soporte para cubeta de tinciones</t>
  </si>
  <si>
    <t>Bueno, etiquetadas.</t>
  </si>
  <si>
    <t>Limpeza y clasificación</t>
  </si>
  <si>
    <t>Vitrina 4,3</t>
  </si>
  <si>
    <t>Bueno. Montajes con Bálsamo de Canadá bastante burdos.</t>
  </si>
  <si>
    <t>Frotis sin proteger</t>
  </si>
  <si>
    <t xml:space="preserve">Porta 7,5x2,5 cm y 1,5- 2 mm de espesor, cubre circular 2 cm sellado y 1,5 cm sin sellar. </t>
  </si>
  <si>
    <t>Una tiene como cubre un fragmento de portaobjetos, la otra tiene el cubre rectangular sellado. Ambas con etuqueta</t>
  </si>
  <si>
    <t>Mapa Geológico de la Península Ibérica, Baleares y Canarias</t>
  </si>
  <si>
    <t>Muy bueno</t>
  </si>
  <si>
    <t>Restaurado por JLR-CB en mayo/2015</t>
  </si>
  <si>
    <t>Lacerta viridis</t>
  </si>
  <si>
    <t xml:space="preserve">Lagarto verde </t>
  </si>
  <si>
    <t>Microtomo de deslizamiento parafina 1.920. “ Leitz “.</t>
  </si>
  <si>
    <t>Falta cuchilla</t>
  </si>
  <si>
    <t>Restaurado por JLR-CB</t>
  </si>
  <si>
    <t>Lab. Laceda, en caja metálica, Farmacéutico preparador Angel Duro, 2,7 pts.</t>
  </si>
  <si>
    <t xml:space="preserve"> Estuche madera, 11 elementos-accesorios, s. XX (¿1960) En pdf "medicina y Cirugía" 1960</t>
  </si>
  <si>
    <t>Otoscopio</t>
  </si>
  <si>
    <t>Catálogo Cultura pág.236, fig 24886</t>
  </si>
  <si>
    <t>Vidrios de reloj,</t>
  </si>
  <si>
    <t xml:space="preserve"> final s. XIX o comienzos del XX, por su forma muy distinta a la actual, Se encontraban en el neceser de mineralogista, pero no se adaptan a ninguna parte del estuche</t>
  </si>
  <si>
    <t xml:space="preserve">Copas de ensayo, </t>
  </si>
  <si>
    <t>vidrio, 17 cm y 13 cm de altura, sin graduar, s XIX</t>
  </si>
  <si>
    <t>en vidrio BOROS, sin marca, cuello largo y grueso, cuerpo en forma de pera; determinación N total, N orgánico, proteínas, ión amonio</t>
  </si>
  <si>
    <t xml:space="preserve">Matraz florentino (esférico) aforado </t>
  </si>
  <si>
    <t>tapón esmerilado, 100 cc, Bergor S.A.</t>
  </si>
  <si>
    <t xml:space="preserve">Matraz florentino (esférico) aforado, </t>
  </si>
  <si>
    <t>100 y 110 cc, Dijandin Sallecor Paris s XIX</t>
  </si>
  <si>
    <t xml:space="preserve">Matraz florentino (esférico) </t>
  </si>
  <si>
    <t>de base plana, sin gradura ni aforar, 100 ml aprox.</t>
  </si>
  <si>
    <t xml:space="preserve">Pipeta 10 ml, graduada, </t>
  </si>
  <si>
    <t>con escala invertida, ampolla de seguridad, sin marca</t>
  </si>
  <si>
    <t xml:space="preserve">Probeta  aprox. 60 cc, </t>
  </si>
  <si>
    <t>¿comienzo s. XX?, sin marca y sin graduar, vidrio grueso "estriado",</t>
  </si>
  <si>
    <t xml:space="preserve">Matraz tipo florentino (esférico) aforado </t>
  </si>
  <si>
    <t>100 cc</t>
  </si>
  <si>
    <t xml:space="preserve">Tapón vidrio esmerilado para matraz, </t>
  </si>
  <si>
    <t>asa flamígera redonda, 5,5 alto, 1,5 diámetro</t>
  </si>
  <si>
    <t>asa flamígera plana 6,5 alto, 2,5 diámetro</t>
  </si>
  <si>
    <t xml:space="preserve">Vaso de precipitados, </t>
  </si>
  <si>
    <t>soplado, sin marca, 100 cc, agrieteado</t>
  </si>
  <si>
    <t>250 cc, Bergor S.A.</t>
  </si>
  <si>
    <t xml:space="preserve">Mecheros de alcohol, metálicos </t>
  </si>
  <si>
    <t>niquelados (uno en microscopía), 3 sin tapón</t>
  </si>
  <si>
    <t>portadocumentos dispensador guiones prácticas, del Dpto. de BG</t>
  </si>
  <si>
    <t>con asas festoneadas, para transporte de muestras y material, 58x44, interior blanco</t>
  </si>
  <si>
    <t>con asas ovaladas, para transpote de muestras y material, 43x43, interior negro mate</t>
  </si>
  <si>
    <t>pintada en martelé tipo forja gris, rectangular, 42x27,5 cm, altura 4,5 cm, uñeros interiores</t>
  </si>
  <si>
    <t xml:space="preserve">Navaja de laboratorio, </t>
  </si>
  <si>
    <t>hoja acero, mango madera, para corte de tubos goma, corchos</t>
  </si>
  <si>
    <t>Restaurada 10/2015 JLR-CB</t>
  </si>
  <si>
    <t>falta un tornillo del cierre de la tapa</t>
  </si>
  <si>
    <t>Limpieza y eliminación óxido 11/16 JLR-CB</t>
  </si>
  <si>
    <t>Restaurada 5/17 JLR-CB</t>
  </si>
  <si>
    <t>Restaurado 5/17 JLR-CB</t>
  </si>
  <si>
    <t xml:space="preserve">Balanza de precisión </t>
  </si>
  <si>
    <t>Muy Bueno</t>
  </si>
  <si>
    <t xml:space="preserve">Latón algo oxidado. </t>
  </si>
  <si>
    <t>pendiente reparación (piezas reservadas separadamente)</t>
  </si>
  <si>
    <t>Aceptable</t>
  </si>
  <si>
    <t>Mueble librería en madera de haya</t>
  </si>
  <si>
    <t>Donación IES Aynadamar</t>
  </si>
  <si>
    <t>Mapa Forestal de España</t>
  </si>
  <si>
    <t>Mapa Tectónico de la Península Ibérica y Baleares</t>
  </si>
  <si>
    <t>Ministerio de Agricultura, 1966,  20 mapas 1:400.000. En carpeta de cartón. Mapas e informe detallado para 20 especies arbóreas</t>
  </si>
  <si>
    <t xml:space="preserve">Lámina mural "Tableau auxuliaires Delmas, nº 13" </t>
  </si>
  <si>
    <t>Malo</t>
  </si>
  <si>
    <t>3 Turmalinas y topacio+esmeralda; ¿tinta china y acuarela? 32x25 enmarcadas en vidrio clip</t>
  </si>
  <si>
    <t>Pendiente restauración: limpiar, pegar fragmentos y enmarcar bajo cristal.</t>
  </si>
  <si>
    <t>Plano original de la verja del Instituto.</t>
  </si>
  <si>
    <t>En plástico negro, con lentes cuadradas</t>
  </si>
  <si>
    <t>Marca desconocida</t>
  </si>
  <si>
    <t xml:space="preserve"> Para diapositivas (para carrete continuo y de deslizamiento) y microscopio adaptable, en estuche de cartón, con dos oculares y revolver de tres objetivos; prisma adaptable al ocular para proyección en mesa. </t>
  </si>
  <si>
    <t>Carl Zeiss-Jena, Nª 27518.,esmaltado negro, macro y micrométrico independientes, espejo doble, plano y cóncavo (suelto), concensador, portafiltros, revolver 4 objetivos, 3 oculares 5x, 7x, 15x, 2 recipientes potaoculares, platina ajustable, estuche de madera.</t>
  </si>
  <si>
    <t>espejo (suelto)</t>
  </si>
  <si>
    <t xml:space="preserve">nº 3953, métálico esmaltado negro, basculante, espejo  condensador, diafragma iris, portafiltros, macro y micrométrico, platina cuadrada con ajuste lateral, revolver 4 objetivos + 34 oculares: 5x, 10x, 15x y 20x., </t>
  </si>
  <si>
    <t>Microscopio biológico Enosa 04 5002</t>
  </si>
  <si>
    <t>Microscopio biológico Meopta  Checoslovaquia</t>
  </si>
  <si>
    <t>Sobre vitrina 4.3</t>
  </si>
  <si>
    <t>platina circular con tornillos de ajuste, metálico esmaltado negro, espejo, revólver 4 objetivos, 3 oculares: 6x, 10x, 15x, 2 recipientes portaoclares, portafiltros, diafragma uris, concensador, macro y micro independientes, caja de madera.</t>
  </si>
  <si>
    <t>Bueno, solo con 1 o 2 oculares</t>
  </si>
  <si>
    <t>Microscopio biológico Enosa 04 01 04</t>
  </si>
  <si>
    <t xml:space="preserve">Microscopio biológico Enosa </t>
  </si>
  <si>
    <t xml:space="preserve"> 1960-1970. nº 3552. Altura mínima 22 cm, el pie en forma de T, estativo inclinado, está constituido por el brazo y la platina, con una longitud de 12cm y una anchura de 11 cm. El diámetro del tubo  que contiene al sistema óptico es de 2,5 cm. , solo macrométrico, revólver 3 objetivos: 4x, 10x, 25x; 2 oculares: 5x y 10x. Platina rectangular, diafragma iris, espejo.</t>
  </si>
  <si>
    <t>1960-1970. nº 16570 y 18113. Altura mínima 22 cm, el pie en forma de T, estativo inclinado, está constituido por el brazo y la platina, con una longitud de 12cm y una anchura de 11 cm. El diámetro del tubo  que contiene al sistema óptico es de 2,5 cm. , solo macrométrico, revólver 3 objetivos: 4x, 10x, 25x; 2 oculares: 5x y 10x. Platina rectangular, diafragma iris, espejo.</t>
  </si>
  <si>
    <t>1960. Metalico negro rugoso, sin numeración, espejo, diafragma de círculos giratorios, solo macrométrico, revólver 3 objetivos: 5x, 10x, 25x; 3 oculares: 5x, 10x y 20x  Platina circular,.sin estuche de madera</t>
  </si>
  <si>
    <t>1960. Metalico negro rugoso, sin numeración, espejo (le falta a varios), diafragma de círculos giratorios, solo macrométrico, revólver 3 objetivos: 5x, 10x, 25x; 3 oculares: 5x, 10x y 20x (incompletos). Platina circular,.sin estuche de madera</t>
  </si>
  <si>
    <t>Regular</t>
  </si>
  <si>
    <t>1970, casi de juguete, muy chiquitito, metálico negro, espejo, sin diafragma, revólver 4 objetivos: 2,5x, 10x, 20x, 30x, 2 oculares: 10x y 15x, solo macrométrico, platina rectangular</t>
  </si>
  <si>
    <t>Microscopio biológico Thais</t>
  </si>
  <si>
    <t>Vitrina 5.3</t>
  </si>
  <si>
    <t>nº 159031, platina circular manual, metálico esmaltado negro, espejo, revólver 4 objetivos, 3 oculares: 6x, 10x, 15x, 2 recipientes portaoclares, portafiltros, diafragma uris, concensador, macro y micro independientes, caja de madera.</t>
  </si>
  <si>
    <t>nº 159031, platina cuadrada con tornillos de ajuste, metálico esmaltado negro, espejo, revólver 4 objetivos, 3 oculares: 6x, 10x, 15x, 2 recipientes portaoclares, portafiltros, diafragma uris, concensador, macro y micro independientes, caja de madera.</t>
  </si>
  <si>
    <t>Microscopio biológico Euromex, Holanda, mod. Arnhem CS</t>
  </si>
  <si>
    <t>1980. Metal esmaltado gris, platina rectangular con mandos ajuste, portatubos monocular, 4 oculares: 6x, 10x, 10xsw, 16x; revólver 3 objetivos (uno inmersión), macro y micro independientes, diafragma iris, espejo doble.</t>
  </si>
  <si>
    <t>Laboratorio</t>
  </si>
  <si>
    <t>1980. Metal esmaltado gris, platina rectangular sin mandos ajuste, portatubos monocular, 4 oculares: 6x, 10x, 10xsw, 16x; revólver 3 objetivos (uno inmersión), macro y micro independientes, diafragma iris, espejo doble.</t>
  </si>
  <si>
    <t>1980. Metal esmaltado gris, platina rectangular sin mandos de ajuste, portatubos monocular, 4 oculares: 6x, 10x, 10xsw, 16x; revólver 3 objetivos (uno inmersión), macro y micro independientes, diafragma iris, eléctrico</t>
  </si>
  <si>
    <t>Laboratrio</t>
  </si>
  <si>
    <t>Adquirido UGR F. CC J.A. Gallegos</t>
  </si>
  <si>
    <t>nº 155761, platina circular giratoria con limbo graduado, metálico esmaltado negro, espejo, sin revólver, 2 objetivos intercambiables: 20x y 45x, 5 oculares: 4x, 6x, 10x, 15x, 20x, 5 recipientes portaoclares, portafiltros, diafragma iris, concensador, macro y micro independientes, polarizadores, caja de madera y estuche de madera forrada en tercipelo para accesorios</t>
  </si>
  <si>
    <t>Estereomicroscopio-Lupa binocular Enosa, mod. ¿?</t>
  </si>
  <si>
    <t>Estereomicroscopio-Lupa binocular Enosa, mod. 04 05 02</t>
  </si>
  <si>
    <t>1970, Nº 84-6628, metálico esmaltado beige, oculares W10x con ajuste interpupilar, objetivo doble de 2x inercambiable, platina de doble cara: blanca y negra, ballestillas de una posición.</t>
  </si>
  <si>
    <t>Estereomicroscopio-Lupa binocular Euromex, mod. ST</t>
  </si>
  <si>
    <t xml:space="preserve">1960, nº 7914, metálica esmaltada en martele gris, 20x, 12 mm, con ajuste inerpupilar, 7 platinas: 4 colores, 2 vidrio  y 1 porespan; ballestillas de tres posiciones. </t>
  </si>
  <si>
    <t xml:space="preserve"> 1960, nº 2550, metálica esmaltada en martele gris, oculares 10x, con ajuste inerpupilar, 8 platinas: 4 colores, 3 vidrio  y 1 porespan.; ballestillas de una posición.</t>
  </si>
  <si>
    <t>1960, nº ... metálica esmaltada en martele gris, 20x, 12 mm, con ajuste inerpupilar, 7 platinas: 4 colores, 2 vidrio  y 1 porespan; ballestillas de una posición.</t>
  </si>
  <si>
    <t>Malo: solo cuerpo óptica</t>
  </si>
  <si>
    <t>Estereomicroscopio-Lupa binocular , marca y Modelos desconocidos</t>
  </si>
  <si>
    <t>nº 3140, metálico martene gris forja, objetivos intercambiables: 3X 7x, oculares 5x</t>
  </si>
  <si>
    <t>Microscopio de polarización Meopta A23V Checoslovaquia</t>
  </si>
  <si>
    <t>1960, nº 180211 platina circular giratoria con limbo graduado, metálico esmaltado negro, espejo, sin revólver, 4 objetivos intercambiables: 3x, 10x, 20x y 45x, 5 oculares: 4x, 6x, 10x, 15x, 1960, 20x, 5 recipientes portaoclares, portafiltros, diafragma iris, concensador, macro y micro independientes, polarizadores, caja de madera y estuche de madera forrada en tercipelo para accesorios. Certificado de garantía.</t>
  </si>
  <si>
    <t>Microscopio de proyección-Triquinoscopio</t>
  </si>
  <si>
    <t>Dotación CEJA</t>
  </si>
  <si>
    <t>Defensa pez espada de 57cm</t>
  </si>
  <si>
    <t>Defensa pez espada de 63 cm</t>
  </si>
  <si>
    <t>Gran bloque de 10 kg aprox. con abundantes restos de raíces</t>
  </si>
  <si>
    <t>Penana pasillo</t>
  </si>
  <si>
    <t>Pegado</t>
  </si>
  <si>
    <t>Micasquisto</t>
  </si>
  <si>
    <t>Micasquistos ornamentales</t>
  </si>
  <si>
    <t>Libro actas/inventario Seminario CCNN</t>
  </si>
  <si>
    <t>Muy incompleto</t>
  </si>
  <si>
    <t>limpiar y barnizar</t>
  </si>
  <si>
    <t>Rollo de acetato para retroproyector</t>
  </si>
  <si>
    <t>29 cm longitud</t>
  </si>
  <si>
    <t>26 cm longitud, con estructura metálica</t>
  </si>
  <si>
    <t>IES Aynadamar</t>
  </si>
  <si>
    <t>Maletín con asa de 66x57x6, iluminación por reflexión de espejos. Madera, cartón, metal</t>
  </si>
  <si>
    <t>Lámina anatomía nº 8: Respiratorio</t>
  </si>
  <si>
    <t>Lámina anatomía nº 9: Corazón</t>
  </si>
  <si>
    <t>Lámina anatomía nº 10: Sistema Arterial</t>
  </si>
  <si>
    <t>Lámina anatomía nº 11: Sistema Venoso</t>
  </si>
  <si>
    <t>Lámina anatomía nº 12: Excretor</t>
  </si>
  <si>
    <t>Lámina anatomía nº 13: Riñón</t>
  </si>
  <si>
    <t>Lámina anatomía nº 14: Ojo</t>
  </si>
  <si>
    <t>Lámina anatomía nº 15: Oído y olfato</t>
  </si>
  <si>
    <t>Lámina anatomía nº 19: Sistema neurovegetativo</t>
  </si>
  <si>
    <t>Moldura inferior partida</t>
  </si>
  <si>
    <t>Restaurar pegado</t>
  </si>
  <si>
    <t>Lámina despegada parte inferior</t>
  </si>
  <si>
    <t>Restaurar claveteado</t>
  </si>
  <si>
    <t>Material Oficina</t>
  </si>
  <si>
    <t>Retaurado JLR-CB: limpoieza, claveteado telas, barnuzado, tornillería…</t>
  </si>
  <si>
    <t>Deteriorado parte superior</t>
  </si>
  <si>
    <t>Restaurado JLR-CB: pegado fragmentos</t>
  </si>
  <si>
    <t>Estereo, caja madera y cubierta plástico, dispensador de discos, regulador de revoluciones 33, 45 y 78</t>
  </si>
  <si>
    <t xml:space="preserve"> Òptimo. Falta cable red y altavoces</t>
  </si>
  <si>
    <t>Restaurado JLR-CB oct/2017: limpieza intensiva</t>
  </si>
  <si>
    <t>Sala 3, pared</t>
  </si>
  <si>
    <t>objetivo 80 mm, dos interruptores: luz y ventilación</t>
  </si>
  <si>
    <t>Lámpara rota</t>
  </si>
  <si>
    <t>Pástico color verde, en maletín plástico</t>
  </si>
  <si>
    <t>Máquina de escribir Olivetti mod. Studio 45</t>
  </si>
  <si>
    <t>Máquina de escribir Hispano Olivetti mol. Lexicon 80</t>
  </si>
  <si>
    <t>Metálica, esmaltada en gris, sin estuche</t>
  </si>
  <si>
    <t>Máquina de escribir Olivetti mod. Lettera 42</t>
  </si>
  <si>
    <t>Plástico, gris claro, con estuche de plástico gris oscuro</t>
  </si>
  <si>
    <t>Dpto. Biología y Geología</t>
  </si>
  <si>
    <t>JLR-CB: Se incorporan alicates envejecidos, parecidos a los originales</t>
  </si>
  <si>
    <t>Nuevo</t>
  </si>
  <si>
    <t>Acero inoxidable</t>
  </si>
  <si>
    <t>Alumninio, con semicículo troquelado</t>
  </si>
  <si>
    <t>Alumninio, con fiel troquelado</t>
  </si>
  <si>
    <t xml:space="preserve">Pinzas de turmalina ("polariscopio de turmalinas") </t>
  </si>
  <si>
    <t xml:space="preserve">Pinzas de turmalina ("polaríscopo de turmalinas") </t>
  </si>
  <si>
    <t>último tercio del s. XX</t>
  </si>
  <si>
    <t>último tercio del s. XIX</t>
  </si>
  <si>
    <t>Numerador Automático marca "El Castro", mod. 500</t>
  </si>
  <si>
    <t>Restaurado JLR-B 2015-2016</t>
  </si>
  <si>
    <t>Restaurado 11/2017 JLR-CB</t>
  </si>
  <si>
    <t>Disecado, 15 cm longitud, sobre madrea rectangukar blanca con peana</t>
  </si>
  <si>
    <t>Retaurado 11/2017 JLRCB</t>
  </si>
  <si>
    <t>Intervenido (limpieza intensa y abrillantado) 6/2015 JLRCB</t>
  </si>
  <si>
    <t>Macla de dos piritoedros (cruz de hierro)</t>
  </si>
  <si>
    <t>Caja expositor madera</t>
  </si>
  <si>
    <t>Miguel Cambil Cabrera</t>
  </si>
  <si>
    <t>Montura plástico blanco, con estuche plástico rojo</t>
  </si>
  <si>
    <t>Lupa de mano x10</t>
  </si>
  <si>
    <t>Estuche clasificador para láminas delgadas</t>
  </si>
  <si>
    <t>Láminas delgadas "Minerales, rocas y fósiles"</t>
  </si>
  <si>
    <t>Jeringa de vidrio, 3 ml,</t>
  </si>
  <si>
    <t xml:space="preserve">Soporte universal de metal, </t>
  </si>
  <si>
    <t>40 cm altura, base 10x19, un lateral redondo, marca J. Giralt Laporta, Barcelona</t>
  </si>
  <si>
    <t xml:space="preserve">Soporte universal de madera, </t>
  </si>
  <si>
    <t>50 cm altura</t>
  </si>
  <si>
    <t>pentagonal pintada en martelé gris, con tornillo de ajuste y varilla cromada de 25 cm</t>
  </si>
  <si>
    <t>con mango de madera y porcelana</t>
  </si>
  <si>
    <t xml:space="preserve">Pipeta 25 ml, </t>
  </si>
  <si>
    <t>aforada, sin marca</t>
  </si>
  <si>
    <t>48x31x1</t>
  </si>
  <si>
    <t>con asas festoneadas, para transpote de muestras y material, 46x43, barnizada</t>
  </si>
  <si>
    <t>48x28, chapada en raiz y con asas metálicas brunce</t>
  </si>
  <si>
    <t>15 estuches con "rompecabezas" de piezas metálicas, en caja 30x20x8</t>
  </si>
  <si>
    <t>Ed. Labor S.A., Biblioteca de Iniciación Cultural</t>
  </si>
  <si>
    <t>Sin cabeza En proceso de restauración</t>
  </si>
  <si>
    <t>Le falta la extremidad inferior dcha.</t>
  </si>
  <si>
    <t>Compendio de la Flora Española: Botánica descriptiva</t>
  </si>
  <si>
    <t>Restaurada por JLR-CB</t>
  </si>
  <si>
    <t>Restaurado por JLR-CB. Elaboración de una cubierta de vidrio.</t>
  </si>
  <si>
    <t>Restauradas por JLR-CB</t>
  </si>
  <si>
    <t>Mapero de madera con soporte vertical,</t>
  </si>
  <si>
    <t>Restaurada</t>
  </si>
  <si>
    <t>CARTELAS HISTÓRICAS PALEONTOLOGÍA</t>
  </si>
  <si>
    <t>ETIQUETAS HIST. PROVEEDOR PALEONTOLOGÍA: LOUIS SAEMANN</t>
  </si>
  <si>
    <t>CARTELAS HISTÓRICAS MOLUSCOS</t>
  </si>
  <si>
    <t>ETIQUETAS HIST. MOLUSCOS, CÁTEDRA/GABINETE</t>
  </si>
  <si>
    <t>sin abrir</t>
  </si>
  <si>
    <t xml:space="preserve">Mueble clasificador de diapositivas con negatoscopio </t>
  </si>
  <si>
    <t>en estratificado tipo formica-railite,  Seminario Francés.</t>
  </si>
  <si>
    <t xml:space="preserve">1800, 220 v, 150 w, nº serie …, </t>
  </si>
  <si>
    <t>objetivo anastigmático, 125 v, 300 w,portadiapositivas giratorio; caja metálica y asa transporte</t>
  </si>
  <si>
    <t>objetivo anastigmático, 127 v, portadiapositivas giratorio de dos unidades; caja metálica y asa transporte</t>
  </si>
  <si>
    <t>EEUU, 150 w, asa transporte, obj. 6, 2 mandos (falta uno), mando trasero para elevar, nº serie 71908, SM3</t>
  </si>
  <si>
    <t>5mm, monoperforada, marca Technicolor ltd. London.</t>
  </si>
  <si>
    <t xml:space="preserve">mod. 7500 MV, nº serie 105123, </t>
  </si>
  <si>
    <t>Pantalla de proyección gran tamaño, Geografía Historia</t>
  </si>
  <si>
    <t>(sin cables y embellecedor mandos perdido) MEC 1978</t>
  </si>
  <si>
    <t>nº serie E19833 CEJA 1/92/3</t>
  </si>
  <si>
    <t>doble pletina</t>
  </si>
  <si>
    <t>Altavoz madera</t>
  </si>
  <si>
    <t>Trípode metálico, lacado gris, con asa cromada, 2,5 m de ancho</t>
  </si>
  <si>
    <t>anchura: 1 m; sin trípode, solo colgar</t>
  </si>
  <si>
    <t>Trípode metálico, lacado gris, con asa cromada, 2 m de ancho</t>
  </si>
  <si>
    <t>Pendiente resturación</t>
  </si>
  <si>
    <t>SÓLIDOS CRISTALOGRÁFICOS EN CARTULINA</t>
  </si>
  <si>
    <t>cartón verde</t>
  </si>
  <si>
    <t>Folleto catálogo</t>
  </si>
  <si>
    <t>1 pág., plastificado</t>
  </si>
  <si>
    <t>Vitrina 2,1</t>
  </si>
  <si>
    <t>Mesa expositor libros</t>
  </si>
  <si>
    <t>aula dibujo</t>
  </si>
  <si>
    <t>Sala 3 Y FQ</t>
  </si>
  <si>
    <t xml:space="preserve">Litografía Cát. Agricultura: Tableau d’apiculture ( mouches á miel ) </t>
  </si>
  <si>
    <t xml:space="preserve">Enciclopedia Bouasse Lebel. Edit. Maison: </t>
  </si>
  <si>
    <t xml:space="preserve">Litografía Cát. Agricultura: Tableau d’agriculture et d’instruments aratoires” </t>
  </si>
  <si>
    <t>Litografía Cát. Agricultura: Tableau de tous les vignobles</t>
  </si>
  <si>
    <t xml:space="preserve">Litografía Cát. Agricultura  Tableau de la greffe et de la taille des arbres fruitiers” </t>
  </si>
  <si>
    <t xml:space="preserve">Litografía Cát. Agricultura : Destruction des animaux et des insectes nuisibles” </t>
  </si>
  <si>
    <t>Mapa de España, Portugal, sur de Francia y Norte de Marruecos</t>
  </si>
  <si>
    <t>Mapa sismotectónico de España Peninsular y Baleares</t>
  </si>
  <si>
    <t>Geológical Time Table, 3ª edición</t>
  </si>
  <si>
    <t>Abundantes arrugas, descolorido</t>
  </si>
  <si>
    <t>Corte superior reparado</t>
  </si>
  <si>
    <t xml:space="preserve">Mapa  Justus Perthes Darmstadt: Imperio Romano </t>
  </si>
  <si>
    <t xml:space="preserve">Mapa Justus Perthes Darmstadt: Político Europa 1918-1932 </t>
  </si>
  <si>
    <t xml:space="preserve">Mapa Justus Perthes Darmstadt: Imperio Alejandro Magno </t>
  </si>
  <si>
    <t xml:space="preserve">Mapa  Justus Perthes Darmstadt: Imperio griego </t>
  </si>
  <si>
    <t>Papel de examen del "Instituto Nacional Padre Suárez"</t>
  </si>
  <si>
    <t>Con encabezamiento para datos personales y margen a la izda.</t>
  </si>
  <si>
    <t>125-220 v, lámpoara 24 v y 150 w, objetivo Enosar anastigmático 1:35, 100 mm, con interruptor, piloto y cable conexión</t>
  </si>
  <si>
    <t>Funciona el ventilador (ruidoso), poero no la lámpara</t>
  </si>
  <si>
    <t>montura para diapositivas en carrete</t>
  </si>
  <si>
    <t>Vitrina embriología</t>
  </si>
  <si>
    <t>Vitrina grande</t>
  </si>
  <si>
    <t>Vitrina Embriología</t>
  </si>
  <si>
    <t xml:space="preserve">Dentífrico perborato ("polvo de oxígeno") </t>
  </si>
  <si>
    <t>Diseñado y elaborado por JLR-CB en oct-16</t>
  </si>
  <si>
    <t>…</t>
  </si>
  <si>
    <t>Disecado, 35 cm longitud, sobre madera rectangular blanca con peana</t>
  </si>
  <si>
    <t>EMBRIOLOGÍA - OVOLOGÍA</t>
  </si>
  <si>
    <t>VARIOS</t>
  </si>
  <si>
    <t>Embriología</t>
  </si>
  <si>
    <t>Feb-2018: se ubican en frascos homogéneos, quitando tubo de ensayo, y poniendo cartelas nuevas (las antiguas se mantienen al dorso)</t>
  </si>
  <si>
    <t>Pollo</t>
  </si>
  <si>
    <t>El ejemplar de 12 días, presenta la extremidad delantera derecha suelta (está en el recipiente original) Anteriormente había inventariados, erróneamente, 8+1 ejemplar</t>
  </si>
  <si>
    <t>Feb-2018: se ubican en tubo de ensayo, igual que el resto de los ejemplares</t>
  </si>
  <si>
    <t>25 cm</t>
  </si>
  <si>
    <t>10 cm</t>
  </si>
  <si>
    <t>Mediteráneo</t>
  </si>
  <si>
    <t>35 cm</t>
  </si>
  <si>
    <t>Disecada</t>
  </si>
  <si>
    <t>Etmopterus spinax</t>
  </si>
  <si>
    <t>Tiburón negrito</t>
  </si>
  <si>
    <t>Tembladera</t>
  </si>
  <si>
    <t>Crisol porcelana</t>
  </si>
  <si>
    <t>grande</t>
  </si>
  <si>
    <t>pequeño</t>
  </si>
  <si>
    <t>Tapas crisol porcelana</t>
  </si>
  <si>
    <t xml:space="preserve">Probeta 100 ml, sin marca </t>
  </si>
  <si>
    <t xml:space="preserve">Matraz tipo Erlenmeyer </t>
  </si>
  <si>
    <t>150 cc, marca 5005</t>
  </si>
  <si>
    <t>100 cc, marca Brebeté SGD</t>
  </si>
  <si>
    <t>Matraz tipo Erlenmeyer</t>
  </si>
  <si>
    <t>feb.-18</t>
  </si>
  <si>
    <t>25 cc, sin marca, vidrio soplado, con burbujas</t>
  </si>
  <si>
    <t>Embudo de vidrio, pequeño</t>
  </si>
  <si>
    <t>Bitrina 8.3</t>
  </si>
  <si>
    <t xml:space="preserve">Embudo de vidrio, grande </t>
  </si>
  <si>
    <t>fabricado a mano</t>
  </si>
  <si>
    <t>con estrías internas para filtrado</t>
  </si>
  <si>
    <t>Frasco gotero de vidrio topacio, para colorantes</t>
  </si>
  <si>
    <t>Frasco gotero de vidrio incoloro, para colorantes</t>
  </si>
  <si>
    <t>Material Laboaratorio</t>
  </si>
  <si>
    <t>Acipenser naccarii (huevos fecundados sin enclosionar)</t>
  </si>
  <si>
    <t>Acipenser naccarii (8-9 días de la fecundación)</t>
  </si>
  <si>
    <t>Acipenser naccarii (36 días de la fecundación)</t>
  </si>
  <si>
    <t>Acipenser naccarii (39 días de la fecundación)</t>
  </si>
  <si>
    <t>Acipenser naccarii (55 días)</t>
  </si>
  <si>
    <t>Acipenser naccarii (cuatro meses)</t>
  </si>
  <si>
    <t>Acipenser sturio</t>
  </si>
  <si>
    <t>Esturión del Adriático</t>
  </si>
  <si>
    <t>Esturión del Atlántico</t>
  </si>
  <si>
    <t>muy deteriorado, parte del hombre clástico</t>
  </si>
  <si>
    <t>Modelos anatómicos</t>
  </si>
  <si>
    <t>Solo hemisferio izquierdo</t>
  </si>
  <si>
    <t>Carinotetraodon travancoricus</t>
  </si>
  <si>
    <t>Disecado, 8 cm, ojos plástico</t>
  </si>
  <si>
    <t>Pez globo enano ocelado</t>
  </si>
  <si>
    <t>Ríos Asia</t>
  </si>
  <si>
    <t>Disecado, ojos plástico; Sobre peana de metacrilato.</t>
  </si>
  <si>
    <t>Hyla meridionalis</t>
  </si>
  <si>
    <t>Ranita meridional</t>
  </si>
  <si>
    <t>Microtomo manual cilíndrico de Ranvier</t>
  </si>
  <si>
    <t>en acero niquelado, tornillo de ab¡vance no micrométrivo, sin marca</t>
  </si>
  <si>
    <t xml:space="preserve"> en acero esmaltado en verde y aluminio; con platina de vidrio, tornillo micrométrico con precisión de avance de 5 micras, soporte de muestras hasta 15 mm ø. (cuchilla=navaja histológica) </t>
  </si>
  <si>
    <t>Navajas histológicas</t>
  </si>
  <si>
    <t xml:space="preserve">Mango de plástico blanco y hoja de acero inoxidable. Hoja plana por uno de sus lados. </t>
  </si>
  <si>
    <t>En alcohol</t>
  </si>
  <si>
    <t>Tartracina</t>
  </si>
  <si>
    <t xml:space="preserve">Cochinilla </t>
  </si>
  <si>
    <t>Safranina</t>
  </si>
  <si>
    <t>Vitrinia 8.3</t>
  </si>
  <si>
    <t>4-2016: se le ponen ruedas a la peana JLR-CB</t>
  </si>
  <si>
    <t>3-2015: limpieza JLR-CB</t>
  </si>
  <si>
    <t>Faltan bastantes piezas dentales, solo tiene 9 enteras y 9 partidas/raigones</t>
  </si>
  <si>
    <t>Faltan 2 molares sup. Dcho, y un incisivo sup. Izdo.; roto parietal dcho.</t>
  </si>
  <si>
    <t>falta un parietal.</t>
  </si>
  <si>
    <t>sin mándíbula inferior ni dientes</t>
  </si>
  <si>
    <t>Falta canino superior dcho.</t>
  </si>
  <si>
    <t xml:space="preserve"> A una extremidad le falta el fémur</t>
  </si>
  <si>
    <t>Faltan todos los incisivos inferiores</t>
  </si>
  <si>
    <t>muy deteriorada, parte del hombre clástico</t>
  </si>
  <si>
    <t>Sólo hemisferio derecho, parte suoerior del izquierdo, y parte superior del cráneo</t>
  </si>
  <si>
    <t>Restaurado 6-2017: cordel retén por JLR-CB</t>
  </si>
  <si>
    <t>En frasco de vidro soplado con cartela del "Instituto Provincial"</t>
  </si>
  <si>
    <t>en botellita de vidrio y tapón de corche, de la Farmacia del Dr.Vicaray, Granada, 1er tercio s XX (en felieve en el vidrio)</t>
  </si>
  <si>
    <t>Glicerina 28º</t>
  </si>
  <si>
    <t>Probys o Probus, Badalona mitad s XX,  vidrio topacio.</t>
  </si>
  <si>
    <t>Azul de Eosina según Giemsa</t>
  </si>
  <si>
    <t>con tapón de vidrio esmerilado acanalado</t>
  </si>
  <si>
    <t>perilla de goma cristalizada</t>
  </si>
  <si>
    <t>Básamo de Canadá</t>
  </si>
  <si>
    <t>En recipiente de vidrio topacio, marca Probus, Badalona, mitad s XX</t>
  </si>
  <si>
    <t>PREPARACIONES MICROSCÓPICAS de BIOLOGÍA Y GEOLOGÍA</t>
  </si>
  <si>
    <t>Incompleto</t>
  </si>
  <si>
    <t>Accionable mecanismo rotación.</t>
  </si>
  <si>
    <t>Falta la aliada; retén aguja roto</t>
  </si>
  <si>
    <t>Diseñana por JLR-CB</t>
  </si>
  <si>
    <t>Craquelado y escamado el exterior. Fracturada cola.</t>
  </si>
  <si>
    <t>Vitrina 6.3</t>
  </si>
  <si>
    <t>Lacerta hispanica</t>
  </si>
  <si>
    <t>Limpiada y reubicada en feb-18 por JLR-CB</t>
  </si>
  <si>
    <t>Lagartija ibérica</t>
  </si>
  <si>
    <t>REPTILES:</t>
  </si>
  <si>
    <t>ANFIBIOS:</t>
  </si>
  <si>
    <t xml:space="preserve">Fulica cristata + polluelo </t>
  </si>
  <si>
    <t>Enmarcado. Diseñado en 1919  por D. Fernando Wilhelmi Mazano, arquitecto y miembro de la Academia de Bellas Artes de San Fernando ¿firmado?</t>
  </si>
  <si>
    <t>Pediente restauración.</t>
  </si>
  <si>
    <t>Armado=armao</t>
  </si>
  <si>
    <t>Pequeño</t>
  </si>
  <si>
    <t>Grande</t>
  </si>
  <si>
    <t xml:space="preserve">Peristedion (=Trigla) cataphractum      </t>
  </si>
  <si>
    <t>Peristedión (=Trigla) cataphracta</t>
  </si>
  <si>
    <t>Medianos, en el mismo recipiente que el grande</t>
  </si>
  <si>
    <t>Gran formato</t>
  </si>
  <si>
    <t>Lab. BG. 3 cajones, puerta, proy. Diapositivas, retroproyector, pantalla proyección,1967 aprox.</t>
  </si>
  <si>
    <t>Solo hay 2 huesos, martillo y yunque; falta el estribo</t>
  </si>
  <si>
    <t>Le faltan las 10 extremidades</t>
  </si>
  <si>
    <t>Sobre peana de madera elaborada por JLR-CB</t>
  </si>
  <si>
    <t>Le faltan 2 extremidades</t>
  </si>
  <si>
    <t>Ejemplar en alcohol</t>
  </si>
  <si>
    <t xml:space="preserve">Regla de madera </t>
  </si>
  <si>
    <t>Teñida en amarillo, 20 cm, doble lectura, con tetón de agarre</t>
  </si>
  <si>
    <t>Eléctrico, dígitos cortinilla, marca Solari y c. Udine, Italia</t>
  </si>
  <si>
    <t>Lophius piscatorius</t>
  </si>
  <si>
    <t>19-2-18: JLR-CB: Cambiado de recipiente: frasco de vidrio esmerilado a juego con el resto de los expuesto</t>
  </si>
  <si>
    <t>Blennius ocellaris</t>
  </si>
  <si>
    <t>Torillo o mocoso</t>
  </si>
  <si>
    <t>Huevo de Gallus gallus domesticus</t>
  </si>
  <si>
    <t>Cria de Gallus gallus domésticus</t>
  </si>
  <si>
    <t>Restaurado en feb-2018 por JLR-CB</t>
  </si>
  <si>
    <t>Félix Urrutia Bedmar</t>
  </si>
  <si>
    <t>Elaborado por JL-RCB, mar-2015</t>
  </si>
  <si>
    <t>Elaborado por JLR-CB jun-15</t>
  </si>
  <si>
    <t>Elaborado por JLR-CB en feb-18</t>
  </si>
  <si>
    <t>En madera de pino de comienzos del s XX y varillas metálicas latonadas</t>
  </si>
  <si>
    <t>Bandeja soporte para embriones y ejemplar de Acipenser</t>
  </si>
  <si>
    <t>Elaborado por JLR-CB en mar-18</t>
  </si>
  <si>
    <t>Cambiado a un recimie nto acorde a su tamaño en feb-18</t>
  </si>
  <si>
    <t>Fernández Plata</t>
  </si>
  <si>
    <r>
      <t>Següenciceras sp.</t>
    </r>
    <r>
      <rPr>
        <b/>
        <sz val="12"/>
        <color indexed="12"/>
        <rFont val="Arial"/>
        <family val="2"/>
      </rPr>
      <t xml:space="preserve">      </t>
    </r>
  </si>
  <si>
    <r>
      <t>Hamites elegans</t>
    </r>
    <r>
      <rPr>
        <b/>
        <sz val="12"/>
        <color indexed="12"/>
        <rFont val="Arial"/>
        <family val="2"/>
      </rPr>
      <t xml:space="preserve">      </t>
    </r>
  </si>
  <si>
    <r>
      <t xml:space="preserve">Euaspidoceras sp.    </t>
    </r>
    <r>
      <rPr>
        <b/>
        <sz val="12"/>
        <color indexed="12"/>
        <rFont val="Arial"/>
        <family val="2"/>
      </rPr>
      <t xml:space="preserve">  </t>
    </r>
  </si>
  <si>
    <r>
      <t xml:space="preserve">Aligaticeras sp.    </t>
    </r>
    <r>
      <rPr>
        <b/>
        <sz val="12"/>
        <color indexed="12"/>
        <rFont val="Arial"/>
        <family val="2"/>
      </rPr>
      <t xml:space="preserve">  </t>
    </r>
  </si>
  <si>
    <r>
      <t xml:space="preserve">Lythoceras sp.     </t>
    </r>
    <r>
      <rPr>
        <b/>
        <sz val="12"/>
        <color indexed="12"/>
        <rFont val="Arial"/>
        <family val="2"/>
      </rPr>
      <t xml:space="preserve"> </t>
    </r>
  </si>
  <si>
    <r>
      <t>Pelecyora gigas</t>
    </r>
    <r>
      <rPr>
        <b/>
        <sz val="12"/>
        <color indexed="12"/>
        <rFont val="Arial"/>
        <family val="2"/>
      </rPr>
      <t xml:space="preserve">      </t>
    </r>
  </si>
  <si>
    <t>CATALOGADOR</t>
  </si>
  <si>
    <t>SALA</t>
  </si>
  <si>
    <t>FORMA DE INGRESO</t>
  </si>
  <si>
    <t>Desconocido</t>
  </si>
  <si>
    <t>SALA IV: MINE y PETRO</t>
  </si>
  <si>
    <t>ALMACÉN</t>
  </si>
  <si>
    <t>LAB. BIO-GEO</t>
  </si>
  <si>
    <t>SALA I: AC y PALE.</t>
  </si>
  <si>
    <t>SALA III: AUDIOVISUAL.</t>
  </si>
  <si>
    <t>SALA II: BIODIVERS.</t>
  </si>
  <si>
    <t>Pendientes restauración</t>
  </si>
  <si>
    <t xml:space="preserve">Pared </t>
  </si>
  <si>
    <t>Pared entrada 3</t>
  </si>
  <si>
    <t>Pared entrada2</t>
  </si>
  <si>
    <t>Nº 105.- Sistema Monoclínico: dos prismas y tres pinacoides</t>
  </si>
  <si>
    <t>Nº 37.- Sistema cúbico: cubo y tetraedro ( domina el cubo )</t>
  </si>
  <si>
    <t>Macla de la augita</t>
  </si>
  <si>
    <t>Macla cíclica cruciforme de la cerusita (Ortorrómbico)</t>
  </si>
  <si>
    <t>Pendiente clasificación</t>
  </si>
  <si>
    <t>Modelo cristalográfico en cristal de Bohemia</t>
  </si>
  <si>
    <t>Gradilla de madera portatubos</t>
  </si>
  <si>
    <t>15 cm, fila doble, 12 unidades,</t>
  </si>
  <si>
    <t>Juan Cobo del Valle</t>
  </si>
  <si>
    <t xml:space="preserve">Butirómetros de leche </t>
  </si>
  <si>
    <t>Antes inventariados como densímetros por LCS</t>
  </si>
  <si>
    <t>Pared</t>
  </si>
  <si>
    <t>Botánica</t>
  </si>
  <si>
    <t xml:space="preserve">Óptimo: Abundantes manchas de óxido en el interior;  le faltaba la correa para colgar al hombro </t>
  </si>
  <si>
    <t>Restaurada 3-2018: se le añade una correa de cuero antigua</t>
  </si>
  <si>
    <t>Vitrina 2-1</t>
  </si>
  <si>
    <t>Microspopía</t>
  </si>
  <si>
    <t>Restaurada-pegadas solapas caja JLR-CB</t>
  </si>
  <si>
    <t>Estuches de disección</t>
  </si>
  <si>
    <t>Para frotis de sangre: 10 cm de longitud, cuchilla punzante, boquilla regulable, botón retenedor</t>
  </si>
  <si>
    <t xml:space="preserve">Lophius piscatorius   </t>
  </si>
  <si>
    <t>MAMÍFEROS</t>
  </si>
  <si>
    <t>Madera de haya, gran formato, sin numeración</t>
  </si>
  <si>
    <t>SÓLIDOS CRISTALOGRÁFICOS EN PINO ROJO, ARTESANALES</t>
  </si>
  <si>
    <t>Madera de haya prensada, numerados</t>
  </si>
  <si>
    <t xml:space="preserve">Soportes minerales </t>
  </si>
  <si>
    <t>madera haya 8 x 6 x 2 con alambre</t>
  </si>
  <si>
    <t>madera haya 5,5 x3,56 x 2 con alambre</t>
  </si>
  <si>
    <t xml:space="preserve">Soporte plateado circular </t>
  </si>
  <si>
    <t>con vástago de latón (para fluorita verde)</t>
  </si>
  <si>
    <t xml:space="preserve">Soporte metacrilato </t>
  </si>
  <si>
    <t>40 x 10 x 5, para yesos</t>
  </si>
  <si>
    <t>INTERVENCIÓN CURATIVA</t>
  </si>
  <si>
    <t>INTERVENCIÓN RESTAURADORA</t>
  </si>
  <si>
    <t>ESTADO CONSERVACIÓN</t>
  </si>
  <si>
    <t>ESTADO</t>
  </si>
  <si>
    <t>Excelente</t>
  </si>
  <si>
    <t>Nº 74.- Sistema Triclínico: seis pinacoides</t>
  </si>
  <si>
    <t>pendiente clasificación.</t>
  </si>
  <si>
    <r>
      <t>“</t>
    </r>
    <r>
      <rPr>
        <i/>
        <sz val="12"/>
        <rFont val="Arial"/>
        <family val="2"/>
      </rPr>
      <t>Granito común gris“</t>
    </r>
  </si>
  <si>
    <t>Testigo de sondeo. Fracturado en 3 trozos</t>
  </si>
  <si>
    <t>6906/81</t>
  </si>
  <si>
    <t>Envejecido por JLR-CB</t>
  </si>
  <si>
    <t>Tintura de yodo</t>
  </si>
  <si>
    <t>25 ml, en frasco de vidrio ámbar y cajita cartón; Lab. Pérez Jiménez - Calmante Vitaminado - Córdoba</t>
  </si>
  <si>
    <t>INTERVENCIÓN REPARADORA</t>
  </si>
  <si>
    <t>Adquisición/compra</t>
  </si>
  <si>
    <t>Castellón Serrano, Luis</t>
  </si>
  <si>
    <t>Rguez.-Campra Berbel, José Luis</t>
  </si>
  <si>
    <t>Durán, Luis Alberto</t>
  </si>
  <si>
    <t>Cobo, Manuel</t>
  </si>
  <si>
    <t>López Galindo, Alberto</t>
  </si>
  <si>
    <t>Sáez, Alfredo</t>
  </si>
  <si>
    <t>Asociación Amigos</t>
  </si>
  <si>
    <t>Montoro, Joaquín</t>
  </si>
  <si>
    <t>Sánchez Prieto, José</t>
  </si>
  <si>
    <t>Garrote, Ángel</t>
  </si>
  <si>
    <t>Gómez Hernández, Alberto</t>
  </si>
  <si>
    <t>Marchant, Isabel</t>
  </si>
  <si>
    <t>Fernández Périz, Miguel Ángel</t>
  </si>
  <si>
    <t>Valenzuela López,</t>
  </si>
  <si>
    <t>Hernández Colorado, Mariano</t>
  </si>
  <si>
    <t>Benavente, Carlos</t>
  </si>
  <si>
    <t xml:space="preserve">Fernández Plata, </t>
  </si>
  <si>
    <t>Delegación Provincial de Medio Ambiente</t>
  </si>
  <si>
    <t>Urrutia Bedmar, Félix</t>
  </si>
  <si>
    <t>Soria, Manuel</t>
  </si>
  <si>
    <t>Cambil Cabrera, Miguel</t>
  </si>
  <si>
    <t>Cobo del Valle, Juan</t>
  </si>
  <si>
    <t>Durán, Luis Ignacio</t>
  </si>
  <si>
    <t>Elaboración propia</t>
  </si>
  <si>
    <t>DONANTE/DEPOSITANTE/ELABORADOR</t>
  </si>
  <si>
    <t>Foilas</t>
  </si>
  <si>
    <t>Wilhelmi, Berta y Gustavo (bisnietos de D. Fernando Wilhelmi)</t>
  </si>
  <si>
    <t>IES Hermenegildo Lanz</t>
  </si>
  <si>
    <t>LAB. BIO-GEO: Almacén</t>
  </si>
  <si>
    <t>LAB FIS-QUIM: Almacén</t>
  </si>
  <si>
    <t>Observaciones Estado</t>
  </si>
  <si>
    <t>Muy fracturada, le faltan fragmentos</t>
  </si>
  <si>
    <t>a excepción de 8 que se encuentran deformados</t>
  </si>
  <si>
    <t>Cola fracturada</t>
  </si>
  <si>
    <t xml:space="preserve"> falta plumaje</t>
  </si>
  <si>
    <t>Embriones seriados de Gallus gallus domesticus</t>
  </si>
  <si>
    <t>En alcohol. Días nº: 7, 8, 9, 10, 12 (cíclope), 14 (deforme), 15 y 16</t>
  </si>
  <si>
    <t>Mayor visibilidad</t>
  </si>
  <si>
    <t>Cambio de sala/vitrina</t>
  </si>
  <si>
    <t>Mejora peana/soporte</t>
  </si>
  <si>
    <t>Incorporación peana/soporte</t>
  </si>
  <si>
    <t>SALA I: Ost. Y Paleo.</t>
  </si>
  <si>
    <t>SALA II: Biodiversidad</t>
  </si>
  <si>
    <t>SALA III: Audivisuales</t>
  </si>
  <si>
    <t>SALA IV: Minel. y petro.</t>
  </si>
  <si>
    <t>SALA V: Cámara oscuro</t>
  </si>
  <si>
    <t>SALA VI: Auzoux</t>
  </si>
  <si>
    <t>SALA VII: Física/Química</t>
  </si>
  <si>
    <t>ALMACÉN Museo</t>
  </si>
  <si>
    <t>INTERVENCIÓN MUSEÍSTICA</t>
  </si>
  <si>
    <t>Pendiente intervención</t>
  </si>
  <si>
    <t>Cambio alcohol</t>
  </si>
  <si>
    <t>Aceiteado / lubrificado</t>
  </si>
  <si>
    <t>Pulido</t>
  </si>
  <si>
    <t>Atusado pelos/plumas</t>
  </si>
  <si>
    <t>Reempapetado</t>
  </si>
  <si>
    <t>Reentelado</t>
  </si>
  <si>
    <t>Incorporación cartela</t>
  </si>
  <si>
    <t>Desinfectación / desinsectación</t>
  </si>
  <si>
    <t>Consolidación elementos</t>
  </si>
  <si>
    <t>Eliminación corrosiones</t>
  </si>
  <si>
    <t>Limpieza química</t>
  </si>
  <si>
    <t>Barnizado</t>
  </si>
  <si>
    <t>Fijado y pegado elementos</t>
  </si>
  <si>
    <t>Corrección deformaciones</t>
  </si>
  <si>
    <t>Reintegración partes dañadas</t>
  </si>
  <si>
    <t>Reposición/reparación plumaje</t>
  </si>
  <si>
    <t>Reposición/reparación piel y cuero</t>
  </si>
  <si>
    <t>Reposición vidrio</t>
  </si>
  <si>
    <t>Reposición pìezas varias</t>
  </si>
  <si>
    <t>Repintado: integración mecánica</t>
  </si>
  <si>
    <t>Reparación eléctrica</t>
  </si>
  <si>
    <t>Reparación madera</t>
  </si>
  <si>
    <t>Reparación plásticos</t>
  </si>
  <si>
    <t>Reparación cordajes</t>
  </si>
  <si>
    <t>Reparación mecánica</t>
  </si>
  <si>
    <t>DATACIÓN</t>
  </si>
  <si>
    <t>Antes de...</t>
  </si>
  <si>
    <t>Después de …</t>
  </si>
  <si>
    <t>En …</t>
  </si>
  <si>
    <t>Entre …</t>
  </si>
  <si>
    <t>Piscifactoría Srra. Nevada, Rio Frío</t>
  </si>
  <si>
    <t>Último tercio del s. XIX: 1873/1899</t>
  </si>
  <si>
    <t>Principio s.XX: 1901/1915</t>
  </si>
  <si>
    <t>Final s.XIX: 1886/1900.</t>
  </si>
  <si>
    <t>Información dudosa: …?</t>
  </si>
  <si>
    <t>Platillos nuevos para balanza roverbal.</t>
  </si>
  <si>
    <t>Presupuestado por D. Fernando Wilhelmi y gestionada su aprobación por D. Natalio Rivas. adquirido en 1921. Lenteja de 19 kg, 25 cm diámetro, 5 cm espesor máximo, rueda escape 30 travesaños, tic-tac, 2 seg x travesaño, T= 1 seg.</t>
  </si>
  <si>
    <t xml:space="preserve">Colección de láminas delgadas "Rocas" </t>
  </si>
  <si>
    <t xml:space="preserve">Colección de test de diagnóstico psicológico, </t>
  </si>
  <si>
    <t>Sobre peana rectangular de madera</t>
  </si>
  <si>
    <t>Defensa de 87 cm</t>
  </si>
  <si>
    <t>FECHA I.C.</t>
  </si>
  <si>
    <t>FECHA I.R.</t>
  </si>
  <si>
    <t>FORMA INGRESO</t>
  </si>
  <si>
    <t>INVENTARIADO POR</t>
  </si>
  <si>
    <t>Regular: recuperable</t>
  </si>
  <si>
    <t>Malo: no recuperable</t>
  </si>
  <si>
    <t>Muy malo: ruinoso</t>
  </si>
  <si>
    <t>Bueno: satisfactorio</t>
  </si>
  <si>
    <t>Excelente: nuevo</t>
  </si>
  <si>
    <t>FUERA, EN PRÉSTAMO</t>
  </si>
  <si>
    <t>Desconocida/Indocumentada</t>
  </si>
  <si>
    <t>BAJA</t>
  </si>
  <si>
    <t>Pérdida</t>
  </si>
  <si>
    <t>Sustracción</t>
  </si>
  <si>
    <t>Destrucción</t>
  </si>
  <si>
    <t>Nº INVENTARIO GRAL.</t>
  </si>
  <si>
    <t>NUMERACIÓN CURRENS (variable de memoria con un contador)</t>
  </si>
  <si>
    <t>NUMERACIÓN POR EXPEDIENTE (expediente más variable memoria de un contador correlativo dentro de un expediente)</t>
  </si>
  <si>
    <t>P.e.: MCPS7245</t>
  </si>
  <si>
    <t>Los elementos de un objeto pueden ser: MCPS7245.1, MCPS7245.2, …</t>
  </si>
  <si>
    <t>CLASIFICACIÓN GENÉRICA</t>
  </si>
  <si>
    <r>
      <rPr>
        <b/>
        <sz val="10"/>
        <rFont val="Arial"/>
        <family val="2"/>
      </rPr>
      <t>TESAUROS:</t>
    </r>
    <r>
      <rPr>
        <sz val="10"/>
        <rFont val="Arial"/>
        <family val="2"/>
      </rPr>
      <t xml:space="preserve"> http://www.hipertexto.info/documentos/tesauros.htm</t>
    </r>
  </si>
  <si>
    <t>Nº ELEMENTOS/PARTES/COMPONENTES</t>
  </si>
  <si>
    <t>Otros nº ant.</t>
  </si>
  <si>
    <t>USO/FUNCIÓN</t>
  </si>
  <si>
    <t>Didáctico</t>
  </si>
  <si>
    <t>Investigación</t>
  </si>
  <si>
    <t>Consulta</t>
  </si>
  <si>
    <t>Ornamental</t>
  </si>
  <si>
    <t>Valoración</t>
  </si>
  <si>
    <t>INTERVENCIÓN CURATIVA o conservación preventiva</t>
  </si>
  <si>
    <t>Reconstrucción</t>
  </si>
  <si>
    <t>AUTOR INTERVENCIÓN</t>
  </si>
  <si>
    <t>Disecado 25 cm, junto al desarrollo embrionario Acipenser</t>
  </si>
  <si>
    <t>En anteriores inventarios se indica solo una freza</t>
  </si>
  <si>
    <t>Cordero</t>
  </si>
  <si>
    <t>Órganos separados, excepto el hígado. Se estima que el 50 por ciento nace muerto y el 35 por ciento muere el primer día de vida.</t>
  </si>
  <si>
    <t>Realmente son 2 los siameses negros: anatomía externa completa, unidas por el tórax, cara a cara.</t>
  </si>
  <si>
    <t>Gemelos siameses cefalópagos simétricos de Ovis aries</t>
  </si>
  <si>
    <t>Gemelos siameses toracópagos simétricos de Capra domestica</t>
  </si>
  <si>
    <t>Gemelos siameses isquiópagos simétricos de Ovis aries</t>
  </si>
  <si>
    <t xml:space="preserve">Planetario  </t>
  </si>
  <si>
    <t>Ducretet.</t>
  </si>
  <si>
    <t xml:space="preserve">Planetario – armilar toloméico,  </t>
  </si>
  <si>
    <t xml:space="preserve">Aparato de D'Henry Robert.  </t>
  </si>
  <si>
    <t>Aparato Kipp obtención gases</t>
  </si>
  <si>
    <t xml:space="preserve">Probeta 100 ml, </t>
  </si>
  <si>
    <t>marca PACISA</t>
  </si>
  <si>
    <t xml:space="preserve">Embudo de vidrio, mediano, </t>
  </si>
  <si>
    <t>marca BELGOR</t>
  </si>
  <si>
    <t xml:space="preserve">Autoclave </t>
  </si>
  <si>
    <t xml:space="preserve">M. SCHAERER A.G. </t>
  </si>
  <si>
    <t xml:space="preserve">Sacarosa 250 gr. </t>
  </si>
  <si>
    <t>Riser, Barcelona</t>
  </si>
  <si>
    <t xml:space="preserve">Glucosa anhidra 50 gr. </t>
  </si>
  <si>
    <t>Panreac</t>
  </si>
  <si>
    <t>2ª mitad s XX</t>
  </si>
  <si>
    <t>Sin referencias.</t>
  </si>
  <si>
    <t xml:space="preserve"> Sin referencias. </t>
  </si>
  <si>
    <t xml:space="preserve"> </t>
  </si>
  <si>
    <t>75 pts.</t>
  </si>
  <si>
    <t>Plegable, acero inoxidable</t>
  </si>
  <si>
    <t>Con ocular y limbo graduado giratorio</t>
  </si>
  <si>
    <t>2ª mitad s. XIX</t>
  </si>
  <si>
    <t>Montadas en corcho, accesorios pinzas de turmalina: turmalina perpendicular, mica, cuarzo, aragonito, espato de Islandia, …</t>
  </si>
  <si>
    <t xml:space="preserve">último tercio del s. XX: </t>
  </si>
  <si>
    <t>Maletín azul de cartón, con cierres metálicos, Con 16 test: 1-2-3-4-5-7-8-9-10-11-12-13-14-14-15; más caja de imprersos para pruebas</t>
  </si>
  <si>
    <t>Aprobados por la Jefatura Sup. de Policia en 1949</t>
  </si>
  <si>
    <t>Soc. Española de Pedagogía, Serrano 27, Madrid</t>
  </si>
  <si>
    <t xml:space="preserve">Obsequio suscriptores  </t>
  </si>
  <si>
    <t>primer tercio s XX</t>
  </si>
  <si>
    <t>Pestalozzi</t>
  </si>
  <si>
    <t>1890.</t>
  </si>
  <si>
    <t xml:space="preserve">El Turismo Práctico </t>
  </si>
  <si>
    <t>1910.</t>
  </si>
  <si>
    <t xml:space="preserve">Rellev </t>
  </si>
  <si>
    <t>Universidad de Edimburgo</t>
  </si>
  <si>
    <t xml:space="preserve">En dos estruches de cartón, con tapa; “ The Edimburgh stereoscopic atlas of anatomy” </t>
  </si>
  <si>
    <t>finales XIX</t>
  </si>
  <si>
    <t>Colección de estereoscopías de monumentos y paisajesde Salamanca</t>
  </si>
  <si>
    <t xml:space="preserve">Colección de estereoscopías de monumentos y paisajes de Alicante </t>
  </si>
  <si>
    <t xml:space="preserve">Colección de estereoscopías de monumentos y paisajes de Tarragona </t>
  </si>
  <si>
    <t>Colección de estereoscopías de monumentos de Barcelona</t>
  </si>
  <si>
    <t xml:space="preserve">Colección de estereoscopías de monumentos y paisajes de Gerona </t>
  </si>
  <si>
    <t>Colección de estereoscopías de monumentos y paisajes de Toledo</t>
  </si>
  <si>
    <t xml:space="preserve">Colección de estereoscopías de monumentos y paisajes de Mallorca </t>
  </si>
  <si>
    <t xml:space="preserve">Colección de estereoscopías de monumentos y paisajes de Granada </t>
  </si>
  <si>
    <t>Colección de estereoscopías de monumentos de París</t>
  </si>
  <si>
    <t xml:space="preserve">Colección de estereoscopías de monumentos y paisajes sin identificar </t>
  </si>
  <si>
    <t xml:space="preserve">Colección de estereoscopías de monumentos de Granada </t>
  </si>
  <si>
    <t>1910</t>
  </si>
  <si>
    <t xml:space="preserve">Frasco Colodión 250 gr. </t>
  </si>
  <si>
    <t xml:space="preserve">Reactivos "Riser" Barcelona, </t>
  </si>
  <si>
    <t>Colección de estereoscopías costumbristas de Tánger</t>
  </si>
  <si>
    <t>E. Mazo, Paris</t>
  </si>
  <si>
    <t>Estuche de madera para diapositivas</t>
  </si>
  <si>
    <t>Dos se encuentran partidos</t>
  </si>
  <si>
    <t>Uno se encuentra partido.</t>
  </si>
  <si>
    <t>de 26 a 42  numeradas, más créditos, F/Q en español, para mesa visuales</t>
  </si>
  <si>
    <t>Enosa; Publiestudio Schiedam /Holanda para Miniwatt</t>
  </si>
  <si>
    <t>de 25+créditos filminas, 1,4x1,9 cm, F/Q en inglés, para mesa visuales Enosa</t>
  </si>
  <si>
    <t xml:space="preserve">Maletines de plástico de 5 cajones, clasificadas por J.A. GALLEGOS </t>
  </si>
  <si>
    <t xml:space="preserve">Ed. Hiares, </t>
  </si>
  <si>
    <t xml:space="preserve">36 diapositivas plástico cada uno, más guía didáctica, 3 geología histórica, 2 petrología, 3 mineralogía, 2 geodinámica </t>
  </si>
  <si>
    <t>Colección 36 diapositivas plástico Geología</t>
  </si>
  <si>
    <t>Ed. Hiares,</t>
  </si>
  <si>
    <t>Enosa: Comisaría de Extensión Cultural</t>
  </si>
  <si>
    <t>Colección 37 diapositivas  Zoología</t>
  </si>
  <si>
    <t>Ed. Hiares</t>
  </si>
  <si>
    <t>Ed. Áncora Audiovisual</t>
  </si>
  <si>
    <t xml:space="preserve">Ed. La Muralla y Ed. Jover, </t>
  </si>
  <si>
    <t>ENOSA</t>
  </si>
  <si>
    <t>en acetato para retroproyector: Botánica- Reino Vegetal</t>
  </si>
  <si>
    <t>en acetato para retroproyector: Botánica- Flor y Fruto</t>
  </si>
  <si>
    <t>en acetato para retroproyector: Botánica- Plantas importantes</t>
  </si>
  <si>
    <t>en acetato para retroproyector: Botánica-</t>
  </si>
  <si>
    <t>en acetato para retroproyector: Cuerpo Humano II</t>
  </si>
  <si>
    <t xml:space="preserve">125-230 v, 230 w, nº serie 1779784, mando distacia a cables, </t>
  </si>
  <si>
    <t>125-230 v, 230 w, nº serie 1294753, mando distacia a cables</t>
  </si>
  <si>
    <t>Kodak</t>
  </si>
  <si>
    <t>Ed. Enciclopedia Bitánica Films &amp; U. Florida, Distribuidas por Ancora Audiovisual</t>
  </si>
  <si>
    <t xml:space="preserve">ENOSA </t>
  </si>
  <si>
    <t xml:space="preserve">Faltan 1 </t>
  </si>
  <si>
    <t xml:space="preserve"> 8,5x10 cm, para diapositivasde "Le jardin des plantes"</t>
  </si>
  <si>
    <t>marca Faro mod. 720</t>
  </si>
  <si>
    <t>Thomsom…</t>
  </si>
  <si>
    <t>COOMBER 2240/S/VS</t>
  </si>
  <si>
    <t xml:space="preserve">Reproductor casette </t>
  </si>
  <si>
    <t xml:space="preserve">INGRA -402 </t>
  </si>
  <si>
    <t xml:space="preserve">Reproductor casette estereo </t>
  </si>
  <si>
    <t>PHILLIPS N2501</t>
  </si>
  <si>
    <t>Minicadena música portátil</t>
  </si>
  <si>
    <t>caja madera,colgar pared. Primera mitad s. XX</t>
  </si>
  <si>
    <t>Gestetner</t>
  </si>
  <si>
    <t>El Castro, mod. 500</t>
  </si>
  <si>
    <t>Hispano Olivetti mol. Lexicon 80</t>
  </si>
  <si>
    <t>Olivetti mod. Studio 45</t>
  </si>
  <si>
    <t>Olivetti mod. Lettera 42</t>
  </si>
  <si>
    <t xml:space="preserve">Echelle des Temps Fossiliferes, </t>
  </si>
  <si>
    <t>IGME,</t>
  </si>
  <si>
    <t>Ministerio de Agricultura,</t>
  </si>
  <si>
    <t>IGME</t>
  </si>
  <si>
    <t xml:space="preserve">  138x92</t>
  </si>
  <si>
    <t xml:space="preserve">FWB  Van Eysinga, </t>
  </si>
  <si>
    <t>85x62, papel entretelado, molduras sup. e inf. en pino</t>
  </si>
  <si>
    <t xml:space="preserve">Ed. Jover S.A., José Mª Llovet,  </t>
  </si>
  <si>
    <t xml:space="preserve">Colección de láminas delgadas rocas </t>
  </si>
  <si>
    <t xml:space="preserve">Colección de láminas delgadas minerales calcita y aragonito </t>
  </si>
  <si>
    <t>Colección de láminas delgadas minerales</t>
  </si>
  <si>
    <t>¿ofita?</t>
  </si>
  <si>
    <t>Diorita con agujas de anfíbol</t>
  </si>
  <si>
    <t>Mushelkalk</t>
  </si>
  <si>
    <t>Caliza compacta conchífera</t>
  </si>
  <si>
    <t>Eoceno</t>
  </si>
  <si>
    <t>Caliza superior con Amussium</t>
  </si>
  <si>
    <t>Pudinga</t>
  </si>
  <si>
    <t>Conglomerado</t>
  </si>
  <si>
    <t>Regadera de Filipinas</t>
  </si>
  <si>
    <t>Euplectella aspergillum</t>
  </si>
  <si>
    <t xml:space="preserve"> Montada en amplolla de vidrio.</t>
  </si>
  <si>
    <t>Variolita con epidota</t>
  </si>
  <si>
    <t>Espilita con epidota</t>
  </si>
  <si>
    <t>Variedad de ópalo evaporítico</t>
  </si>
  <si>
    <t>Canto armado</t>
  </si>
  <si>
    <t>Fracturado en dos mitades</t>
  </si>
  <si>
    <t>Muestra de gran tamaño con repliegues</t>
  </si>
  <si>
    <t>Gneis-migmatita</t>
  </si>
  <si>
    <t>Muestra de gran tamaño</t>
  </si>
  <si>
    <t>Testigo de sondeo</t>
  </si>
  <si>
    <t xml:space="preserve"> Porcelanita</t>
  </si>
  <si>
    <t>Termántida zonar rojiza</t>
  </si>
  <si>
    <t>Strigilla (=Tellina) carnea</t>
  </si>
  <si>
    <t>Tellidora (=Tellina) burnetti</t>
  </si>
  <si>
    <t>Actinobolus (=Cardita ) ajax</t>
  </si>
  <si>
    <t>Anomalocardia (=Arca) auriculata</t>
  </si>
  <si>
    <t>Pharus (=Solen) legumen</t>
  </si>
  <si>
    <t>Mactra (=Solenocurtus)strigillata</t>
  </si>
  <si>
    <t>Ensis (=Solen) siliqua</t>
  </si>
  <si>
    <t>Cyrenoidea (=Cyrena) dupontia</t>
  </si>
  <si>
    <t>Asaphis (=Venus) deflorata</t>
  </si>
  <si>
    <t>Esponja Oreja de elefante</t>
  </si>
  <si>
    <t>En inventario anterior clasificado como porífero</t>
  </si>
  <si>
    <t>Parastichopus (=Stichopus) regalis</t>
  </si>
  <si>
    <t>Holoturia espardeña o carajo de mar</t>
  </si>
  <si>
    <t>Polycyclus (=Botryllus) renieri</t>
  </si>
  <si>
    <t>Ascidia</t>
  </si>
  <si>
    <t>Briozoo</t>
  </si>
  <si>
    <t>Esponja lacustre</t>
  </si>
  <si>
    <t>Spongia officinalis</t>
  </si>
  <si>
    <t>Esponja de baño</t>
  </si>
  <si>
    <t>Vitrina 13.3</t>
  </si>
  <si>
    <t>Esponja</t>
  </si>
  <si>
    <t>Tunicados Ascidiaceos</t>
  </si>
  <si>
    <t>¿Vioa tipica?</t>
  </si>
  <si>
    <t>Esponja del cangrejpo ermitaño</t>
  </si>
  <si>
    <t>Spongia oculata</t>
  </si>
  <si>
    <t xml:space="preserve">Tomate de mar </t>
  </si>
  <si>
    <t>Actinia equina</t>
  </si>
  <si>
    <t>Mano de muerto</t>
  </si>
  <si>
    <t xml:space="preserve">Alcyonum palmatum   </t>
  </si>
  <si>
    <t>Pteroides spinulosus (=spinosum)</t>
  </si>
  <si>
    <t>Gorgonia (=Eunicella) verrucosa</t>
  </si>
  <si>
    <t>Gorgonia</t>
  </si>
  <si>
    <t>¿Lophoeseris cristata?</t>
  </si>
  <si>
    <t>Goniastrea stelligera</t>
  </si>
  <si>
    <t>Madrepora rousseau</t>
  </si>
  <si>
    <t>Coral de arrecife</t>
  </si>
  <si>
    <t>Coral órgano de tubos</t>
  </si>
  <si>
    <t>Pelagia noctiluca</t>
  </si>
  <si>
    <t>Medusa luminiscente</t>
  </si>
  <si>
    <t>¿Celentéreo?</t>
  </si>
  <si>
    <t>Flabellum pavonicum (=pavonica)</t>
  </si>
  <si>
    <t>Solitaria</t>
  </si>
  <si>
    <t>ejemplar de ocho metros</t>
  </si>
  <si>
    <t>Taenia sp</t>
  </si>
  <si>
    <r>
      <t>Taenia solium</t>
    </r>
    <r>
      <rPr>
        <b/>
        <sz val="12"/>
        <color indexed="12"/>
        <rFont val="Arial"/>
        <family val="2"/>
      </rPr>
      <t xml:space="preserve">    </t>
    </r>
  </si>
  <si>
    <t xml:space="preserve"> ampollas de vidrio soplado</t>
  </si>
  <si>
    <t>Aphrodite aculeata</t>
  </si>
  <si>
    <t xml:space="preserve"> Rata de mar</t>
  </si>
  <si>
    <t xml:space="preserve">Toxocara canis      </t>
  </si>
  <si>
    <t xml:space="preserve">Lombriz  del perro </t>
  </si>
  <si>
    <t>Cynthia (=Hallocynthia) papillosa</t>
  </si>
  <si>
    <t>Hippocampus brevirrostris (=H. antiquorum)</t>
  </si>
  <si>
    <t>Rhina squantina (=Squantina squantina)</t>
  </si>
  <si>
    <t>Esqueleto de Vipera berus</t>
  </si>
  <si>
    <t>Víbora común</t>
  </si>
  <si>
    <t>Tetrao tetrix</t>
  </si>
  <si>
    <t xml:space="preserve"> (antes en 11.2)</t>
  </si>
  <si>
    <t>(antes en 11.2)</t>
  </si>
  <si>
    <t xml:space="preserve">Corvus canadiensis </t>
  </si>
  <si>
    <t>antes en 1.2</t>
  </si>
  <si>
    <t>antes en 8.2</t>
  </si>
  <si>
    <t xml:space="preserve">Catatua galerita </t>
  </si>
  <si>
    <t>(estaba sin inventariar)</t>
  </si>
  <si>
    <t xml:space="preserve">Psittacus leucocephalus </t>
  </si>
  <si>
    <t>NO ESTÁ????</t>
  </si>
  <si>
    <t xml:space="preserve">Bos taurus ibericus </t>
  </si>
  <si>
    <t xml:space="preserve">  Cabeza</t>
  </si>
  <si>
    <t xml:space="preserve">Huevos Strutio camellus </t>
  </si>
  <si>
    <t xml:space="preserve">Phacops sp. </t>
  </si>
  <si>
    <t>Goniatites sp.</t>
  </si>
  <si>
    <t>Orthoceras sp.</t>
  </si>
  <si>
    <t xml:space="preserve">Pleuroceras sp. </t>
  </si>
  <si>
    <t>Pleuroceras sp.</t>
  </si>
  <si>
    <t xml:space="preserve">Kosmoceras sp. </t>
  </si>
  <si>
    <t xml:space="preserve">Quenstedoceras lambertii    </t>
  </si>
  <si>
    <t xml:space="preserve">Lythoceras sp.        </t>
  </si>
  <si>
    <t xml:space="preserve">Dactylioceras seudocomune </t>
  </si>
  <si>
    <t xml:space="preserve">Perisphinctes sp.  </t>
  </si>
  <si>
    <t xml:space="preserve">Nautilus elegans </t>
  </si>
  <si>
    <t xml:space="preserve">Lima striata             </t>
  </si>
  <si>
    <t>Con descripción de su extracción</t>
  </si>
  <si>
    <t xml:space="preserve">Lima maxima ?? </t>
  </si>
  <si>
    <t xml:space="preserve">Ostraeas </t>
  </si>
  <si>
    <t xml:space="preserve">Defensa de Rhinoceros indicus. </t>
  </si>
  <si>
    <t>Rinoceronte índico</t>
  </si>
  <si>
    <t xml:space="preserve">Elefante indico </t>
  </si>
  <si>
    <t>Sanjuanero</t>
  </si>
  <si>
    <t>Mariposa de la seda</t>
  </si>
  <si>
    <t>Caracol de jardín</t>
  </si>
  <si>
    <t>Preparación del yute</t>
  </si>
  <si>
    <t>Elaboración del lino</t>
  </si>
  <si>
    <t>Elaboración de la lana</t>
  </si>
  <si>
    <t>Producción y elaboración del algodón</t>
  </si>
  <si>
    <t>Fabricación de corchos</t>
  </si>
  <si>
    <t>Preparados de maíz.</t>
  </si>
  <si>
    <t>Montaje y fabricación de la cerveza</t>
  </si>
  <si>
    <t>Preparación del cáñamo para cuerda</t>
  </si>
  <si>
    <t>Curtiduría y fabricación del cuero</t>
  </si>
  <si>
    <t>Fabricación del vidrio</t>
  </si>
  <si>
    <t>Fabricación del papel</t>
  </si>
  <si>
    <t>Beneficio y elaboración del plomo</t>
  </si>
  <si>
    <t>Fabricación del hierro.</t>
  </si>
  <si>
    <t>Curtiduría y fabricación del cuero.</t>
  </si>
  <si>
    <t>Sistema tetragonal, paramórfica: Prisma, bipirámide y pinacoide</t>
  </si>
  <si>
    <t>gradualmente pizarra micácea</t>
  </si>
  <si>
    <t>Hydatina (=Bulla ) phycis</t>
  </si>
  <si>
    <t>Lanistes (=Ampullaria ) betlesicana</t>
  </si>
  <si>
    <t>Meladomus (=Ampullaria ) olivaceus</t>
  </si>
  <si>
    <t>Nacella (=Patella ) pellucida</t>
  </si>
  <si>
    <t>Gadinia (=Patella ) afra</t>
  </si>
  <si>
    <t>Galerus (=Calyptraea ) chinensis</t>
  </si>
  <si>
    <t>Helcion (=Patella ) pectinatus</t>
  </si>
  <si>
    <t>Capulus (=Pileopsis) ungaricus</t>
  </si>
  <si>
    <t>Cassidula (=Aurícula ) coffea</t>
  </si>
  <si>
    <t>Crucibulum (=Calyptrea) rugosum</t>
  </si>
  <si>
    <t>Cyclophrus (=Planorbis ) laconicum</t>
  </si>
  <si>
    <t>Acavus (=Helix) hemastoma</t>
  </si>
  <si>
    <t>Pyrene (=Columbella) semipunctata</t>
  </si>
  <si>
    <t>Gibbula (=Trochus) magus</t>
  </si>
  <si>
    <t>Leia (=Pupa) mangeri</t>
  </si>
  <si>
    <t>Cypraea (=Aricia) moneta</t>
  </si>
  <si>
    <t>Cypraea (=Luponia) mappa</t>
  </si>
  <si>
    <t>Cypraea (=Luponia) lynx</t>
  </si>
  <si>
    <t>Naticarius ebraeus (=Natica hemiesferica)</t>
  </si>
  <si>
    <t>Anostoma (=Helix) globulosa</t>
  </si>
  <si>
    <t>Otostomus (= Bullimus ) auris-leporis</t>
  </si>
  <si>
    <t>Paludoneus (= Paludina ) loricatus</t>
  </si>
  <si>
    <t>Partula (= Bullimus ) faba</t>
  </si>
  <si>
    <t>Pseudotrochus (= Achatina ) vexillum</t>
  </si>
  <si>
    <t>Scaphander (= Bulla ) liguarius</t>
  </si>
  <si>
    <t>Scurria (= Patella ) scurra</t>
  </si>
  <si>
    <t>Theba (=Helix) pisana</t>
  </si>
  <si>
    <t>Trochita (=Calyptrea) radians</t>
  </si>
  <si>
    <t>Vivipara (= Paludina ) fasciata</t>
  </si>
  <si>
    <t>Acanthina (= Monoceros ) unicornis</t>
  </si>
  <si>
    <t>Amphibola (=Ampullaria) nuxavellana</t>
  </si>
  <si>
    <t>Bullia (= Buccinum ) laevigata</t>
  </si>
  <si>
    <t>Bursa (=Ranella) rana</t>
  </si>
  <si>
    <t>Cadium (= Dolium ) ringens</t>
  </si>
  <si>
    <t xml:space="preserve">Callia (= Pupa ) lubrica </t>
  </si>
  <si>
    <t>Callitus (=Navicella) porcellana</t>
  </si>
  <si>
    <t>Cerithidea (=Cerithium) obtusa</t>
  </si>
  <si>
    <t>Diloma (= Trochus ) nigerrima</t>
  </si>
  <si>
    <t>Dipsacus (= Eburna ) glabratus</t>
  </si>
  <si>
    <t>Equinella (= Monodonta ) cumingii</t>
  </si>
  <si>
    <t>Gena (=Stomatella) planatula</t>
  </si>
  <si>
    <t>Jopas (= Purpura ) sertum</t>
  </si>
  <si>
    <t>Leucozonia (=Fasciolaria) cingulata</t>
  </si>
  <si>
    <t>Levenia (=Cassis) coarctata</t>
  </si>
  <si>
    <t>Morum (=Cassidaria) oniscus</t>
  </si>
  <si>
    <t>Nerita praecognita (=turrita)</t>
  </si>
  <si>
    <t>Neritella (= Nerita ) pulligera</t>
  </si>
  <si>
    <t>Oxystele (= Trochus ) merula</t>
  </si>
  <si>
    <t>Pentadactylus (= Ricinula ) globosus</t>
  </si>
  <si>
    <t>Rapa (=Pyrula) tennis</t>
  </si>
  <si>
    <t>Risella (= Trochus ) unguicula</t>
  </si>
  <si>
    <t>Ruma (= Natica ) maculosa</t>
  </si>
  <si>
    <t>Ruma (=Natica) mamillaris</t>
  </si>
  <si>
    <t>Senectus (= Turbo) chrysostoma</t>
  </si>
  <si>
    <t>Siphonium (=Vernetus) giganteum</t>
  </si>
  <si>
    <t>Tectarius (= Monodonta ) pagodus</t>
  </si>
  <si>
    <t>Trophon (=Murex) patagonicus</t>
  </si>
  <si>
    <t>Uvanilla (= Trochus ) olivacea</t>
  </si>
  <si>
    <t>Vasum (= Turbinella ) cornigerum</t>
  </si>
  <si>
    <t>Ziziphinus (=Trochus) conuloides</t>
  </si>
  <si>
    <t>Strombus succinetus (=¿peruvianus?)</t>
  </si>
  <si>
    <t>Terebratella (= Terebratula ) dorsata</t>
  </si>
  <si>
    <t>Perca (= Serranus ) cabrilla</t>
  </si>
  <si>
    <t>Sphyrna zygaena (=Squalus zigaena)</t>
  </si>
  <si>
    <t xml:space="preserve">Syngnathus acus    </t>
  </si>
  <si>
    <t xml:space="preserve">(ampolla vidrio soplado)   </t>
  </si>
  <si>
    <t>Coryphenoides ausonia (=Ausonia cuvierii)</t>
  </si>
  <si>
    <t xml:space="preserve">Pleurodeles waltlii     </t>
  </si>
  <si>
    <t xml:space="preserve">Gecko sp.    </t>
  </si>
  <si>
    <t xml:space="preserve">Lacerta muralis    </t>
  </si>
  <si>
    <t xml:space="preserve">(ampolla vidrio soplado) pendiente clasificación  </t>
  </si>
  <si>
    <t>Oecdinemus crepitans (=Burhimus oecdinemus)</t>
  </si>
  <si>
    <t>Lestris parasiticus (=Larus parasiticus)</t>
  </si>
  <si>
    <t>Alectoris barbara (=Perdix petrosa)</t>
  </si>
  <si>
    <t>Phasianus (=Gennaeus) nycthemerus</t>
  </si>
  <si>
    <t xml:space="preserve">Apus melba (=Cypsellus alpinus) </t>
  </si>
  <si>
    <t>Apus pallidus (=Cypsellus murarius)</t>
  </si>
  <si>
    <t>Dendrocopos major (=Picus major)</t>
  </si>
  <si>
    <t>Dendrocopos medius (=Picus medius)</t>
  </si>
  <si>
    <t>Dendrocopos minor (=Picus leuconotus)</t>
  </si>
  <si>
    <t xml:space="preserve">Monticola solitarius (=Turdus cyanus) </t>
  </si>
  <si>
    <t>Pyrgine domestica (=Progne dominicensis)</t>
  </si>
  <si>
    <t>Cercotrichas (=Sylvia) galactotes</t>
  </si>
  <si>
    <t xml:space="preserve">Perisoreus (=Corvus) infaustus </t>
  </si>
  <si>
    <t>Montifringilla nivalis (=Fringilla nivalis)</t>
  </si>
  <si>
    <t>Passer (=Frigilla) domesticus</t>
  </si>
  <si>
    <t>Megaceryle torquata (=Alcedo alcyon) hembra</t>
  </si>
  <si>
    <t>Thraupis (=T. Bonaerensis?)</t>
  </si>
  <si>
    <t>Asio otus (=Ephialtes zorca)</t>
  </si>
  <si>
    <t>Athne (=Strix) cunicularia</t>
  </si>
  <si>
    <t>Surnia ulula (=uralensis)</t>
  </si>
  <si>
    <t>Falco cherug (=Cherri bonelli)</t>
  </si>
  <si>
    <t>Aquila pennata (=Falco pennatus o Hieraetus pennatus (=s)</t>
  </si>
  <si>
    <t>Circus aeroginosus (=Falco rufus)</t>
  </si>
  <si>
    <t>Falco (=Aquila) albicans</t>
  </si>
  <si>
    <t>Circaetus gallicus (=Falco brachydactylus)</t>
  </si>
  <si>
    <t>Rupornis (=Falco) magnirostris</t>
  </si>
  <si>
    <t>Milvus (=Falco) milvus</t>
  </si>
  <si>
    <t xml:space="preserve">Gypaetus barbatus </t>
  </si>
  <si>
    <t>Anser anser (=Anas ferus - Anas comunis)</t>
  </si>
  <si>
    <t>Anser favalis (=Anser comunis)</t>
  </si>
  <si>
    <t>Cairina (=Anas) moschata</t>
  </si>
  <si>
    <t>Talpa europaea (=v. Alba)</t>
  </si>
  <si>
    <t xml:space="preserve">Ootecas de Sepia oficinalis </t>
  </si>
  <si>
    <t>Frezas en racimo de jibia/sepia</t>
  </si>
  <si>
    <t xml:space="preserve">Calymene blumembachii  y molde   </t>
  </si>
  <si>
    <t xml:space="preserve">Calymene blumenmachii </t>
  </si>
  <si>
    <t xml:space="preserve">Synocladia lluecae         </t>
  </si>
  <si>
    <t xml:space="preserve">  ( varios )</t>
  </si>
  <si>
    <r>
      <t xml:space="preserve">Phacops sp. </t>
    </r>
    <r>
      <rPr>
        <b/>
        <sz val="12"/>
        <color indexed="18"/>
        <rFont val="Arial"/>
        <family val="2"/>
      </rPr>
      <t xml:space="preserve">    </t>
    </r>
  </si>
  <si>
    <t>Spirifer najadum (=Cyrtospirifer spp)</t>
  </si>
  <si>
    <r>
      <t xml:space="preserve">Hyldoceras sublevisonii    </t>
    </r>
    <r>
      <rPr>
        <b/>
        <sz val="12"/>
        <color indexed="12"/>
        <rFont val="Arial"/>
        <family val="2"/>
      </rPr>
      <t xml:space="preserve">    </t>
    </r>
  </si>
  <si>
    <t>Ammonites navicularis (=Macroscaphites)</t>
  </si>
  <si>
    <t>Cretirhynchia spp. (=Rhynchonella)</t>
  </si>
  <si>
    <t xml:space="preserve">Madera silicificada (=Magnoliacea?)      </t>
  </si>
  <si>
    <t>Clypeaster sp.</t>
  </si>
  <si>
    <t xml:space="preserve">Ostraea crassisima   </t>
  </si>
  <si>
    <t xml:space="preserve">Calappa sp. </t>
  </si>
  <si>
    <t xml:space="preserve">Nummulites sp.  </t>
  </si>
  <si>
    <t>Probeta esférica de 20 cc</t>
  </si>
  <si>
    <t>Boletines Real Sociedad Española de Historia Natural (1888 a 1918)</t>
  </si>
  <si>
    <t>Boletines Real Sociedad Española de Historia Natural (1919 a 1927)</t>
  </si>
  <si>
    <t>Boletines Real Sociedad Española de Historia Natural (1928 a 1936)</t>
  </si>
  <si>
    <r>
      <t xml:space="preserve">Boletines Real Sociedad Española de Historia Natural (1937 a 1948)  </t>
    </r>
    <r>
      <rPr>
        <b/>
        <sz val="12"/>
        <color rgb="FFFF0000"/>
        <rFont val="Arial"/>
        <family val="2"/>
      </rPr>
      <t>Desaparecidos en</t>
    </r>
    <r>
      <rPr>
        <sz val="12"/>
        <rFont val="Arial"/>
        <family val="2"/>
      </rPr>
      <t xml:space="preserve"> 2013-14!!</t>
    </r>
  </si>
  <si>
    <t>Boletines Real Sociedad Española de Historia Natural (1949 a 1962 )</t>
  </si>
  <si>
    <t>Silla madera, tapizada, vintage</t>
  </si>
  <si>
    <t>Sanguijuela</t>
  </si>
  <si>
    <t>Nº 73.- Sistema Monoclínico: prisma y dos pinacoides</t>
  </si>
  <si>
    <t>Nº 99.- Sistema Monoclínico:  tres prismas y pinacoide</t>
  </si>
  <si>
    <t>Nº 101.- Sistema Monoclínico: prisma y tres pinacoides</t>
  </si>
  <si>
    <t>Nº 103.- Sistema Monoclínico: prisma y cinco pinacoides</t>
  </si>
  <si>
    <t>Nº 104.- Sistema Monoclínico: tres prismas y tres pinacoides</t>
  </si>
  <si>
    <t>Nº 107.- Sistema Monoclínico: dos prismas</t>
  </si>
  <si>
    <t>Nº 88.- Sistema rómbico: dos prismas y bipirámide</t>
  </si>
  <si>
    <t>Nº 90.- Sistema rómbico: tres prismas y pinacoide</t>
  </si>
  <si>
    <t>Nº 91.- Sistema rómbico: dos prismas y pinacoide</t>
  </si>
  <si>
    <t>Nº 59.- Sistema tetragonal: cuatro bipirámides</t>
  </si>
  <si>
    <t>Nº 63.- Sistema tetragonal: dos prismas y dos bipirámides</t>
  </si>
  <si>
    <t>Nº 78.- Sistema Trigonal: prisma ditrigonal y romboedro</t>
  </si>
  <si>
    <t>Nº 82.- Sistema Trigonal : romboedro y dos escalenoedros</t>
  </si>
  <si>
    <t>Nº 83.- Sistema Trigonal: tres romboedros y dos escalenoedros</t>
  </si>
  <si>
    <t>Nº 66.- Sistema tetragonal: prisma ditetragonal, prisma tetragonal y bipirámide</t>
  </si>
  <si>
    <r>
      <t xml:space="preserve">Calcedonia </t>
    </r>
    <r>
      <rPr>
        <b/>
        <sz val="12"/>
        <color indexed="12"/>
        <rFont val="Arial"/>
        <family val="2"/>
      </rPr>
      <t xml:space="preserve">   </t>
    </r>
  </si>
  <si>
    <t xml:space="preserve">Distena </t>
  </si>
  <si>
    <t>(cristal aislado)</t>
  </si>
  <si>
    <t>(masa de tres cristales)</t>
  </si>
  <si>
    <t>Granate Espesartita</t>
  </si>
  <si>
    <t>Limpieza húmeda</t>
  </si>
  <si>
    <t>Abrillantado, capa protectora</t>
  </si>
  <si>
    <t>Limpieza en seco / aspirado</t>
  </si>
  <si>
    <t>Modelo clástico en papel maché más otros aglomerantes, policromado.</t>
  </si>
  <si>
    <t>Soporte de madera y metal</t>
  </si>
  <si>
    <t>L. T. J. Auzoux</t>
  </si>
  <si>
    <t>3ª mitad s. XIX</t>
  </si>
  <si>
    <t>Final s. XX</t>
  </si>
  <si>
    <t>2ª mitad s. XX</t>
  </si>
  <si>
    <t>Peana metálica de tres patas</t>
  </si>
  <si>
    <t>1ª mitad del siglo XX 1901/1949</t>
  </si>
  <si>
    <t>2º cuarto s. XX: 1926/1950</t>
  </si>
  <si>
    <t>3ª década s.XX: 1921/1930</t>
  </si>
  <si>
    <t>Muy bueno: óptimo</t>
  </si>
  <si>
    <t>Ebanistero granadino</t>
  </si>
  <si>
    <t>Peana madera rectangular</t>
  </si>
  <si>
    <t xml:space="preserve">De carton de 39x26x7, anaqueles de vidrio, tapa acristalada y fondo de espejo. </t>
  </si>
  <si>
    <t>Caja expositor para sólidos cristalográficos Rose.</t>
  </si>
  <si>
    <t>¡NO EXISTE…, la tenía inventariada LCS, probablemente se trataba de un sólido de otra colección....!</t>
  </si>
  <si>
    <t>rece sobre las conchas de los gasterópodos ocupados por cangrejos ermitaños</t>
  </si>
  <si>
    <t>Dreissena (=Mytilus ) polimorfa</t>
  </si>
  <si>
    <t>Isogomon (=Perna ) ephippium</t>
  </si>
  <si>
    <t>Laevicardium (=Cardium ) norvegicum</t>
  </si>
  <si>
    <t>Lazaria (=Cardita) radiata</t>
  </si>
  <si>
    <t>Lithophaga (=Modiola) lithophaga</t>
  </si>
  <si>
    <t>Monocondyloea (=Unio) pazii</t>
  </si>
  <si>
    <t>Multicardia (= Cardita ) caliculata</t>
  </si>
  <si>
    <t>Mutela (= Iridina ) dubia</t>
  </si>
  <si>
    <t>Parallelepipedum (= Arca ) tortuosum</t>
  </si>
  <si>
    <t>Pectem (=Vala) jacobaeus</t>
  </si>
  <si>
    <t>Senilia (=Arca) senilis</t>
  </si>
  <si>
    <t>Septifer (= Mytilus ) bilocularis</t>
  </si>
  <si>
    <t>Spondylus (=gaederopus) variegatus</t>
  </si>
  <si>
    <t>Aragonia (=Oliva) testacea</t>
  </si>
  <si>
    <t>Astraea rugosa (con opérculos )</t>
  </si>
  <si>
    <t>Bolma (=Galeoastraea) sp.</t>
  </si>
  <si>
    <t>Cyclostomus (=Turbo) elegans</t>
  </si>
  <si>
    <t>Excelente: como nuevo</t>
  </si>
  <si>
    <t>Canguro pan de melón</t>
  </si>
  <si>
    <t>Helix pomatia</t>
  </si>
  <si>
    <t>Modelo clástico en papel maché más otros aglomerantes, policromado: todo un alarde descriptivo. Lo acompaña una concha natural de caraciol para comparar.</t>
  </si>
  <si>
    <t>Modelo clástico en papel maché más otros aglomerantes, policromado: 2 piezas, textura de insecto muy conseguida, abdomen desmontable, cubierto por vasos de traqueolas. (despegadospegar), alas de gran delicadeza; a destacar las detalladas gládulas sediríferas (o seditíferas)</t>
  </si>
  <si>
    <t>Presenta escamación; Fue intervenida por dos restauradoras aproximadamente en el 2000: se tardó unos 3 meses: se humedecían las partes escamadas para devolverles la flexibilidad, y se volvían a unir con cola de carpintero.</t>
  </si>
  <si>
    <t>Víbora</t>
  </si>
  <si>
    <t>Modelo clástico en papel maché más otros aglomerantes, policromado: 7 piezas, 3 de ellas articuladas; glándulas venenosas (nº 6), potentes músculos en las mandíbulas, dientes solenoglifos (móviles, retráctiles, huecos) , retráctiles y colmillos de repuesto.</t>
  </si>
  <si>
    <t>Modelo clástico en papel maché más otros aglomerantes, policromado:</t>
  </si>
  <si>
    <r>
      <rPr>
        <sz val="8"/>
        <rFont val="Arial"/>
        <family val="2"/>
      </rPr>
      <t>bastante deteriorada (craquelada y escamada); no desmontar</t>
    </r>
    <r>
      <rPr>
        <b/>
        <sz val="8"/>
        <rFont val="Arial"/>
        <family val="2"/>
      </rPr>
      <t xml:space="preserve"> </t>
    </r>
  </si>
  <si>
    <t>Modelo clástico en papel maché más otros aglomerantes, policromado: laringe, tráquea, arterias-venas pulmonares con los sacos aéreos.</t>
  </si>
  <si>
    <t>Modelo clástico de aparato respiratorio del Meleagris pavo</t>
  </si>
  <si>
    <t>Modelo clástico en papel maché más otros aglomerantes, policromado: 4 piezas</t>
  </si>
  <si>
    <t xml:space="preserve">Modelo clástico en papel maché más otros aglomerantes, policromado: 4 piezas </t>
  </si>
  <si>
    <t xml:space="preserve">(le falta una clavija a la izda.: reponer); </t>
  </si>
  <si>
    <t>Modelo clástico en papel maché más otros aglomerantes: 5 piezas abisagradas</t>
  </si>
  <si>
    <t>Modelo clástico en papel maché más otros aglomerantes, policromado: maxilares con muelles que encajan muy bien, molares omnívoros muy desgastados, fórmula dental: 4-1-5/4-1-5, caninos muy desarrollados, cerebro con muchas circunvoluciones, la médula espinal sale del cráneo por el foramen magnum</t>
  </si>
  <si>
    <t>Seta agárica venenosa</t>
  </si>
  <si>
    <t>Seta agárica comestible</t>
  </si>
  <si>
    <t>R-Campra</t>
  </si>
  <si>
    <t>“Lava rugosa “</t>
  </si>
  <si>
    <t>Colección de muestras de rocas ornamentales de canteras, talladas y pulidas.</t>
  </si>
  <si>
    <t>Vitrina 5.4</t>
  </si>
  <si>
    <t xml:space="preserve">Circa (aprox.) ... </t>
  </si>
  <si>
    <t>Discurso inauguración curso 1872-1873</t>
  </si>
  <si>
    <t>Facsímil</t>
  </si>
  <si>
    <t>con litografías a color</t>
  </si>
  <si>
    <t>“La vid común”. Rojas Clemente</t>
  </si>
  <si>
    <t xml:space="preserve">Estudio sobre el Transformismo RGA </t>
  </si>
  <si>
    <t>Rafael García Álvarez</t>
  </si>
  <si>
    <t>Rojas Clemente</t>
  </si>
  <si>
    <t>Blas Lázaro e Ibiza</t>
  </si>
  <si>
    <t xml:space="preserve"> 2 tomos</t>
  </si>
  <si>
    <t xml:space="preserve">Dpigmentado trasero por desgaste, falta una pieza; localmente craqueladon </t>
  </si>
  <si>
    <t>Falta pieza del verticilo; de las piezas de las drupas traseras solo tenía 2, aunque el 19/2/15 descubro 2 más arrumbadas en el almacén</t>
  </si>
  <si>
    <t>Peana de madera octogonal</t>
  </si>
  <si>
    <t>Muy sucia, necesaria limpieza</t>
  </si>
  <si>
    <t>Peana de madera base redonda</t>
  </si>
  <si>
    <t>Tallo y hojas con varias fracturas. Falta la gran flor central (ver foto antigua aula dibujo</t>
  </si>
  <si>
    <t>Falta flor central madura</t>
  </si>
  <si>
    <t>Peana verde de base octogonal</t>
  </si>
  <si>
    <t>En escayola policromada. Radio: 90 cm., espesor: 15 cm. Modelo de tallo leñoso de dicotiledonea.</t>
  </si>
  <si>
    <t>Bastantes desconchones y grietas en las partes menos visibles.</t>
  </si>
  <si>
    <t xml:space="preserve">Encina </t>
  </si>
  <si>
    <t>Peana madera de base redonda</t>
  </si>
  <si>
    <t>Incompleto, solo parte sup. del cráneo y encéfalo</t>
  </si>
  <si>
    <t>Paris, Francia</t>
  </si>
  <si>
    <t>Ducretet</t>
  </si>
  <si>
    <t xml:space="preserve">Charles Chevalier, Ingenieur, </t>
  </si>
  <si>
    <t>París, Francia</t>
  </si>
  <si>
    <t>Polonia.</t>
  </si>
  <si>
    <t>Wtosowy</t>
  </si>
  <si>
    <t xml:space="preserve"> M. Casademunt</t>
  </si>
  <si>
    <t>Barcelona, España</t>
  </si>
  <si>
    <t>Segundo tercio siglo XIX.</t>
  </si>
  <si>
    <t>Colección SIETE medidas de capacidad. De ½ decilitro a 1/ Decalitro.</t>
  </si>
  <si>
    <t xml:space="preserve"> H. de G. Beltrán. </t>
  </si>
  <si>
    <t>Con juego de pesas</t>
  </si>
  <si>
    <t xml:space="preserve"> faltan 15 pesas</t>
  </si>
  <si>
    <t>Faltan 7 pesas</t>
  </si>
  <si>
    <t xml:space="preserve">Con juego de pesas  </t>
  </si>
  <si>
    <t>Primer tercio del siglo XX</t>
  </si>
  <si>
    <t xml:space="preserve">.“M. Álvarez. </t>
  </si>
  <si>
    <t>Madrid, España</t>
  </si>
  <si>
    <t xml:space="preserve">Colección de cinco medidas de capacidad. De ½ decilitro a un litro. </t>
  </si>
  <si>
    <t xml:space="preserve">Sin referencias. </t>
  </si>
  <si>
    <t>Sistema métrico decimal: unidades de capacidad</t>
  </si>
  <si>
    <t>1921.</t>
  </si>
  <si>
    <t>sin pesas y un solo platillo original</t>
  </si>
  <si>
    <t>Simplex</t>
  </si>
  <si>
    <t>España</t>
  </si>
  <si>
    <t>Estrade-Berdot.Óptico.</t>
  </si>
  <si>
    <t xml:space="preserve">Granada. París </t>
  </si>
  <si>
    <t xml:space="preserve">Neceser campo para análisis mineralógicos por vía seca </t>
  </si>
  <si>
    <t xml:space="preserve">En estuche de madera con contenido incompleto: Presentes 23 elementos, más 3 bandejas y caja: 10 frascos de productos químicos, areómetro Nicholson (sin caja de pesas), caja paralelipédica metálica esmaltada para carbón, mechero alcohol cilíndrico latonado con dos aberturas,  recipiente cilíndrico para alcohol, martillo de mineralogista, cápsula de platino, soplete de boca (boquilla de marfil), barra de lacre rojo, soporte universal para el mechero (desmontable en 4 piezas más tornillo. SIN IDENTIFICAR: pieza troncocónica de latón ¿soporte?  NO goniómetro de Haüy, alicates de punta fina, dos fresas, pinzas, dos punzones, 2 cucharillas de platino, </t>
  </si>
  <si>
    <t xml:space="preserve">Boquilla madera y cuerpo latón, </t>
  </si>
  <si>
    <t>Boquilla madera y cuerpo niquelado con esfera de expansión</t>
  </si>
  <si>
    <t>Rota una de las patas nivelantess y falta de elementos.;</t>
  </si>
  <si>
    <t>Sopletes de boca, para análisis mineralógico</t>
  </si>
  <si>
    <t>Soplete de boca, para análisis mineralógico</t>
  </si>
  <si>
    <t>Goniómetro de Wollaston</t>
  </si>
  <si>
    <t xml:space="preserve">Toma su nombre del botánico alemán Johann Jacob Dillenius (1684-1747). Era un elemento imprescindible en el equipo de los botánicos de los s. XVIII y XIX, de los que era marca de distinción (formó parte del equipo de Darwin) . Mochila de metal-lata barnizada de 48 cm de longitud, con dos recipientes uno mayor para muestras grandes de herbáceas enteras hojas, raíces, y un estuche en un extremo, para muestras pequeñas (flores, semilla..) para herbolización. </t>
  </si>
  <si>
    <t>Caja de Dillenius (Vasculum dillenianum) para herborización</t>
  </si>
  <si>
    <t xml:space="preserve"> 1860</t>
  </si>
  <si>
    <t>Mochila de Linneo</t>
  </si>
  <si>
    <t>En 1751 Linneo recomienda a sus alumnos llevar en sus salidas al campo un Vasculum Dillenianum (es incorrecto denominarla Mochila de Linneo). La educación en el campo era uno de los objetivos pedagógicos en el s. XIX. Además de en el entorno inmediato del instituto, los alumnos realizaban prácticas de botánica en lugares cercanos a la capital. Una vez recogidas, las plantas se prensaban, se secaban y se determinaban para elaborar herbarios de estudio.</t>
  </si>
  <si>
    <t xml:space="preserve">Cultura-Kelvin, distribuido por  Aparatos Científicos Kelvin </t>
  </si>
  <si>
    <t xml:space="preserve">Medidor destreza manual. </t>
  </si>
  <si>
    <t>Laberinto de Rupp o ambidextrógrafo eléctrico de Lahy</t>
  </si>
  <si>
    <t>El test nº 8 incompleto. Lazos de retén tapa despegados y forro roto.</t>
  </si>
  <si>
    <t>Serie de "la lectura"; escala métrica Binet-Simon</t>
  </si>
  <si>
    <t xml:space="preserve">Otto Klemm: Psicología Pedagógica. </t>
  </si>
  <si>
    <t xml:space="preserve">Juego de muelas cordales humanas   </t>
  </si>
  <si>
    <t>Muelas del juicio</t>
  </si>
  <si>
    <t>En frasco de vidrio, con tapon esmerilado</t>
  </si>
  <si>
    <t>Granada, España</t>
  </si>
  <si>
    <t xml:space="preserve">Modelo no clástico de papel maché, más otros aglomerantes, policromado; long.: 38 cm, radio: 16 cm. Estructura secundaria de dicotiledónea: destacan las sucesivas capas e celulosa, así como la representación del xilema y el floema (tubitos de plástico con muelle interno) </t>
  </si>
  <si>
    <t>Bastante deteriorado por abundantes grietas.</t>
  </si>
  <si>
    <t>Peana de madera torneada para riñon</t>
  </si>
  <si>
    <t>Ramio</t>
  </si>
  <si>
    <t>Estuche didáctico para la "Fabricación fibra Ramé" Urtica nivea</t>
  </si>
  <si>
    <t>Distribuido por…</t>
  </si>
  <si>
    <t>1865.</t>
  </si>
  <si>
    <t xml:space="preserve">“Aramburu Hnos. ópticos de S.M., C/ Príncipe 12. Madrid”. </t>
  </si>
  <si>
    <t>1850.</t>
  </si>
  <si>
    <t>Astronomía y geodesia</t>
  </si>
  <si>
    <t>Abeja</t>
  </si>
  <si>
    <t>Incompleto: faltan las 5 abejas</t>
  </si>
  <si>
    <t xml:space="preserve">Peana de madera torneada, redonda </t>
  </si>
  <si>
    <t>Modelo en escayola</t>
  </si>
  <si>
    <t>ESTUCHES DIDÁCTICOS</t>
  </si>
  <si>
    <t>Carrete/cartucho película</t>
  </si>
  <si>
    <t xml:space="preserve">Justus Perthes Darmstadt: </t>
  </si>
  <si>
    <t xml:space="preserve">Ed Mineraux-Fossiles,  </t>
  </si>
  <si>
    <t>Meung-Loire, Francia</t>
  </si>
  <si>
    <t>1895 aprox</t>
  </si>
  <si>
    <t>Para el aprendizaje del vocabulario francés 116x80 con dos medias cañas</t>
  </si>
  <si>
    <t>Varias perforaciones</t>
  </si>
  <si>
    <t>Delmas</t>
  </si>
  <si>
    <t>Victor Masson et Fils, Paris, Francia</t>
  </si>
  <si>
    <t>Lámina mural de Historia Natural de Aquiles Comte</t>
  </si>
  <si>
    <t xml:space="preserve">De las 90 que se adquirieron solo nos queda un ejemplar: la nº 17 de la colección de zoología, dedicada al aparato respiratorio y su relación con la circulación menor; en ella aparecen representadas maxila, laringe, tráquea, pulmones, alveolos, corazón, circulación menor, carótida y aorta. papel entretelado, policromadas, sobre fondo negro, dimensiones 68x87, y montadas, mediante clavos-puntillas, sobre los dos lados menores de un marco de madera lacada y dorad, superior e inferior, para permitir su enrollamiento. </t>
  </si>
  <si>
    <t>Bastante sucio, lados mayores deteriorados y gruietas de relevancia</t>
  </si>
  <si>
    <t>Dimensiones: 72x56, cartulina pegada sobre cartón de 5 mm. : plagas de insectos, arácnidos (escolopendra, escorpión, pulgas, garrapatas…), alimañas: mamíferos(zorro, jabalí, nutria, castor, , ¡león!), aves (rapaces, zancudas-garza…), reptiles (víbora) y moluscos (caracol, babosa) Incluye una selección de trampas, algunas muy curiosas, como la escopeta camuflada)</t>
  </si>
  <si>
    <t>Dimensiones: 72x56, cartulina pegada sobre cartón de 5 mm. : con herramientas para la tala y poda de árboles frutales, dibujos con tipos y estrategias de poda, acodos e injertos</t>
  </si>
  <si>
    <t>Dimensiones: 72x56, cartulina pegada sobre cartón de 5 mm.: Carta de clasificación geográfica, medidas de capacidad particulares de cada país, para la fabricación del vino y el cava: mapa vitivinícola de Francia, medidas y formas de toneles y botellas, herramientas accesorias y con referencias a todas las zonas vitivinícolas de Francia. Unidades de medida de alcohol y agua en vinos, así como recomendaciones para los amantes del vino.</t>
  </si>
  <si>
    <t>nº 62</t>
  </si>
  <si>
    <t>nº 51</t>
  </si>
  <si>
    <t>Dimensiones: 72x56, cartulina pegada sobre cartón de 5 mm.; tipos de cercados, palas, rastrillos, hoces, guadañas, podaderas, picos, carretillas, arados… con descripción de sus partes y uso recomendado.</t>
  </si>
  <si>
    <t>Dimensiones: 72x56, cartulina pegada sobre cartón de 5 mm.: tipología de las abejas de constituyen una colmena, la fisiología de la abeja, estructura de los panales, tipos de colmenas con gran detalle.</t>
  </si>
  <si>
    <t>Fabricación cola de huesos</t>
  </si>
  <si>
    <t>Fabricación fibra Ramé</t>
  </si>
  <si>
    <t>Beneficio y elaboración del Cinc y del Estaño</t>
  </si>
  <si>
    <t>Triángulo de plancheta con nivel aliada de anteojo</t>
  </si>
  <si>
    <t>Goniógrafo</t>
  </si>
  <si>
    <t xml:space="preserve">F. W. Breithaupt &amp; sohn, Heese – Cassel, </t>
  </si>
  <si>
    <t xml:space="preserve">Baldomero Martín, óptico, </t>
  </si>
  <si>
    <t>Granada;</t>
  </si>
  <si>
    <t xml:space="preserve">Importado por Antolín Ortega, C/ Preciados 11. </t>
  </si>
  <si>
    <t>Casella,  importado por Manuel Recarte, Carrera de San Jerónimo. Madrid</t>
  </si>
  <si>
    <t xml:space="preserve">Londres, </t>
  </si>
  <si>
    <t>De madera y ajustes metálicos. ajuste vertical para la altura, horizontal para el enfoque (hasta ver las letras de abajo nítidas), y orientación del espejo cenital para la iluminación ajuste.</t>
  </si>
  <si>
    <t>Con asa abatible, más cómodo: Fabricado en madera, visor revestido de chapa; deslizamos el par hasta ver los nº nítidos.</t>
  </si>
  <si>
    <t xml:space="preserve">Colecciones de estereoscopías de Anatomía Humana.  </t>
  </si>
  <si>
    <t>Fernando Carrión</t>
  </si>
  <si>
    <t>Carrión, Fernando</t>
  </si>
  <si>
    <t>Fondo hist. Dibujo</t>
  </si>
  <si>
    <t>Fondo Histórico Instituto</t>
  </si>
  <si>
    <t>Fondo Hist. Hª Natural B/G</t>
  </si>
  <si>
    <t>Fondo Hist. Física/Química</t>
  </si>
  <si>
    <t>Fondo Hist. Francés</t>
  </si>
  <si>
    <t>Fondo Hist. Geografía/Historia</t>
  </si>
  <si>
    <t>Fondo Hist. Matemáticas</t>
  </si>
  <si>
    <t>Fondo Hist. Secretaría</t>
  </si>
  <si>
    <t>Fondo Hist. PsIcología</t>
  </si>
  <si>
    <t>Donación</t>
  </si>
  <si>
    <t>Depósito</t>
  </si>
  <si>
    <t>Castellón Serrano, Luis (5); Alberto L. (1)</t>
  </si>
  <si>
    <t xml:space="preserve">Castellón Serrano, Luis </t>
  </si>
  <si>
    <t xml:space="preserve">Castellón Serrano, Luis            </t>
  </si>
  <si>
    <t>Morales, José y Eduardo Jiménez</t>
  </si>
  <si>
    <t>Ser humano</t>
  </si>
  <si>
    <t>Gorila</t>
  </si>
  <si>
    <t>Rata</t>
  </si>
  <si>
    <t>Modelo clástico en papel maché más otros aglomerantes, policromado; representa el desarrollo del embrión humano, desde la ovulaión y fecundación al trigésimo día de embarazo: caja-vitrina de madera de pino natural, de 41x44x12 cm, con tapa de cristal abrisagrada; con 24 piezas (4 fijas a la caja), vagina (20x6 cm)-cuello (6 cm)-útero (10x13cm) -ovarios (uno de ellos seccionado, con la maduración ovárica), trompas de Falopio e infundíbulos, desarrollo embrionario e, 233 etapas (2 células, 4, 8, 12, mórula, gástrula, blástula…, hasta el día trigésimo)</t>
  </si>
  <si>
    <t>Parcialmente craquelado</t>
  </si>
  <si>
    <t>Muy deteriorado (craquelado, escamado agrieteado, le falta la córnea y el cristalino), falta córnea y cristalino; músculo superior oblícuo sólo la mitad.</t>
  </si>
  <si>
    <t>Un poco craquelado; falta el cristalino</t>
  </si>
  <si>
    <t>Tronco árbol</t>
  </si>
  <si>
    <t>Modelo clástico en papel maché más otros aglomerantes, policromado: largo 75 com, ancho 20 cm., alto 20 cm; 3 piezas abisagradas a nivel de la laringe: cuerdas vocales, glándulas tiroideas. Presenta inscripción poco legible.</t>
  </si>
  <si>
    <t>Muy craquelado; se le han caído trozos superficiales;cuidado con las dos piezas ext. dchas.)</t>
  </si>
  <si>
    <t>¿L. T. J. Auzoux?</t>
  </si>
  <si>
    <t>1ª mitad e. XX</t>
  </si>
  <si>
    <t>Modelo clástico en papel maché más otros aglomerantes, policromado, con estructura interna de alambres: long. 73 cm., ancho 15 cm.. Se encuentra sepresentados el origen nervios espinales. Se vrn con f¡dificultad, pero aún le quedan bastantes etiquetillas redondas numeradas títicas de Auzoux.</t>
  </si>
  <si>
    <t>Despigmentado, craquelado y con bastantes manchas de óxido</t>
  </si>
  <si>
    <t>Modelo clástico en plástico. En su interior alberga el encéfalo de plástico 3B. Mandúbulas articuladas.</t>
  </si>
  <si>
    <t>Fondo Hist. Agricultura</t>
  </si>
  <si>
    <t>Vidrio cubierta partido en tres trozos</t>
  </si>
  <si>
    <t xml:space="preserve">Èmile Deyrolle, distribuidos por Jodra (Madrid). </t>
  </si>
  <si>
    <t xml:space="preserve">Recorte periódico Defensor de Granada. Guerra de Cuba </t>
  </si>
  <si>
    <t>Modelo clástico en papel maché más otros aglomerantes, vidrio y latón, policromado. Largo 26 cm, ancho 18, alto 20 cm; 1380 g., 8 piezas (falta ¿córnea?, cristalino)</t>
  </si>
  <si>
    <t>Modelo clástico en papel maché más otros aglomerantes, vidrio y latón, policromado.: largo 31 cm, alto 30 cm y anchio 12 cm; sección vertical: 4 piezas (falta el cristalino), glándulas lacrimales, globo ocular de vidrio, coroides independiente, cuerpos ciliares del iris. Presenta inscripción de L.T.J. Auxous, 1883</t>
  </si>
  <si>
    <t>Libros de texto</t>
  </si>
  <si>
    <t>Fernández de Castro</t>
  </si>
  <si>
    <t xml:space="preserve">Mapa geológico de España, “ Comisión Sr. Fernández de Castro”  </t>
  </si>
  <si>
    <t xml:space="preserve"> 180 m de alto, extensible a 2,40m-</t>
  </si>
  <si>
    <t>A partir de una mesa anterior de la sala 3; se le implementa una cubierta paralelipédica de vidrio, desmontable</t>
  </si>
  <si>
    <t>Mobiliario funcional</t>
  </si>
  <si>
    <t>Mobiliario ornamental</t>
  </si>
  <si>
    <t>Modelo del desarrollo del huevo de Gallus gallus domesticus</t>
  </si>
  <si>
    <t>Modelo clástico de encéfalo humano, tamaño natural</t>
  </si>
  <si>
    <t>Modelo cástico de encéfalo humano, tamaño natural, en plástico</t>
  </si>
  <si>
    <t>Modelo de encéfalo humano, tamaño natural, en plástico</t>
  </si>
  <si>
    <t>Modelo cástico de cráneo humano, en plástico</t>
  </si>
  <si>
    <t>Modelo de cráneo humano de raza caucásica</t>
  </si>
  <si>
    <t>Modelo de cráneo humano de raza mongólica</t>
  </si>
  <si>
    <t>Modelo de cráneo humano de raza americana</t>
  </si>
  <si>
    <t>Modelo de cráneo humano de raza negra</t>
  </si>
  <si>
    <t>Soporte rectangular con argollas metálicas</t>
  </si>
  <si>
    <t xml:space="preserve">Tubo cerrado capilar </t>
  </si>
  <si>
    <t>fracturada</t>
  </si>
  <si>
    <t xml:space="preserve">Mortero de cristal, norma 100,  </t>
  </si>
  <si>
    <t>s. XX</t>
  </si>
  <si>
    <t>Catalejo de plancheta con nivel</t>
  </si>
  <si>
    <t>Grafómetro con catalejo</t>
  </si>
  <si>
    <t>Teodolito</t>
  </si>
  <si>
    <t>Teodolito de lecturas microscópicas</t>
  </si>
  <si>
    <t>Círculo repetidor</t>
  </si>
  <si>
    <t>Brújula – Secante</t>
  </si>
  <si>
    <t>6834/69</t>
  </si>
  <si>
    <t>Sección de Cerithium vulgatum</t>
  </si>
  <si>
    <t>Recipiente de loza de 12 cm de diámetro y 13 de altura. Tapón de corcho, con mal ajuste. Relleno de numerosos trozos de médula de saúco de pequeño tamaño.</t>
  </si>
  <si>
    <t>Recipiente de vidrio de 1,75 cm de diámetro y 8,5 cm de altura, con tapón de corcho. Encierra 40 fragmento de médula de saúco.</t>
  </si>
  <si>
    <t>Se utilizan con el micrótomo de mano y la navaja histológica para realizar cortes delgados de material vegetal como tallos, hojas o raíces. Después estos cortes se pueden teñir y montar en portaobjetos para obtener preparaciones microscópicas de histología u organografía vegetal.</t>
  </si>
  <si>
    <t>Tubo de vidrio para médula de saúco (Sambucus nigra)</t>
  </si>
  <si>
    <t>Chapapote</t>
  </si>
  <si>
    <t>Petróleo</t>
  </si>
  <si>
    <t>En frasco de vidrio esmerilado, sobre peana de madera.</t>
  </si>
  <si>
    <t>Solo 1/6 del total del frasco</t>
  </si>
  <si>
    <t>PORÍFEROS, TUNICADOS Y BRIOZOOS</t>
  </si>
  <si>
    <t>Ventana alféizar</t>
  </si>
  <si>
    <t>Estalactita</t>
  </si>
  <si>
    <t>PAÍS</t>
  </si>
  <si>
    <t>Pipistrellus pipistrellus</t>
  </si>
  <si>
    <t>Murciélago común</t>
  </si>
  <si>
    <t>CONTINENTE</t>
  </si>
  <si>
    <t>PAIS</t>
  </si>
  <si>
    <t>Norteamérica</t>
  </si>
  <si>
    <t>Sudamérica</t>
  </si>
  <si>
    <t>Antártida</t>
  </si>
  <si>
    <t>Centroamérica</t>
  </si>
  <si>
    <t>Incisivos agudos insectívoros: 4/6; envergadura 27 cm, cuerpo 11 cm x 3 cm</t>
  </si>
  <si>
    <t>Liofilizado. Envergadura 16 cm; cuerpo: 3,5 cm x 2,5 cm. El animal fue encontrado muerto por alumnos en el laboratrorio de Biología y Geología</t>
  </si>
  <si>
    <t>Último tercio s. XIX</t>
  </si>
  <si>
    <t>Hippurites radiosus</t>
  </si>
  <si>
    <t xml:space="preserve">Aragonito  prismatoideo    </t>
  </si>
  <si>
    <t>Moenura (=Menoura) lyra</t>
  </si>
  <si>
    <t>Clamator (=Cuculus) glandarius</t>
  </si>
  <si>
    <t>En la cartela original del s. XIX aparece como Fulica atra</t>
  </si>
  <si>
    <t>Cacedonia</t>
  </si>
  <si>
    <t>Ópalo común</t>
  </si>
  <si>
    <t>Exp. 4M</t>
  </si>
  <si>
    <t>Hierro especular cristalizado</t>
  </si>
  <si>
    <t>Navacerrada, Somosierra</t>
  </si>
  <si>
    <t>Chimborazo</t>
  </si>
  <si>
    <t>Andes</t>
  </si>
  <si>
    <t>Pórfido diorítico</t>
  </si>
  <si>
    <t>BIBLIOGRAFÍA</t>
  </si>
  <si>
    <t>1861-62</t>
  </si>
  <si>
    <t>Memoria 1862</t>
  </si>
  <si>
    <t>1861-61</t>
  </si>
  <si>
    <t>Pertenecía a un modelo clástico de 1,16 m, que se adquirió incompleto, en papel maché más otros aglomerantes, policromado. Está completo, pero en un estado de conservación lamentable</t>
  </si>
  <si>
    <t>Pertenecía a un modelo clástico de 1,16 m, que se adquirió incompleto, en papel maché más otros aglomerantes, policromado. Es parte del antiguo hombre clástico de Auzoux que existió en elk Gabinente de Historia Naturañ..</t>
  </si>
  <si>
    <t>Formó parte de una colección de 100 sólidos cristalográficos en madera de nogal; medidas:</t>
  </si>
  <si>
    <t>1861-1862</t>
  </si>
  <si>
    <t>1862-1863</t>
  </si>
  <si>
    <t>1861-1861</t>
  </si>
  <si>
    <t>1860-1861</t>
  </si>
  <si>
    <t>1859-1860</t>
  </si>
  <si>
    <t>Tolypeutes tricinctus</t>
  </si>
  <si>
    <t>Aguila chrysaetos (=Falco chrysaetos)</t>
  </si>
  <si>
    <t>Bubo bubo (=maximus)</t>
  </si>
  <si>
    <t>Strix (=Syrnium) aluco</t>
  </si>
  <si>
    <t>Memoria 1860</t>
  </si>
  <si>
    <t>Lanius excubitor (=rufus)</t>
  </si>
  <si>
    <t>Oriolus oriolus (=galbula)</t>
  </si>
  <si>
    <t xml:space="preserve">Serinus (=Fringilla) canaria </t>
  </si>
  <si>
    <t>cartela como Fringilla domestica</t>
  </si>
  <si>
    <t>Carduelis carduelis (=Carduellis vulgaris)</t>
  </si>
  <si>
    <t>Carduelis (=Fringilla) chloris (=citrinella)</t>
  </si>
  <si>
    <t>Fringilla coccothraustes (=Coccothraustes vulgaris)</t>
  </si>
  <si>
    <t>Pica pica (=caudata)</t>
  </si>
  <si>
    <t>Cyanocitta californica (=Pica cyanea)</t>
  </si>
  <si>
    <t>Alcedo atthis (=ispida)</t>
  </si>
  <si>
    <t>Pterocles alchata (=arenarius)</t>
  </si>
  <si>
    <t>Ciconia ciconia (=alba)</t>
  </si>
  <si>
    <t>1850-1860</t>
  </si>
  <si>
    <t>Grafómetro ¿de pínulas con brújula?</t>
  </si>
  <si>
    <t>Escuadra de Agrimensor o Pantómetro</t>
  </si>
  <si>
    <t>Originariamente con dos anteojos y trípode</t>
  </si>
  <si>
    <t xml:space="preserve"> Originariamente tenía un trípode</t>
  </si>
  <si>
    <t>Memoria 1863</t>
  </si>
  <si>
    <t>1862-1863?</t>
  </si>
  <si>
    <t>Memoria 1863?</t>
  </si>
  <si>
    <t>Jaspe pardo</t>
  </si>
  <si>
    <t>Jacchus vulgaris</t>
  </si>
  <si>
    <t>Jaspe rojo</t>
  </si>
  <si>
    <t>"sanguíneo"</t>
  </si>
  <si>
    <t>Memoria 1864</t>
  </si>
  <si>
    <t>Murciélago</t>
  </si>
  <si>
    <t>Solo la extremidad delantera (ala) y trasera derechas</t>
  </si>
  <si>
    <t>Uña de Felix tigris</t>
  </si>
  <si>
    <t>Esqueleto de Sciurus comunis (=vulgaris)</t>
  </si>
  <si>
    <t xml:space="preserve">Esqueleto de Gallus gallus (=gallinaceus) domesticus </t>
  </si>
  <si>
    <t>Esqueleto de Perca sp.</t>
  </si>
  <si>
    <t>Marsopa común</t>
  </si>
  <si>
    <t>Phocoena (Phoccaena) phocoena (=phoccaena) (=rondeleti)</t>
  </si>
  <si>
    <t>Charadrius pluvialis (=Pluvidis squatarola)</t>
  </si>
  <si>
    <t>Ardeola (=Ardea) ralloides</t>
  </si>
  <si>
    <t>Crex (=Ortygometra) crex</t>
  </si>
  <si>
    <t>Scolopax gallinula (=Lymnocriptes minimus)</t>
  </si>
  <si>
    <t xml:space="preserve">Sternula albifrons (=Sterna minuta) </t>
  </si>
  <si>
    <t>Memoiria 1863</t>
  </si>
  <si>
    <t>Anas penelope ♂ y ♀</t>
  </si>
  <si>
    <t>Serpientes amazónicas</t>
  </si>
  <si>
    <t xml:space="preserve">Carcharinus plumbeus (=Squalus cornubicus) </t>
  </si>
  <si>
    <t>Tiburón gris o marrajo</t>
  </si>
  <si>
    <t>Erizo violaceo</t>
  </si>
  <si>
    <t>Fracturado</t>
  </si>
  <si>
    <t>Echinus granularis Pendiente restauración y exposición</t>
  </si>
  <si>
    <t>1864-1865</t>
  </si>
  <si>
    <t>Memoria 1865</t>
  </si>
  <si>
    <t>en 1864-1865 se adquiren 8 reptiles, todos de la provincia</t>
  </si>
  <si>
    <t>1869-1870</t>
  </si>
  <si>
    <t>Memoria 1870</t>
  </si>
  <si>
    <t>Modelo clástico en papel maché más otros aglomerantes, policromado: no se desmonta en otras piezas. Alt: 13 cm., diám.: 10 cm. Sombrero rojo con manchitas claras himenio delicado con láminas unidas al pie o pedicelo, este estrecho y con faldoncillo superior, y volva inf. prominente. Sobre soporte rectangular 21 cm x 7 cm, de madera teñida nogal..Se adquirieron dos.</t>
  </si>
  <si>
    <t>Campana de vidrio soplado y base de madera dorada</t>
  </si>
  <si>
    <t>Para Euplectella.</t>
  </si>
  <si>
    <t>1869-1860</t>
  </si>
  <si>
    <t>SRGA adquiere 5.000 en 1869-1870,  y se refiere a ellas como etiquetas.</t>
  </si>
  <si>
    <t>Canis lupus</t>
  </si>
  <si>
    <t>No expuesto</t>
  </si>
  <si>
    <t>1869-1879</t>
  </si>
  <si>
    <t>En 1869-1870 se adquiere un gran "polipero" ¿será este?</t>
  </si>
  <si>
    <t>1859-1870</t>
  </si>
  <si>
    <t>Memorias 1860 y 1870</t>
  </si>
  <si>
    <t>Memoria1860</t>
  </si>
  <si>
    <t>Óxidos hidratados de hierro. Luis Castellón, en su blog, dice que fue cedido por Isabel Marchant.</t>
  </si>
  <si>
    <t>Mítrido (con forma de mitra)</t>
  </si>
  <si>
    <t>Eretmochelys  imbricata (=Chelonia inbricata)</t>
  </si>
  <si>
    <t>Cálculo biliar humano pigmentario</t>
  </si>
  <si>
    <t>Cálculos biliares humanos pigmentarios</t>
  </si>
  <si>
    <t>En los cálculos biliares pigmentarios su núcleo suele contener colesterol, sobre el que se depositan sales cálcicas de pigmentos biliares y de bilirrubina, en forma de bilirrubinato de calcio. Aparecen en grandes cantidades. Su color es marrón o negro y su consistencia es blanda. Son del 20% de los cálculos.</t>
  </si>
  <si>
    <t>De 3,5 x 3 x 2,5 cms. En los cálculos biliares pigmentarios su núcleo suele contener colesterol, sobre el que se depositan sales cálcicas de pigmentos biliares y de bilirrubina, en forma de bilirrubinato de calcio. Aparecen en grandes cantidades. Su color es marrón o negro y su consistencia es blanda. Son del 20% de los cálculos.</t>
  </si>
  <si>
    <t>La mayoria pertenecientes a la colección de 500 fósiles adquirida en 1861-62</t>
  </si>
  <si>
    <t>Jean Louis Semain</t>
  </si>
  <si>
    <t>Jean Louis Semain?</t>
  </si>
  <si>
    <t>Ciply</t>
  </si>
  <si>
    <t>Bélgica</t>
  </si>
  <si>
    <t xml:space="preserve"> Bélgica</t>
  </si>
  <si>
    <t xml:space="preserve">Erfoud </t>
  </si>
  <si>
    <t>Austria</t>
  </si>
  <si>
    <t xml:space="preserve">Chubut </t>
  </si>
  <si>
    <t>Argentina</t>
  </si>
  <si>
    <t>Sazuen</t>
  </si>
  <si>
    <t>Arthur Eloffe y Cia.</t>
  </si>
  <si>
    <t>Real Jardín Botánico</t>
  </si>
  <si>
    <t xml:space="preserve">Atlas </t>
  </si>
  <si>
    <t>Visé</t>
  </si>
  <si>
    <t>Ulyanovsk</t>
  </si>
  <si>
    <t>Rusia</t>
  </si>
  <si>
    <t>Uddevalla</t>
  </si>
  <si>
    <t>Ejemoplar pulido</t>
  </si>
  <si>
    <t>Solo una pinza</t>
  </si>
  <si>
    <t>Ejemplar de gran tamaño</t>
  </si>
  <si>
    <t>Ejemplar de la concha con su sifon</t>
  </si>
  <si>
    <t>Encontramos el original y el molde</t>
  </si>
  <si>
    <t>Solo el molde externo</t>
  </si>
  <si>
    <t>El ejemplar se encuentra con evidencias de tectonización</t>
  </si>
  <si>
    <t>Sección axial pulimentada</t>
  </si>
  <si>
    <t>Ejemplar pulimentado</t>
  </si>
  <si>
    <t>Elejemplar se encuentra tallado sobre la roca</t>
  </si>
  <si>
    <t>Evidencias de quitinización primaria</t>
  </si>
  <si>
    <t>Varios ejemplares.</t>
  </si>
  <si>
    <t>Finca San Luis Gonzaga.,Antequera, Málaga</t>
  </si>
  <si>
    <t>Indicar lamelibranquio, gasterópodo…, nº valvas, tamaño</t>
  </si>
  <si>
    <t>¿?</t>
  </si>
  <si>
    <t>1995-2015</t>
  </si>
  <si>
    <t>Pristis antiquorum</t>
  </si>
  <si>
    <t>Placa rostral  de 1 m de longitud.</t>
  </si>
  <si>
    <t>Placa rostral 1,60 m de longitud.</t>
  </si>
  <si>
    <t>En diferentes estados de metamorfosis.</t>
  </si>
  <si>
    <t>Tringa variabilis (=Calidris alpina)</t>
  </si>
  <si>
    <t>Tringa subarquata (=Calidris ferruginea)</t>
  </si>
  <si>
    <t>Tringa temminckii (=Calidris temminckii)</t>
  </si>
  <si>
    <t>Colymbus septentrionalis (=Gavia stellata)</t>
  </si>
  <si>
    <t>Podiceps minor (=Tachybaptus ruficolis)</t>
  </si>
  <si>
    <t>Coturnix (=Ortyx) coturnix ♂</t>
  </si>
  <si>
    <t>Coturnix (=Ortyx) coturnix,  ♀ y dos crías.</t>
  </si>
  <si>
    <t xml:space="preserve">Melanita frusca (Anas leucophtalmus)   </t>
  </si>
  <si>
    <t xml:space="preserve">Tadorna ferruginea (=Anas fusca) y cría </t>
  </si>
  <si>
    <t>Pendiente de clasificación</t>
  </si>
  <si>
    <t>Adulto acompañado de un polluelo</t>
  </si>
  <si>
    <t xml:space="preserve">Estaño oxidado pseudomorfico </t>
  </si>
  <si>
    <r>
      <t xml:space="preserve">Presenta un cristal </t>
    </r>
    <r>
      <rPr>
        <i/>
        <sz val="8"/>
        <rFont val="Arial"/>
        <family val="2"/>
      </rPr>
      <t>hemitropado</t>
    </r>
  </si>
  <si>
    <t xml:space="preserve">En agregados fibroso-radiados.  </t>
  </si>
  <si>
    <t>Oro nativo</t>
  </si>
  <si>
    <t>prismas perfectos de 16 cms. y dos menores</t>
  </si>
  <si>
    <t>de 18 cms.</t>
  </si>
  <si>
    <t xml:space="preserve">Fluorita   </t>
  </si>
  <si>
    <t xml:space="preserve">Vanadinita </t>
  </si>
  <si>
    <t xml:space="preserve">   (Vanadato de Pb)</t>
  </si>
  <si>
    <t xml:space="preserve">Vanadinita  </t>
  </si>
  <si>
    <t xml:space="preserve">Thorbernita   </t>
  </si>
  <si>
    <t xml:space="preserve">Thorbernita     </t>
  </si>
  <si>
    <t xml:space="preserve">Malaquita    </t>
  </si>
  <si>
    <t xml:space="preserve"> Carbonato de Cu</t>
  </si>
  <si>
    <t xml:space="preserve">Tetraedrita </t>
  </si>
  <si>
    <t xml:space="preserve">Diópsido  con prehenita  </t>
  </si>
  <si>
    <t>Silicato del grupo de los piroxenos y filosilicato.</t>
  </si>
  <si>
    <t xml:space="preserve">Vanadato de Pb y Zn   </t>
  </si>
  <si>
    <t xml:space="preserve">Albita     </t>
  </si>
  <si>
    <t>Tectosilicato</t>
  </si>
  <si>
    <t>Eritrina</t>
  </si>
  <si>
    <t>Yesos sin maclar</t>
  </si>
  <si>
    <r>
      <t xml:space="preserve">Mercurio nativo  </t>
    </r>
    <r>
      <rPr>
        <b/>
        <sz val="12"/>
        <color indexed="12"/>
        <rFont val="Arial"/>
        <family val="2"/>
      </rPr>
      <t xml:space="preserve"> </t>
    </r>
  </si>
  <si>
    <t xml:space="preserve">Cuarcita blanca con manchas de cinabrio </t>
  </si>
  <si>
    <t>(3-5%); muestra minería.</t>
  </si>
  <si>
    <t>(1-3%); muestra minería.</t>
  </si>
  <si>
    <t>12-15%, muestra de minería.</t>
  </si>
  <si>
    <t>Cuarcita oscura con  de cinabrio</t>
  </si>
  <si>
    <t>Galena argentífera con baritina y óxido de hierro</t>
  </si>
  <si>
    <t xml:space="preserve">(mineral acerado negro) </t>
  </si>
  <si>
    <t>(Octaedro verde)</t>
  </si>
  <si>
    <t>(Cubos blancos semitraslúcidos)</t>
  </si>
  <si>
    <t xml:space="preserve">Silvina                </t>
  </si>
  <si>
    <t xml:space="preserve"> ( testigo sondeo )      </t>
  </si>
  <si>
    <t>Fluorita amarilla.</t>
  </si>
  <si>
    <t>En cristales amarillos</t>
  </si>
  <si>
    <t>Fluorita verde</t>
  </si>
  <si>
    <t>Fluorita blanca</t>
  </si>
  <si>
    <t xml:space="preserve">Espato fluor </t>
  </si>
  <si>
    <t>cristalizado en cubos algo verdoso, con espato calizo y espato perlado</t>
  </si>
  <si>
    <t xml:space="preserve">Fluorita franciscana.      </t>
  </si>
  <si>
    <t>Plata clorurada</t>
  </si>
  <si>
    <t xml:space="preserve">Triplita </t>
  </si>
  <si>
    <t xml:space="preserve"> (Manganeso fosfatado)</t>
  </si>
  <si>
    <t xml:space="preserve">Muestra de minería: proporciones 24'99% y 27 % </t>
  </si>
  <si>
    <t>Cobre y Oro</t>
  </si>
  <si>
    <t xml:space="preserve">Cobre </t>
  </si>
  <si>
    <t>55% ; muestra de minería.</t>
  </si>
  <si>
    <t xml:space="preserve">Siderita      </t>
  </si>
  <si>
    <t xml:space="preserve">(masa de romboedros pequeños )    </t>
  </si>
  <si>
    <t xml:space="preserve">Aragonito </t>
  </si>
  <si>
    <t>(Prismas en geoda)</t>
  </si>
  <si>
    <t xml:space="preserve">Calcita espástica </t>
  </si>
  <si>
    <t>(gran masa)</t>
  </si>
  <si>
    <t xml:space="preserve">Biotita </t>
  </si>
  <si>
    <t xml:space="preserve">Actinolitas </t>
  </si>
  <si>
    <t xml:space="preserve">(grandes)    </t>
  </si>
  <si>
    <t xml:space="preserve">Hornblenda              </t>
  </si>
  <si>
    <t xml:space="preserve"> ( masa con prisma )     </t>
  </si>
  <si>
    <t>en rombododecaedros</t>
  </si>
  <si>
    <t>un rombododecaedro y un trapezoedro.</t>
  </si>
  <si>
    <t>Fluorita en cubos con espato calizo perlado</t>
  </si>
  <si>
    <t xml:space="preserve"> ( cubos )    </t>
  </si>
  <si>
    <t xml:space="preserve">Pirita      </t>
  </si>
  <si>
    <t xml:space="preserve"> ( cubos limonitizados )   </t>
  </si>
  <si>
    <t xml:space="preserve">Cobaltina </t>
  </si>
  <si>
    <t>(geoda artificial)</t>
  </si>
  <si>
    <t>En la antigüedad se usaba para emitir monedas de menor contenido en oro y así aumentar las ganancias; También se uó en el antiguio Egioto para cubriri los "liramidones" de pirámidos y obeliscos</t>
  </si>
  <si>
    <t>Níquel suflurado capilar</t>
  </si>
  <si>
    <t>Millerita sobre cuarzo</t>
  </si>
  <si>
    <r>
      <t>Ulexita</t>
    </r>
    <r>
      <rPr>
        <b/>
        <sz val="12"/>
        <rFont val="Arial"/>
        <family val="2"/>
      </rPr>
      <t/>
    </r>
  </si>
  <si>
    <t>Borato hidratado de Ca y Na  (cortada 001 )  ¡Antes clasificada como sulfato-yeso!</t>
  </si>
  <si>
    <t>En cubos y romboedros respectivamente</t>
  </si>
  <si>
    <t>Fluorita con calcita</t>
  </si>
  <si>
    <t xml:space="preserve">Gohetita    </t>
  </si>
  <si>
    <t xml:space="preserve">Pirolusita  </t>
  </si>
  <si>
    <t>Romboedros. Gran masa recubriendo superficie.  FeCO3</t>
  </si>
  <si>
    <r>
      <t>Eritrina</t>
    </r>
    <r>
      <rPr>
        <b/>
        <sz val="12"/>
        <color indexed="12"/>
        <rFont val="Arial"/>
        <family val="2"/>
      </rPr>
      <t xml:space="preserve">     </t>
    </r>
  </si>
  <si>
    <t>Arseniato de Co y Ni</t>
  </si>
  <si>
    <t xml:space="preserve">Tremolita    </t>
  </si>
  <si>
    <t xml:space="preserve">Wulfenita   </t>
  </si>
  <si>
    <t xml:space="preserve">Wulfenita    </t>
  </si>
  <si>
    <t xml:space="preserve"> Molibdato</t>
  </si>
  <si>
    <t xml:space="preserve">Hemimorfita o Calamina </t>
  </si>
  <si>
    <t>(Tectosilicato)</t>
  </si>
  <si>
    <t>Prisma y dos romboedros . 14 cms</t>
  </si>
  <si>
    <t>pulimentada plana</t>
  </si>
  <si>
    <t>REFERENCIA</t>
  </si>
  <si>
    <r>
      <rPr>
        <b/>
        <sz val="10"/>
        <color theme="9" tint="-0.24994659260841701"/>
        <rFont val="Arial"/>
        <family val="2"/>
      </rPr>
      <t>FECHA</t>
    </r>
    <r>
      <rPr>
        <sz val="10"/>
        <color theme="9" tint="-0.24994659260841701"/>
        <rFont val="Arial"/>
        <family val="2"/>
      </rPr>
      <t xml:space="preserve"> </t>
    </r>
    <r>
      <rPr>
        <b/>
        <sz val="10"/>
        <color theme="9" tint="-0.24994659260841701"/>
        <rFont val="Arial"/>
        <family val="2"/>
      </rPr>
      <t>INVENTARIADO ACTUAL</t>
    </r>
  </si>
  <si>
    <t>En caja de cartón, en plástico rígido transparente de colores vivos</t>
  </si>
  <si>
    <t>Sólidos cristalográficos en cartulina</t>
  </si>
  <si>
    <t>Folleto explicativo para sólidos cristalográficos</t>
  </si>
  <si>
    <t>Caja para Sólidos cristalográficos en cartulina</t>
  </si>
  <si>
    <t>Colección de 98 formas cristalográficas en cartulina con arista coloreadas según istema cristalino, con caras, ejes y palnos de simetrí</t>
  </si>
  <si>
    <t>… pág. ; Incluye formas meroédricas</t>
  </si>
  <si>
    <t>Fecha impresa</t>
  </si>
  <si>
    <t>Prof. Antonio Iniesta .Cultura</t>
  </si>
  <si>
    <t xml:space="preserve">Cristalografía Deductiva: ejemplares deteriorados, pendientes de arreglo </t>
  </si>
  <si>
    <t>Prof. Antonio Iniesta: Cultutra</t>
  </si>
  <si>
    <t>Cristalografía Deductiva.</t>
  </si>
  <si>
    <t>Chipichipi, o coquina o chirla del Caribe</t>
  </si>
  <si>
    <t>Comestible.</t>
  </si>
  <si>
    <t>Tellinidos</t>
  </si>
  <si>
    <t>Tuboidal con abundantes microperforaciones</t>
  </si>
  <si>
    <t>Conchafina, almeja malageña o almejón de sangre</t>
  </si>
  <si>
    <t>Apreciada en gastronimía</t>
  </si>
  <si>
    <t>Cerastoderma (=Cardium) edule</t>
  </si>
  <si>
    <t>Berberecho</t>
  </si>
  <si>
    <t>Lamelibranquio de unos10 mm Ø (de diámetro), y su apariencia exterior puede variar entre un color cremoso hasta un marrón oscuro. Habita en zonas arenosas o de cantos rodados, viviendo semienterrada o enterrada</t>
  </si>
  <si>
    <t>Lamelibranquio de color blanco amarillento,2​ habitualmente con líneas oscuras y presenta de 22 a 28 costillas radiales muy pronunciadas, ásperas y anchas, las cuales se encuentran cruzadas por rayas concéntricas y espinas escamosas.3​ Su forma es globosa, casi triangular y puede llegar a alcanzar los 6 cm. en fondos cenagosos, arenosos y de grava, habitualmente bajo la superficie del fondo. Con ayuda de su pie puede sar salto de hast medio metro.</t>
  </si>
  <si>
    <t>Joyero de Lazaro</t>
  </si>
  <si>
    <t>Lamelibránquio marino de unos 75 mm x 140 mm. La concha de color marrón rojizo está cubioerta de recrecimientos en forma de palas o espinas. Habita en fondos rocosos o coralinos bajo la zona intermareal hasta 30 m de profundidad.</t>
  </si>
  <si>
    <t>Quitón gigante</t>
  </si>
  <si>
    <t>Chiton (=Dinoplax) gigas</t>
  </si>
  <si>
    <t>Lamelibranqui de valvas muy gruesas, muy escaso, ¿extinguido?</t>
  </si>
  <si>
    <t>Venus china, almeja negra o de hierro</t>
  </si>
  <si>
    <t>Lamelibranquio marino de fonndos planos.</t>
  </si>
  <si>
    <t>Cyclina sinensis (=chinensis)</t>
  </si>
  <si>
    <t>Molusco escafópodo marino excavador, concha cónica, estriada longitudinalmente, y curvada, de 4-5 cm, abierta en ambos extremos; en el mayor o anterior se encuentran el pie y la boca, enterrado en el fango. El orificio pequeño permite la circulación del agua para la evacuación de las heces y para el intercambio respiratorio puesto que carecen de branquias Antalis sp. es similar pero lisa sin estrías.</t>
  </si>
  <si>
    <t>Donax es un género de almejas de mar comestibles, conocidas como coquinas, tellinas , tellerinas. Viven en la zona intramareal, enterradas verticalmente en la arena</t>
  </si>
  <si>
    <t>Navaja</t>
  </si>
  <si>
    <t>Lamelibranquio marino de concha larga, de 10 a 20 cm de longitud. Bordes dorsal y ventral rectos y paralelos, con pico y umbo anterior, sin surco. Ligamento oscuro externo. Color blanquecino, con bandas ocres, violáceas, de periostraco verdoso o amarillo. Enterrado en fondos arenosos y de fango hasta 30 m de profundidad.</t>
  </si>
  <si>
    <t>Apreciado gastronóimicamente</t>
  </si>
  <si>
    <t>Almeja de Guinea</t>
  </si>
  <si>
    <t>Lamelibranquio marino, de valvas marrones oscura-verdosas, con radios pigmentadsos más oscuros.</t>
  </si>
  <si>
    <t>Lamelibranquio de valvas circulares blanquecinas, con estfriaciones concentricas</t>
  </si>
  <si>
    <t>Lamelibranquio marino, de valvas alargadas, de color crema a marrón oscuro</t>
  </si>
  <si>
    <t>Lyonsia (=Amphiesma ) norvegica</t>
  </si>
  <si>
    <t>Mesodesma donacia (=donacium)</t>
  </si>
  <si>
    <t>Macha o almeja chilena</t>
  </si>
  <si>
    <t>Se extrae en grandes cantidades para el consumo humano. Poblaciones en riesgo.</t>
  </si>
  <si>
    <t>Lamelibranquio marino dióico sin dimorfismo sexual. Valvas d forma triangular alargadas, finas, amarillas parduzcas. Vive enterrado en playas de arena con un gran oleaje</t>
  </si>
  <si>
    <t>Almeja de Nueva Inglaterra, o almeja blanda.</t>
  </si>
  <si>
    <t>Gaitero truncado</t>
  </si>
  <si>
    <t>Lamelibranquio similar a Mya arenaria ), pero generalmente son más pequeñosde 2.5-7.5 cm., con valvas menos alargadas</t>
  </si>
  <si>
    <t>Comestible</t>
  </si>
  <si>
    <t>Lamelibranquio de valvas finas y frágiles, alargadas, max. 13 cm, unas cuatro veces tan larga como ancha con el margen anterior y el posterior redondeados y abiertos; el anterior ligeramente apuntado. Los umbos son pequeños y apenas diferenciados; co,or blancp-pardezco  ornamentación a base de numerosas líneas finas concéntricas. En fondos arenosos.</t>
  </si>
  <si>
    <t>Navajitas</t>
  </si>
  <si>
    <t>Lamelibranqui lumniscente, perforador de rocas. De 13 a 15 cm, color blanco amarillento o blanco grisáceo. margen ventral anterior cóncavo y crenulado y formando una hendidura para el paso del pie; líneas concéntricas radiales y en sus intersecciones aparecen espinas. En aguas someras, excavando en rocas blandas o madera.</t>
  </si>
  <si>
    <t xml:space="preserve">Comestible, muy apreciada en Europa. Plinio hablaba de la luminiscencia en las bocas de las personas que comían Pholas y de tal importancia es este fenómeno incluso dijo, que el primer rey de Escocia había ganado su trono por consumir estas almejas. A finales de siglo XIX fisiólogo el francés Raphaël Dubois estableció el sistema luciferina-luciferasa </t>
  </si>
  <si>
    <t>Dátil de mar común</t>
  </si>
  <si>
    <t>Psamobia (=Soletellina) violacea</t>
  </si>
  <si>
    <t>Solecurtus strigillatus (= albus)</t>
  </si>
  <si>
    <t>Almeja de afeitar rosada</t>
  </si>
  <si>
    <t>Lamelibranquio de valvas relativamente pequeñas, delgadas y finamente esculpidas. Vive en fonfos blandos arenosos, donde excava con gran rapidaz para huir de los depredadores.</t>
  </si>
  <si>
    <t xml:space="preserve">Lamelibranquio de concha sólida triangular, valvas simétricas y con el umbo casi central, más picudo que en Spisula solida. Superficie lisa, con finas líneas de crecimiento, y brillante. Borde de las valvas liso. Coloración blanca, borde parduzco; interior blanco. Hasta 3 cm de longitud. </t>
  </si>
  <si>
    <t>Alemja o chirla blanca</t>
  </si>
  <si>
    <t>Coquina</t>
  </si>
  <si>
    <t>Molusco braquiópodo. Concha biconvexa con asimetría ecualorial en sus valvas; la mayor de ellas con foramen u orificio para la salida del pedúnculo.Son auténticos fósiles vivientes.</t>
  </si>
  <si>
    <t xml:space="preserve">Venus subrugosa </t>
  </si>
  <si>
    <t>Almejón</t>
  </si>
  <si>
    <r>
      <t xml:space="preserve">NOMBRE EJEMPLAR/OBJETO </t>
    </r>
    <r>
      <rPr>
        <b/>
        <sz val="9"/>
        <color theme="9" tint="-0.24994659260841701"/>
        <rFont val="Arial"/>
        <family val="2"/>
      </rPr>
      <t>(sinonímias)</t>
    </r>
  </si>
  <si>
    <t>Molusco poliplacóforo (muchas placas) de unos 110 mim., (exc.170mm); alargados, ovalados y carinados. 8 placas calcáreas, dispuestas a modo de persiana, enrollable. Valvas arquedas, grises o marrones. La faja coriácea es grisácea o marrón, manchada de negro y tiene mechones de pelos cortos. Se esconde debajo de las rocas durante el día pero emerge por la noche, en la zona submareal hasta los 5 m de profundidad.</t>
  </si>
  <si>
    <t>Utilizados como adorno, masculino y femenino, en muchas culturas</t>
  </si>
  <si>
    <t>Sus conchas son frecuentes en las playas del Índico</t>
  </si>
  <si>
    <t>Lamelibranquio de valvas alargadas, muy grandes, blanquecinas: vive enterrada a 1 m  de profundidad y saca su gran sifón al exterior; filtra grandes cantidades de agua, y las sustancias tóxicas las acumula en su concha, por lo que es muy interesante para conocer los episodios de contaminación crónica de una zona.</t>
  </si>
  <si>
    <t>Puede acumular muchos tóxicos, lo que la convierte en un medio interesante para evaluar la contaminación crónica en el medio.</t>
  </si>
  <si>
    <t>Almeja gigante</t>
  </si>
  <si>
    <t xml:space="preserve"> Comestibles, acuarofilia, ocasionalmente ecomo pilas bauitismales.</t>
  </si>
  <si>
    <t>Madreperla</t>
  </si>
  <si>
    <t>Lamelibranquios en peligro de extinción ya que son grandes productores de nácar  (placas de aragonito de 0,5 micras de espesor) para ebanistería, joyería… Aunque hoy se fabrica artificialmente.</t>
  </si>
  <si>
    <t>Almeja gigante estriada o escamosa</t>
  </si>
  <si>
    <t>Lamelibranquio de hasta 1,5 m y 330 kg. (el bivalvo más grande del mundo) y 100 años de vida, vive en simbiosis con algas zooxantelas, que les proporcionan glucosa y oxígeno y  le dan una coloración espectacular al manto.  Concha con 4 a 5 ondulaciones de forma triangular (solo en ejemplares adultos). Arrecifes coralinos, adheridos en la masa coralífera.  Poblaciones en retroceso.</t>
  </si>
  <si>
    <t>Lamelibranquio de hasta 45 cm; concha con 4 a 5 ondulaciones de forma triangular, pero atravesadas por escamas estriadas en forma de hojas, notablemente más largas en el que en T. gigas, sirviendo de refugio a invertebrados. Arrecifes coralinos, adheridos en la masa coralífera.</t>
  </si>
  <si>
    <t>Comestibles, acuarofilia</t>
  </si>
  <si>
    <t>Berberecho espinoso</t>
  </si>
  <si>
    <r>
      <rPr>
        <sz val="8"/>
        <rFont val="Arial"/>
        <family val="2"/>
      </rPr>
      <t xml:space="preserve">Lamelibranquio de concha robusta, redondeada y dos valvas muy convexas; fuertes costillas laminares concéntricas, paralelas al borde ventral, que muestran unas </t>
    </r>
    <r>
      <rPr>
        <i/>
        <sz val="8"/>
        <rFont val="Arial"/>
        <family val="2"/>
      </rPr>
      <t>verrugas</t>
    </r>
    <r>
      <rPr>
        <sz val="8"/>
        <rFont val="Arial"/>
        <family val="2"/>
      </rPr>
      <t xml:space="preserve"> alrededor de los bordes posterior y anterior.</t>
    </r>
  </si>
  <si>
    <t>Lamelibranquio de color ocre-blanquecino, de hasta 10 cm de longitud; concha asimétrica: lado anterior redondeado y el posterior aplanado, ligeramente abierta; borde dentado. 20 - 22 costillas superficiales, que se marcan en el interior en forma de surcos, de cuyas líneas centrales salen gruesas espinas, dirigidas a la parte posterior; también presenta estrías de crecimiento. En fondos arenosos.</t>
  </si>
  <si>
    <t>Lamelibranquio con unas 30 costillas delgadas y planoa, por valva, devsección cuadrada; valvas de forma redondeada a. Las costillas están cubiertas por una densa serie de espinas puntiagudas y cónicas, más robustas y compactas que en A. aculeata</t>
  </si>
  <si>
    <t>A veces se considera una subespecie de A erinacea.</t>
  </si>
  <si>
    <t xml:space="preserve">Lamelibranquio de concha gruesa y globosa, de hasta 9 cm., redondeado y de valvas simétricas, con gruesas costillas radiales salientes, que llevan  hileras de protuberancias (tubérculos y espinas) más o menos prominentes. Borde de las valvas profundamente dentado. Marrón rojizo, con bandas concéntricas más oscuras y zonas negras. </t>
  </si>
  <si>
    <t>Corruco</t>
  </si>
  <si>
    <t>Comestible, muy apreciada.</t>
  </si>
  <si>
    <t>Amusium (=Pectem) pleuronectes</t>
  </si>
  <si>
    <t>Lamelibranqui pectínido de 60-90 mm) con, solo nervios internos (24-35) en ambas válvas; 
el color de la  izquierda (superior) es marrón a veces rosado. Típicas son las líneas oscuras que irradian del umbo en la válvula izquierda (superior).</t>
  </si>
  <si>
    <t>Lamelibranquio fluvial.</t>
  </si>
  <si>
    <t>Ostra de perro</t>
  </si>
  <si>
    <t>Arca pelosa o barbuda</t>
  </si>
  <si>
    <t>Lamelibranquio  de 35 a 100 mm., de forma oblongo y aplanado, con muchas costillas radiales cortadas por líneas concéntricas. El periostracum peludo oscuro (de ahí el nombre latino barbata , que significa "barbado"), que cubre toda la superficie del caparazón excepto la parte apical, no aparece en ejemplares muertos hace tiempo. En fondos rocosos o coralinos</t>
  </si>
  <si>
    <t>Lamelibranquio de color blanquecinoi-ocre, de forma oblongo y aplanado, con muchas costillas radiales cortadas por líneas concéntricas, dendo una textura reticulada.</t>
  </si>
  <si>
    <t>Almeja arca</t>
  </si>
  <si>
    <t>Lamelibranquio de hasta 7,5 com., blanca, con 26 costillas y un periostracum oscuro y liso. Típica forma de arca.</t>
  </si>
  <si>
    <t>Arca (=Larkinia) grandis</t>
  </si>
  <si>
    <t>Arca de Noé</t>
  </si>
  <si>
    <t>Lamelibranquio de 10 cm  de acpecto rectangular y bastante alta. Se acorta en el extremo anterior y se alarga hacia atrás. Tiene líneas  irregulares en marrón y blanco y  finas costillas esculpidas que van desde el umbo  hasta el margen. La charnela con finos dientes es larga y recta. Marcas de los músculos abductores muy marcadas.</t>
  </si>
  <si>
    <t>Lamelibranquio de concha rectangular y color blanquecino-geige, de charnela rectilínea y borde redondeado, con numeroisas costillas bien marcadas.</t>
  </si>
  <si>
    <t>Almeja coral</t>
  </si>
  <si>
    <t>Lamelibranquio blanco amarillento, de unos 80 mm, con rayas de color marrón y blanco, lo que le da un parecido al ala de un pavo salvaje .. La forma de la concha es elongada-rectangular, con una escultura de costillas radiales con marginales que son más estrechas en el margen ventral que le dan un aspecto escamoso.</t>
  </si>
  <si>
    <t>Almeja de Islandia</t>
  </si>
  <si>
    <t>Lamelibranquio de concha circular, marrón oscuro a negro. Son muy longenas:Un ejemplar bautizado  Ming y hallado en 2006, es considerado como el animal más longevo hallado hasta la fecha, habiendo recibido su nombre en honor a la dinastía Ming que gobernaba China en el momento de su nacimiento. En octubre de 2007, se estableció su edad dendrocronológica (poir el nº de anillos en la concha) estimádose una edad entre 405 y 410 años. En noviembre de 2013, los investigadores se dieron cuenta de que contaba en realidad con 507 años cuando murió, habiendo nacido en torno al año 1499.</t>
  </si>
  <si>
    <t>Arginia (=Arca ) pexata</t>
  </si>
  <si>
    <t>Axinaea (=Pectunculus ) glycimeris</t>
  </si>
  <si>
    <t>Baphia (=Unio) margaritifera</t>
  </si>
  <si>
    <t>Barbatia (=Arca) barbata</t>
  </si>
  <si>
    <t>Mejillón de perlas de agua dulce</t>
  </si>
  <si>
    <t>Lamelibranquio de agua dulce, muy longevo, grande, pesado y alargado, de color marrón amarillento cuando es joven y se vuelve más oscuro con la edad.. Las partes más viejas del caparazón a menudo aparecen corroídas, una característica de identificación de esta especie.</t>
  </si>
  <si>
    <t>Calyptraea chinensis</t>
  </si>
  <si>
    <t>Sombrero chino</t>
  </si>
  <si>
    <t>Lamelibranquio de concha semejante a las lapas, pero más aplanada, como gorro chino, de 15 - 20 x 5 mm. En el interior presenta un septo o repliegue, que nos epermite deferenciarla de las verdaderas lapas. La superficie externa tiene estrías de crecimiento muy marcadas, y a veces con tubérculos pequeños. La apertura de la concha es circular. Color blanco, rosado, pardo, a veces con tonos azulados.. Sublitoral hasta 30 m.</t>
  </si>
  <si>
    <t>Lamelibranquio dulceacuícola, desaparecido hoy día del Río de la Plata.</t>
  </si>
  <si>
    <t>Fue utilizada en la industria del botón.</t>
  </si>
  <si>
    <t>Lamelibranquio de 20-28 mm  de conchas  gruesas, pesadas, casi ovales e inequivales. La válva izquierda es grande y profunda, mientras que la derecha es más plana. Las costillas radiales son bastante irregulares y están dispuestas en filas concéntricas. de 10 a 300 m.</t>
  </si>
  <si>
    <t>Chamelea gallina</t>
  </si>
  <si>
    <t>Chirla</t>
  </si>
  <si>
    <t>Intensa explotación comercial</t>
  </si>
  <si>
    <t>Lamelibranquio de 25 mm., de concha sólida, ovalada, triangular. Valvas simétricas, con costillas concéntricas aserradas, unas más anchas que otras. Charnela con tres dientes cardinales en cada valva. Seno paleal corto y picudo. Borde de las valvas finamente dentado. Coloración blanquecina, grisácea o marrón, decorada con dibujos en zig-zag y bandas radiales más claras; interior blanquecino, con manchas violáceas. Hasta 3 cm de longitud. . Vive en fonddos arenosos has 20 m de profundidad.</t>
  </si>
  <si>
    <t>Almeja roñosa</t>
  </si>
  <si>
    <t>Lamelibranquio de concha  triangular redondeada con crestas concéntricas fuertes y nervaduras radiales fuertes, que juntas forman un patrón entrecruzado elevado de crestas, de ahí el nombre específico, cancellata o cancelado.</t>
  </si>
  <si>
    <t>Lamelibranquio pectínido de unos 30 mm, con 5 costillas radiales gruesas bien definidas entre las cuales se ven finas estrías. El umbo presenta dos orejillas. Color es muy variable, desde tonos blancos hasta rosados, pasando por una gama de amarillos y rojos, incluso coloraciones uniformes con rayas y manchas irregulares.
Vive sobre fondos fangosos, arenosos y de cascajo desde aguas superficiales hasta los 20 metros de profundidad. Es una especie poco abundante.</t>
  </si>
  <si>
    <t>Lamelibranqui de la familia Pectinidae, de aspecto similar a la vieira. El nombre deriva del griego, χλαμΰς o clámide, un vestido usado por los soldados.</t>
  </si>
  <si>
    <t>Coña</t>
  </si>
  <si>
    <t>Comestible pero no se comercializa</t>
  </si>
  <si>
    <t>Gasterópodo de concha de  hasta 20 cm. oblonga, globosa y lisa, con abertura muy amplia, que ocupa casi toda su longitud, y espira reducida a la zona apical, en forma de mamelón. Canal sifonal ancho y la columela tiene dos o tres pliegues oblicuos. Color pardo claro. Etimología: Coña, femenino de coño, del latín cunnus “órgano genital femenino”.</t>
  </si>
  <si>
    <t>¿Babosa o liebre de mar?</t>
  </si>
  <si>
    <t>Gasterópodo en el que la parte posterior del cuerpo se ha convertido en un escudo inclinado tipo disco, con una gran capa calcificada enterrada en su interior. El color es variable, con manchas de verde y marrón</t>
  </si>
  <si>
    <t>1878-1879</t>
  </si>
  <si>
    <t>Memoria 1879</t>
  </si>
  <si>
    <t>PA: 25 ptas.</t>
  </si>
  <si>
    <t>VA: 12 ptas.</t>
  </si>
  <si>
    <t>en 1878-1879 se adquieren 30 arácnidos, crustáceos, miriápodos y anélidos 51 ptas)</t>
  </si>
  <si>
    <t>INSECTOS</t>
  </si>
  <si>
    <t>En 1878-1870 se adquiere una colección de 176 especies y 220 ejemplares (50 ptas.)</t>
  </si>
  <si>
    <t>1880-1881</t>
  </si>
  <si>
    <t>Memoria 1881</t>
  </si>
  <si>
    <t>En la memoria de 1881 de indica "topo blanco"</t>
  </si>
  <si>
    <t>6 mamíferos adquiridos en 1864-65; 7 más en 1869-1870; 1 mono en 1880-1881</t>
  </si>
  <si>
    <t>1883-1884</t>
  </si>
  <si>
    <t>Memoria 1884</t>
  </si>
  <si>
    <t>Martínez Rubio, Rafael</t>
  </si>
  <si>
    <t>Procendente de una antigua sepultura</t>
  </si>
  <si>
    <t>Caniles de Baza</t>
  </si>
  <si>
    <t>En 1883-1884 se adquieren 2 "sustentáculos" para dos objetos clásticos, 2 barnizados 1 blanco</t>
  </si>
  <si>
    <t>en 1886-1887 se adquieren 8 aparatos franceses, astronómicos: tres para el estudio de las estacuiones, 3 precesión equinocios, 1 mov. Retrogrado planetas, 1 fases luna</t>
  </si>
  <si>
    <t>1890-1891</t>
  </si>
  <si>
    <t>1891-1892</t>
  </si>
  <si>
    <t>Memoria1892</t>
  </si>
  <si>
    <t>1891-1892?</t>
  </si>
  <si>
    <t>Memoria 1892</t>
  </si>
  <si>
    <t>1893-1894</t>
  </si>
  <si>
    <t>Memoria 1894</t>
  </si>
  <si>
    <t>Dotación Junta de Andalucía</t>
  </si>
  <si>
    <t>Dotación Gobierno de España</t>
  </si>
  <si>
    <t>1897-1898</t>
  </si>
  <si>
    <t>Memoria 1898</t>
  </si>
  <si>
    <t>En 1897-1898 se adquieren 14 minerales</t>
  </si>
  <si>
    <t>78 aves adquiridas en 1874-75 (16 de rapiña, 31 pájaros, 3 trepadoras, 1 gallinácea, 20 zancudas y 8 palmípedas); 38 más en 1869-1870; 1903-1904: naturalización de varios ejemplares</t>
  </si>
  <si>
    <t>1906-1907</t>
  </si>
  <si>
    <t>Memoria 1907</t>
  </si>
  <si>
    <t>Londres</t>
  </si>
  <si>
    <t>Inglaterra</t>
  </si>
  <si>
    <t>W. Watson &amp; Son</t>
  </si>
  <si>
    <t>1909-1910</t>
  </si>
  <si>
    <t>Memoria 1910</t>
  </si>
  <si>
    <t>1914-1915</t>
  </si>
  <si>
    <t>Memoria 1915</t>
  </si>
  <si>
    <t>Producción y preparación del fruto del café</t>
  </si>
  <si>
    <t>En 1914-195 se compran las 12 primeras cajas, de las que quedan solo 7 (faltan aceite veg., caucho, jabón, patata, y maiz)</t>
  </si>
  <si>
    <t>En 1877-1878 se adquiere una colección de 500 por 250 ptas</t>
  </si>
  <si>
    <t>1877-1878</t>
  </si>
  <si>
    <t>Memoria 1878</t>
  </si>
  <si>
    <t>VA: 25 ptas.</t>
  </si>
  <si>
    <t>VA: 73 ptas</t>
  </si>
  <si>
    <t>Silvano</t>
  </si>
  <si>
    <t>10 ptas.</t>
  </si>
  <si>
    <t>VA: 2 ptas.</t>
  </si>
  <si>
    <t>VA: 5 ptas.</t>
  </si>
  <si>
    <t>1915-1916</t>
  </si>
  <si>
    <t>Memoria 1891</t>
  </si>
  <si>
    <r>
      <t xml:space="preserve">Estuche nº 43 del </t>
    </r>
    <r>
      <rPr>
        <i/>
        <sz val="12"/>
        <rFont val="Arial"/>
        <family val="2"/>
      </rPr>
      <t xml:space="preserve">Dr. Kagerah </t>
    </r>
  </si>
  <si>
    <t xml:space="preserve">Para el estudio de la Tecnología </t>
  </si>
  <si>
    <t>Estuche nº 24 del Dr. Kagerah</t>
  </si>
  <si>
    <t>Estuche nº 34 del Dr. Kagerah</t>
  </si>
  <si>
    <t>Estuche nº 3 del Dr. Kagerah</t>
  </si>
  <si>
    <t>Estuche nº 4 del Dr. Kagerah</t>
  </si>
  <si>
    <t>Estuche nº 5 del Dr. Kagerah</t>
  </si>
  <si>
    <t>Estuche nº 6 del Dr. Kagerah</t>
  </si>
  <si>
    <t>Estuche nº 26 del Dr. Kagerah</t>
  </si>
  <si>
    <t>Estuche nº 38 del Dr. Kagerah</t>
  </si>
  <si>
    <t>Estuche nº 1 del Dr. Kagerah</t>
  </si>
  <si>
    <t>Estuche nº 2 del Dr. Kagerah</t>
  </si>
  <si>
    <t>Estuche nº 20 b del Dr. Kagerah</t>
  </si>
  <si>
    <t>Estuche nº 23 del Dr. Kagerah</t>
  </si>
  <si>
    <t>Estuche nº 28 b del Dr. Kagerah</t>
  </si>
  <si>
    <t>Estuche nº 36 del Dr. Kagerah</t>
  </si>
  <si>
    <t>Estuche nº 42 del Dr. Kagerah</t>
  </si>
  <si>
    <t>Estuche nº 19 a del Dr. Kagerah</t>
  </si>
  <si>
    <t>Estuche nº 19 b del Dr. Kagerah</t>
  </si>
  <si>
    <t>Estuche nº 20 a del Dr. Kagerah</t>
  </si>
  <si>
    <t>Estuche de cartón de ….x….. con tapa y … elementos. Leyenda explicativa en el interior de la tapa.</t>
  </si>
  <si>
    <t>Le Mesil-Roi, Charente</t>
  </si>
  <si>
    <t>Memoria 1871</t>
  </si>
  <si>
    <t>1870-1871</t>
  </si>
  <si>
    <t xml:space="preserve"> CAJA: rectangular de madera de caoba de 220 x 220 x 35 mm. Altura: 180 mm., con tapa deslizante ¿de la misma madera, parece de otra más vulgar? BRÚJULA: Limbo o circunferencia  graduada,  situado en el fondo de una cavidad cilíndrica, con graduación sexagesimal , cubierto por un vidrio circular del mismo diámetro.  Con indicación de los cuatro puntos cardinales. Diámetro del limbo: 145mm; longitud de la aguja: 121 mm. Limbo dividido en intervalos de 30’;  lectura directa de 1’. Originariamente disponía de un trípode</t>
  </si>
  <si>
    <t>Argelia</t>
  </si>
  <si>
    <t xml:space="preserve">gran formato 30x30x20. Fue recogido el el oasis El Goléa, distrito de El Menïa, provincia de Ghardaia, en Argelia, muy proximo de la tumba de Charles de Foucault. </t>
  </si>
  <si>
    <t>Adquisición/compra reciente</t>
  </si>
  <si>
    <t>Parte central abatible. Expositor y librería. Antes en pasillo</t>
  </si>
  <si>
    <t>Diámetro 4,5-5,0 cm, altura 16,5-18 cm. Bien: 30, etiqueta manchada 5, sin etiqueta 1, base vidrio rota 1, semillas deterioradas (pulvurulentas) 1</t>
  </si>
  <si>
    <t xml:space="preserve">Diámetro 6 cm, altura 12 cm., bien 19, etiqueta deteriorada 1, tapón roto 2, frasco roto 2, sin etiqueta 5, semillas escasas 2, semillas pulvurulentas 4 (solucionado), etiqueta informal (había papel interior que se ha pegado en el exterior) 2, </t>
  </si>
  <si>
    <t>Diámetro 8 cm, altura 15 cm., bien 2, etiqueta deteriorada 1, semillas pulvurulentas (solucionado) 1, sin etiqueta 1, etiqueta informal (papel interior pegado en el ext.) 2.</t>
  </si>
  <si>
    <t>Semilleros-ampollas de vidrio soplado invertido y tapón corcho.</t>
  </si>
  <si>
    <t>Semilleros-botes vidrio pequeño, tapón esmerilado</t>
  </si>
  <si>
    <t>Semilleros-botes vidrio grande, tapón esmerilado</t>
  </si>
  <si>
    <t>Semilleros-botes vidrio, tapón corcho</t>
  </si>
  <si>
    <t>Perfecscopio</t>
  </si>
  <si>
    <t>Diámetro 4,5-5,0 cm, altura 16,5-18 cm. Vacío, sin semillas ni etiqueta.</t>
  </si>
  <si>
    <t>En frasco de vidrio con tapón esmerilado</t>
  </si>
  <si>
    <t>Tierra yesosa.</t>
  </si>
  <si>
    <t>Tierra caliza.</t>
  </si>
  <si>
    <t>Tierra silíceo – arenosa.</t>
  </si>
  <si>
    <t>Tierra de alfareros.</t>
  </si>
  <si>
    <t>Tierra turbosa.</t>
  </si>
  <si>
    <t>Tierra margosa.</t>
  </si>
  <si>
    <r>
      <t xml:space="preserve">Microscopio compuesto </t>
    </r>
    <r>
      <rPr>
        <i/>
        <sz val="12"/>
        <rFont val="Arial"/>
        <family val="2"/>
      </rPr>
      <t>Reichert</t>
    </r>
    <r>
      <rPr>
        <sz val="12"/>
        <rFont val="Arial"/>
        <family val="2"/>
      </rPr>
      <t xml:space="preserve"> </t>
    </r>
  </si>
  <si>
    <r>
      <t xml:space="preserve">Polariscopio </t>
    </r>
    <r>
      <rPr>
        <i/>
        <sz val="12"/>
        <rFont val="Arial"/>
        <family val="2"/>
      </rPr>
      <t>Reichert</t>
    </r>
  </si>
  <si>
    <r>
      <t xml:space="preserve">Accesorio para proyección desde ocular </t>
    </r>
    <r>
      <rPr>
        <i/>
        <sz val="12"/>
        <rFont val="Arial"/>
        <family val="2"/>
      </rPr>
      <t>Reichert</t>
    </r>
  </si>
  <si>
    <t>Inscripción</t>
  </si>
  <si>
    <r>
      <t xml:space="preserve">Microscopio biológico </t>
    </r>
    <r>
      <rPr>
        <i/>
        <sz val="12"/>
        <rFont val="Arial"/>
        <family val="2"/>
      </rPr>
      <t xml:space="preserve">Carl Zeiss </t>
    </r>
    <r>
      <rPr>
        <sz val="12"/>
        <rFont val="Arial"/>
        <family val="2"/>
      </rPr>
      <t xml:space="preserve"> </t>
    </r>
  </si>
  <si>
    <t>Wetzlar</t>
  </si>
  <si>
    <r>
      <t>Microscopio biológic</t>
    </r>
    <r>
      <rPr>
        <i/>
        <sz val="12"/>
        <rFont val="Arial"/>
        <family val="2"/>
      </rPr>
      <t>o Ernst Leitz</t>
    </r>
    <r>
      <rPr>
        <sz val="12"/>
        <rFont val="Arial"/>
        <family val="2"/>
      </rPr>
      <t xml:space="preserve">  </t>
    </r>
  </si>
  <si>
    <r>
      <t>Microscopio simple para disecciones</t>
    </r>
    <r>
      <rPr>
        <i/>
        <sz val="12"/>
        <rFont val="Arial"/>
        <family val="2"/>
      </rPr>
      <t xml:space="preserve"> Ernst Leitz</t>
    </r>
  </si>
  <si>
    <r>
      <t xml:space="preserve">Microscopio biológico proyector Ernst </t>
    </r>
    <r>
      <rPr>
        <i/>
        <sz val="12"/>
        <rFont val="Arial"/>
        <family val="2"/>
      </rPr>
      <t>Leitz</t>
    </r>
    <r>
      <rPr>
        <sz val="12"/>
        <rFont val="Arial"/>
        <family val="2"/>
      </rPr>
      <t xml:space="preserve"> </t>
    </r>
  </si>
  <si>
    <t>Louis Secretan</t>
  </si>
  <si>
    <t>Mendicuti, Felipe</t>
  </si>
  <si>
    <t>75 ptas+14,55 por portes, almacenaje y mozo</t>
  </si>
  <si>
    <t>Pongo pygmaeus, hembra y cría</t>
  </si>
  <si>
    <t>1.100 ptas.</t>
  </si>
  <si>
    <t>1975-1981</t>
  </si>
  <si>
    <t xml:space="preserve">Incisivo de Elephas maximus indicus </t>
  </si>
  <si>
    <r>
      <t>Una de las cuatro subespecies de elefante asiático que existen; ¿</t>
    </r>
    <r>
      <rPr>
        <b/>
        <sz val="8"/>
        <rFont val="Arial"/>
        <family val="2"/>
      </rPr>
      <t>1,25</t>
    </r>
    <r>
      <rPr>
        <sz val="8"/>
        <rFont val="Arial"/>
        <family val="2"/>
      </rPr>
      <t xml:space="preserve"> o 1,52 m.? "Peso 50 libras". Según R.D. 9/12/1852, una libra equivale a 469,093 gramos, por lo que debe pesar  23,45 kg</t>
    </r>
  </si>
  <si>
    <t>Se debió adquirir al mismo tiempo que el incisivo</t>
  </si>
  <si>
    <t xml:space="preserve"> España</t>
  </si>
  <si>
    <t>Srra. Morena</t>
  </si>
  <si>
    <t>1890-1905.</t>
  </si>
  <si>
    <t>Esteva Marata; Barcelona. E. Mazo; París. Keystone view company, London”</t>
  </si>
  <si>
    <t>vidrio 9 x 9. En El libro de LCS se indican que son 50, pero solo hay 30</t>
  </si>
  <si>
    <t xml:space="preserve">Caja cartón etiquetada. Porta 7,5x2,5 cm y 1,5- 2 mm de espesor, cubre circular 2 cm, sellado y 1,5 cm sin sellar </t>
  </si>
  <si>
    <t xml:space="preserve">Caja cartón 15,5x9 cm, guías de madera, porta 7,5x2,5, </t>
  </si>
  <si>
    <t xml:space="preserve">Colbiomar, </t>
  </si>
  <si>
    <t>Pi y Margal, 66, Vigo</t>
  </si>
  <si>
    <t>Estuche de vidrio con tapa. Portas 7,5x2,5, y cubres redondos de 1,5 cm, 7 con sellado perimetral. Una con cubre rectangular Etiquetas impresas</t>
  </si>
  <si>
    <t>¡no 58, había otras mezcladas!) Estuche-libro , con tapa abisagrada y cierres, 20x28x4 cm, porta 7,5x2,5, cubre redonde de 1,5 cm</t>
  </si>
  <si>
    <t xml:space="preserve">“Instituto Boecker", Wetzlar, Distribuidas por Casa Álvarez, Madrid. </t>
  </si>
  <si>
    <t>Wetzlar,</t>
  </si>
  <si>
    <t>portas 1,8x5,8 cm, cubre circular, cubiertas en su totalidad por etiqueta en papel verde</t>
  </si>
  <si>
    <t xml:space="preserve">Borgogne &amp; Alliot  </t>
  </si>
  <si>
    <t>Paris,</t>
  </si>
  <si>
    <t>Prusia</t>
  </si>
  <si>
    <t>Etiquetas dobles, manuscritas por F. Mascaró. En estuche de vidrio, ranirada y con tapa.</t>
  </si>
  <si>
    <t>1920-1921</t>
  </si>
  <si>
    <t>Fechadas en porta</t>
  </si>
  <si>
    <t xml:space="preserve"> En estuche de vidrio, ranirada y con tapa.</t>
  </si>
  <si>
    <t>Laboratorio de Higiene de M. Motos.</t>
  </si>
  <si>
    <t xml:space="preserve"> Estuche clasificador de plástico transparente. Portas y cubres estándar; sin etiquetar</t>
  </si>
  <si>
    <t>Dpto. de B/G.</t>
  </si>
  <si>
    <t>Estuche clasificador de plástico transparente. Portas y cubres estándar; solo una etiqueta.</t>
  </si>
  <si>
    <t xml:space="preserve">Dpto. de B/G. </t>
  </si>
  <si>
    <t>Con indicaciones e observación. Porta 7,2x2,5, cubre redondo de 12 mm.</t>
  </si>
  <si>
    <t>D. Eduardo Reyes Prósper</t>
  </si>
  <si>
    <t>Estuche de cartón 35x11x4 cm, con tapa abatible, 5 bandejas para 10 portas cada una, de solapas abatuibles</t>
  </si>
  <si>
    <t>Dirección Gral. de Enseñanza Media</t>
  </si>
  <si>
    <t>Estuche clasificador base crema, guias inclicadas y tapa transparente. Preparaciones estándar</t>
  </si>
  <si>
    <t xml:space="preserve">ENOSA. </t>
  </si>
  <si>
    <t>Etiquetas en inglés. Caja clasificadora en cartón.</t>
  </si>
  <si>
    <t>Japón</t>
  </si>
  <si>
    <t xml:space="preserve">Caja cartón, porta 6x2 cm, </t>
  </si>
  <si>
    <t>Bresser Optik,</t>
  </si>
  <si>
    <t xml:space="preserve"> Kleine Leberwesen</t>
  </si>
  <si>
    <r>
      <t xml:space="preserve">* Caja </t>
    </r>
    <r>
      <rPr>
        <b/>
        <sz val="10"/>
        <rFont val="Arial"/>
        <family val="2"/>
      </rPr>
      <t>para</t>
    </r>
    <r>
      <rPr>
        <sz val="10"/>
        <rFont val="Arial"/>
        <family val="2"/>
      </rPr>
      <t xml:space="preserve"> 5 preparaciones de diatomeas ( Pleurosigma angulata ), </t>
    </r>
  </si>
  <si>
    <t>RAM</t>
  </si>
  <si>
    <t xml:space="preserve">Lab. B/G del Instituto </t>
  </si>
  <si>
    <t>Ubicadas en soporte para cubeta de tinciones</t>
  </si>
  <si>
    <t xml:space="preserve">Entre marzo y mayo de 1980. </t>
  </si>
  <si>
    <t>Maastricht</t>
  </si>
  <si>
    <t>Paises Bajos</t>
  </si>
  <si>
    <t>Esqueleto de Chelonia caretta  (=Caretta caretta, =Chelonia caouana)</t>
  </si>
  <si>
    <t>Chelonia caretta  (=Caretta caretta o =Chelonia caouana)</t>
  </si>
  <si>
    <t>JLR-CB</t>
  </si>
  <si>
    <t>Intervenido</t>
  </si>
  <si>
    <r>
      <t xml:space="preserve">Esqueleto </t>
    </r>
    <r>
      <rPr>
        <i/>
        <sz val="12"/>
        <rFont val="Arial"/>
        <family val="2"/>
      </rPr>
      <t xml:space="preserve">Homo sapiens </t>
    </r>
  </si>
  <si>
    <t>Percha-soporte para esqueleto humano</t>
  </si>
  <si>
    <t>Se le ponen ruedas para facilitar su desplazamiento.</t>
  </si>
  <si>
    <t>Estuche de madera de pino de 21x11x4, tapa abisagrada y frontal abatible, con cierres, interior con 4 bandejas de 6 unidades. Histología vegetal.</t>
  </si>
  <si>
    <t>Fundición Hernán Videla Lira</t>
  </si>
  <si>
    <t>Prisma central de 30 cms. de longitud</t>
  </si>
  <si>
    <t>Eretmochelys imbricata imbricata (=Chelone imbricata)</t>
  </si>
  <si>
    <t>Subespecie del Atlántico</t>
  </si>
  <si>
    <t>Ornithorhynchus paradoxus</t>
  </si>
  <si>
    <t>Pez golondrina o Chicharra</t>
  </si>
  <si>
    <t>Torillo andaluz</t>
  </si>
  <si>
    <t>Mod. 1885, Con abrazadera para el ocular y ajuste de la inclinación del prisma; es estuche a medida</t>
  </si>
  <si>
    <t>Mod. 1885, en estuche con interior aterciopelado  a medida</t>
  </si>
  <si>
    <t>En estuche de madera: latón, pie y platina esmaltados en negro, basculante, espejo, sin revolver, 3 objetivos intercambiables, 2 oculares, portaobjetos de pocillo en cajita de cartón; incluye dos cajitas con 5 + 5 preparaciones microscópicas (portas muy pequeños, de cartón y vidrio) . En la caja se encontraba un periódico del Defensor de Granada ¡con noticias sobre la Guerra de Cuba!</t>
  </si>
  <si>
    <t>Estuche con 5 preparaciones microscópicas</t>
  </si>
  <si>
    <t>Bourgogne y Alliot</t>
  </si>
  <si>
    <t>Paris</t>
  </si>
  <si>
    <t>Estuche de cartón marrón, 6x2x1, con porta entrepapelados en verde</t>
  </si>
  <si>
    <t>Estuche de cartón marrón, 6x2x1, con porta entrepapelados en marrón</t>
  </si>
  <si>
    <t>Estuche con 6 preparaciones microscópicas</t>
  </si>
  <si>
    <t>Jineta</t>
  </si>
  <si>
    <t>Anteriormente clasificado erróneamente como cráneo de gato.</t>
  </si>
  <si>
    <t>Hueso temporal humano</t>
  </si>
  <si>
    <t>Incompleto, solo fragmento</t>
  </si>
  <si>
    <t>Sobre peana rectangular de madera 45 x 10, y peana de cartela</t>
  </si>
  <si>
    <t>Montado sobre escudo de madera</t>
  </si>
  <si>
    <t>Cuernas o astas de Cervus elaphus</t>
  </si>
  <si>
    <t>Sobre el cráneo del animal</t>
  </si>
  <si>
    <t>1/10 de las costillas, aprox, fracturadas</t>
  </si>
  <si>
    <t>Sobre peana circular de madera, protegida por campana de vidrio soplado, con cartela sobre peana de madera</t>
  </si>
  <si>
    <t>Ejemplar joven, sin dimorfismo sexual. El plastrón se encuentra expuesto de forma independiente. Cartela sobre peana de madera</t>
  </si>
  <si>
    <t>Sobre peana rectangular de madera, y cartela sobre peana también de madera</t>
  </si>
  <si>
    <t>Pez acantopterigio /(eleósteo) sobre Sobre peana rectangular de madera, y cartela sobre peana también de madera</t>
  </si>
  <si>
    <t>Cacatúa</t>
  </si>
  <si>
    <t xml:space="preserve">Vanellus chilensis cayennensis </t>
  </si>
  <si>
    <t xml:space="preserve">Pygitoenas passerina </t>
  </si>
  <si>
    <t xml:space="preserve">Muscicapa nigra </t>
  </si>
  <si>
    <t>Consta de tres depósitos esféricos conectados por un tubo. En el superior se coloca el líquido, y en el inferior va el sólido. Cuando líquido y sólido reaccionan el gas formado se acumula en el intermedio, y lleva una válvula para poder extraerlo. Cuando está cerrada, el gas se acumula y obliga al líquido a retroceder, con lo que líquido y sólido dejan de estar en contacto y la reacción se para. Se denomina así en honor a su creador, el farmacéutico Petrus Jacobus Kipp, que lo inventó en 1844.. El aparato de Kipp más antiguo que se conserva es de 1875 y está en un museo de Leiden.</t>
  </si>
  <si>
    <t xml:space="preserve">La primera lectura se realiza sobre la escala mayor y a continuación, se lee la pesada en la escala menor que se refleja en la lente acromática de ... aumentos. Para pesadas de un miligramo basta con consultar la escala mayor. Si se desea una precisión de décimas de miligramo, se lee a continuación el reflejo de la escala menor en la lente de tal forma que un miligramo corresponde a dos divisiones de la escala mayor y a diez divisiones de la menor.
En los laboratorios químicos se hace prácticamente imprescindible el uso de este tipo de balanzas de precisión. Su uso fue promovido por Lavoisier a finales del siglo XVIII y a partir de entonces se convirtieron en pieza clave en el desarrollo de la química. En el s. XIX comienzan  a construirse balanzas de brazos cortos como esta, con las que es posible realizar medidas rápidas y precisas, al acortar la amplitud de las oscilaciones de la cruz.
</t>
  </si>
  <si>
    <t>Alhelí amarillo</t>
  </si>
  <si>
    <t>Primer tercio s. XX o anterior</t>
  </si>
  <si>
    <t>Modelo clástico en papel maché más otros aglomerantes, policromado; 2,20 m de longitud, anchura media 12 cm.</t>
  </si>
  <si>
    <t>500 fr 1865</t>
  </si>
  <si>
    <t>100 fr. 1865</t>
  </si>
  <si>
    <t>150 fr. 1865</t>
  </si>
  <si>
    <t>50 fr. 1865</t>
  </si>
  <si>
    <t>75 fr. 1865</t>
  </si>
  <si>
    <t>30 fr. 1865</t>
  </si>
  <si>
    <t>300 fr. 1865</t>
  </si>
  <si>
    <t>500 fr. 1865</t>
  </si>
  <si>
    <t>250 fr. 1865</t>
  </si>
  <si>
    <t>315 ptas. 200 fr. 1865</t>
  </si>
  <si>
    <t>Roble</t>
  </si>
  <si>
    <t>75 ptas. 50 fr. 1865</t>
  </si>
  <si>
    <t>80 fr. 1865</t>
  </si>
  <si>
    <t>Modelo clástico nº 4: parcial, Encéfalo humano</t>
  </si>
  <si>
    <t>Modelo clástico nº 4: parcial, pierna humana derecha</t>
  </si>
  <si>
    <t>Modelo clástico nº 10: huevo de Aepyornis maximus</t>
  </si>
  <si>
    <t xml:space="preserve">Modelo clástico nº 12: encéfalo de Homo sapiens </t>
  </si>
  <si>
    <t>Modelo clástico nº 13: médula espinal y cerebelo humano</t>
  </si>
  <si>
    <t>Modelo clástico nº 17: ojo humano entero 1:10</t>
  </si>
  <si>
    <t>Modelo clástico nº 26: laringe humana, tráquea y árbol bronquial</t>
  </si>
  <si>
    <t>Modelo clástico nº 67 anatomía comparada: Encéfalo de pez</t>
  </si>
  <si>
    <t>Modelo clástico nº 67 anatomía comparada: Encéfalo de reptil</t>
  </si>
  <si>
    <t>Modelo clástico nº 67 anatomía comparada: Encéfalo de ave</t>
  </si>
  <si>
    <t>Modelo clástico nº 67 anatomía comparada: Encéfalo de rata</t>
  </si>
  <si>
    <t>Modelo clástico nº 67 anatomía comparada: Encéfalo de gato</t>
  </si>
  <si>
    <t>Modelo de tallo leñoso de dicotiledónea</t>
  </si>
  <si>
    <t>Modelo n º 86: tallo leñoso arbóreo Querqus communis sp. de tres años</t>
  </si>
  <si>
    <t>Modelo clástico en papel maché más otros aglomerantes, policromado: x12, 4 piezas, plaga devoradora de raíces; 3 ganchos para abertura sagital: élitros desplegables, musculatura alas, patas y aparato masticados, cavidad bucal, esófago, testículos, conductos seminíferos, cloaca,</t>
  </si>
  <si>
    <t>Modelo clástico nº 54: Bombix sericaria (= B. mori)</t>
  </si>
  <si>
    <t>Modelo clástico nº 23 y nº 51: Melolontha vulgaris</t>
  </si>
  <si>
    <t>Modelo clástico en ¿papel maché o escayola? policromado: Largo 23 cm, ancho 13 cm, alto 10 cm; 2 piezas abisagradas; se diferencias las capas, corteza, pelvis renal. Le he añadido una peana. Se puede abrir longitudinalmente para mostrar los cuerpos piramidales y los cálices renales en el interior. La arteria renal, que llega al riñón, está coloreada de rojo mientras que la vena renal, que abandona el órgano, está pintada de azul. Parece escayola, y los números de las distintas partes están escritos sobre el modelo, no en etiquetillas pegadas, lo cual no es típico de Auzoux</t>
  </si>
  <si>
    <t>En resina envejecida. En caja de cartón.</t>
  </si>
  <si>
    <t>Margarita</t>
  </si>
  <si>
    <t>Modelo clástico en papel maché más otros aglomerantes, policromado; long. 70 cm; 2 flores en distinta maduración, pero faltan hojas y gran flor dividida en dos mitade;  tallo, hojas, flores antes, durante la germinación y después de la maduración y semillas inmaduras. Antes se encontraba inventariado como "girasol", pero no lo es, solo hay que comprobar el ejemplar de la foto drel aula antigua de dibujo.</t>
  </si>
  <si>
    <t>Modelo clástico n º 68: Crucífera Cheirantus cheiri Tallo, hojas y flores</t>
  </si>
  <si>
    <t>Modelo clástico en papel maché más otros aglomerantes, policromado; long. 70 cm., tres piezas.; x10, Ejemplar de Cheirantus cheirise incompleto. Hojas estrechas y en la parte alta del tallo se encontraría la flor con cuatro pétalos en cruz (crucífera) pero a este ejemplar le falta. Los frutos son silicuas largas y estrechas..</t>
  </si>
  <si>
    <t>Modelo clástico en papel maché más otros aglomerantes, policromado: se abre longitudinalmente en dos piezas. Alt: 18 cm., diám.: 12 cm. Sombrero marrón claro con manchas más oscuras, himenio delicado con láminas separadas del pie o pedicelo este estrecho y sin faldoncillo superior, y volva inf. estrecha. Sobre soporte rectangular 21 cm x 7 cm, de madera teñida nogal. Se adquirieron dos.</t>
  </si>
  <si>
    <t>Peana trípode metálica</t>
  </si>
  <si>
    <t>Vitrina 2.6</t>
  </si>
  <si>
    <t>Vitrina 3.6</t>
  </si>
  <si>
    <t>Vitrina 1.6</t>
  </si>
  <si>
    <t>Sala 6</t>
  </si>
  <si>
    <t>Modelo clástico de Flor compuesta</t>
  </si>
  <si>
    <t>Peana de madera</t>
  </si>
  <si>
    <t>Peana marco de madera</t>
  </si>
  <si>
    <t>Peana de madera redonda</t>
  </si>
  <si>
    <t>2ª mitas x. XIX</t>
  </si>
  <si>
    <t>Peana-soporte vertical de madera torneada, con gancho</t>
  </si>
  <si>
    <t>Meloncillo</t>
  </si>
  <si>
    <t>Falta premolar sup. Dcho, e incisivo inf. Dcho.</t>
  </si>
  <si>
    <t>Delgado García, Adolfo</t>
  </si>
  <si>
    <t>Jiménez, Eduardo</t>
  </si>
  <si>
    <t>Pérez Fernández, Mª Angustias</t>
  </si>
  <si>
    <t>P.N. Doñana</t>
  </si>
  <si>
    <t>Cráneo estrecho (8,5 cm), alto y alargado (13,6cm), con gran cresta sagital, con el rostro más bien corto, estrecho y obtuso, y la caja cerebral larga. Arco cigomático grueso y cuenca ocular cerrada (no confundir con la garduña). Fórmula dentaria es la siguiente: 3/3, 1/1, 3-4/3-4, 1-2/1-2 = 32-40. Adulto molares y caninos muy desgastados). Sexo indiferenciado (solapamiento medidas machos y hembras)</t>
  </si>
  <si>
    <t>Diapositivas alemán</t>
  </si>
  <si>
    <t>Ed. Intenationes</t>
  </si>
  <si>
    <t>Bonn</t>
  </si>
  <si>
    <t>Falta una casette y varias diapositivas</t>
  </si>
  <si>
    <t>1979-1982</t>
  </si>
  <si>
    <t>Fondo Hist. Alemán</t>
  </si>
  <si>
    <t>Audiciones alemán</t>
  </si>
  <si>
    <t>Materla Audiovisual</t>
  </si>
  <si>
    <t>Internationes</t>
  </si>
  <si>
    <t>1970-1980</t>
  </si>
  <si>
    <t xml:space="preserve">Reproductor Grabador de casette para Listening </t>
  </si>
  <si>
    <t>Coomber Electronic</t>
  </si>
  <si>
    <t>Reino Unido</t>
  </si>
  <si>
    <t>Marca Coomber mod. 393 recorder, con instrucciones on line, nº serie J25520, fabricado en Inglaterra. Salida para 5 auriculares, y altavoz dirigido a los alumnos</t>
  </si>
  <si>
    <t>comienzos s. XXI</t>
  </si>
  <si>
    <t>Impresión instrucciones</t>
  </si>
  <si>
    <t>Auriculares Reproductor Grabador de casette para Listening</t>
  </si>
  <si>
    <t>Auriculares cable marca Coomber Educztional 1929</t>
  </si>
  <si>
    <t>S. succinetus y S. peruvianus son especies distintas. El expuesto es el primero</t>
  </si>
  <si>
    <t>Charonia rubicunda (=Ch. lampas)</t>
  </si>
  <si>
    <t>Mesita redonda de tres patas</t>
  </si>
  <si>
    <t>Entrada Sala II</t>
  </si>
  <si>
    <t>Atril de bronce</t>
  </si>
  <si>
    <t>Soporte libro de firmas</t>
  </si>
  <si>
    <t>53 cm diámetro, 62 cm altura, madera.</t>
  </si>
  <si>
    <t xml:space="preserve"> para el libro de firmas.</t>
  </si>
  <si>
    <t>En madera y cuero repujado tachonado</t>
  </si>
  <si>
    <t>junio/1985</t>
  </si>
  <si>
    <t>Valca</t>
  </si>
  <si>
    <t>Negra</t>
  </si>
  <si>
    <t>Estuche para película Valta pancromática de 35 mm</t>
  </si>
  <si>
    <t>Estuche para película Negra diapositivas de 35 mm</t>
  </si>
  <si>
    <t>Feto de roedor</t>
  </si>
  <si>
    <t>En alcohol. Puede ser de rata</t>
  </si>
  <si>
    <t>Oveja</t>
  </si>
  <si>
    <t>Crotalus durissus (= C. horridus)</t>
  </si>
  <si>
    <t>Mapero de madera con soporte horizontal</t>
  </si>
  <si>
    <t>ancho 50 cm, altyo 72 cm, 4 patas</t>
  </si>
  <si>
    <t>Vitrina de madera y puertas vidrio</t>
  </si>
  <si>
    <t>Mobiliario histórico</t>
  </si>
  <si>
    <t>Ancho 128 com., fondo 46 cm.,  alto 215 cm.; parte superior con 3 anaqueles y dos puerta de palillería y 4 vidrios, y parte inferior con dos puertas  de madera, y un anaquel no original, de aglomerado</t>
  </si>
  <si>
    <t>Primer tercio s. XX</t>
  </si>
  <si>
    <t xml:space="preserve">Fotografías Instituto Provincial alumnos 1880-1881 </t>
  </si>
  <si>
    <t>Placas</t>
  </si>
  <si>
    <t>Placa de chapa de hierro, esmaltada en blanco, con cenefa e inscripción en negro, 40 x 6 cm</t>
  </si>
  <si>
    <t>Medallas</t>
  </si>
  <si>
    <t>Medallas conmemorativas "150 aniversario Instituto Padre Suárez"</t>
  </si>
  <si>
    <t>Metálicas, pátina cobre, 6 cm diámetro, 0,5 cm espesor, anverso con altorrelieve P. Suárez y reverso con escudo instituto e inscripciones conmemorativas.</t>
  </si>
  <si>
    <t>Metálicas, pátina plata 76 cm diámetro, anverso con altorrelieve fachada ppal. Del instituto y reverso con escudo instituto e inscripciones conmemorativas.</t>
  </si>
  <si>
    <t>Medallas conmemorativas "50 aniversario denominacion Instituto Padre Suárez"</t>
  </si>
  <si>
    <t>Pez Lagarto</t>
  </si>
  <si>
    <t>Escalar</t>
  </si>
  <si>
    <t>Cabaya</t>
  </si>
  <si>
    <t>Clasificador de Couve</t>
  </si>
  <si>
    <t>Aparato medidor de tiempo de respuesta. Incluye transformador de tensión a 125 v y 88 fichas de pasta negra y números en blanco</t>
  </si>
  <si>
    <t>Instrucciones microscopio Carl Zeiss Standard K</t>
  </si>
  <si>
    <t>Cuadernillo A5, 15 pág numeradas.</t>
  </si>
  <si>
    <t>Instrucciones</t>
  </si>
  <si>
    <t>1970</t>
  </si>
  <si>
    <t>Carl Zeiss</t>
  </si>
  <si>
    <t>Lateral dcho. recortado</t>
  </si>
  <si>
    <t>Lumbricus terrestris</t>
  </si>
  <si>
    <t>pasillo</t>
  </si>
  <si>
    <t>Muy parecido a Tarentola ¡!</t>
  </si>
  <si>
    <t>Culebra de Escalera</t>
  </si>
  <si>
    <t xml:space="preserve">Rana </t>
  </si>
  <si>
    <t>Se encontraba en una ampolla de vidrio soplado junto a 6 lombrices, un  gecko y una elaphe scalaris</t>
  </si>
  <si>
    <t>Scolopendra cingulata adulta</t>
  </si>
  <si>
    <t>Scolopendra cingulata juvenil</t>
  </si>
  <si>
    <t>Probablemente hembra</t>
  </si>
  <si>
    <t>Último tercio x. XX</t>
  </si>
  <si>
    <t>Extremo cola partido y ausente</t>
  </si>
  <si>
    <t>Disecado y sobre peana de corcho</t>
  </si>
  <si>
    <t xml:space="preserve">Lacerta ocelata   (= L. lepida = Timon lepidus)    </t>
  </si>
  <si>
    <t>Emys orbicularis</t>
  </si>
  <si>
    <t>Galápago europeo</t>
  </si>
  <si>
    <t>Conservación en seco</t>
  </si>
  <si>
    <t>Chalcides bedriagai</t>
  </si>
  <si>
    <t>Eslizón ibérico</t>
  </si>
  <si>
    <t>Lacerta sp.</t>
  </si>
  <si>
    <t>Lagartija</t>
  </si>
  <si>
    <t>Rana sp.</t>
  </si>
  <si>
    <t>Rana</t>
  </si>
  <si>
    <t>Último tercio s. XX</t>
  </si>
  <si>
    <t>Adulta</t>
  </si>
  <si>
    <t>Juvenil</t>
  </si>
  <si>
    <t>Fasciola hepatica</t>
  </si>
  <si>
    <t>Duelas del hígado</t>
  </si>
  <si>
    <t>Platelmintos trematodo</t>
  </si>
  <si>
    <t>En ampolla de vidrio soplado</t>
  </si>
  <si>
    <t>Uca tangeri</t>
  </si>
  <si>
    <t>Uca o barrilete</t>
  </si>
  <si>
    <t>Malpolón monspessulanus</t>
  </si>
  <si>
    <t>Culebra bastarda</t>
  </si>
  <si>
    <t>Déposé</t>
  </si>
  <si>
    <t>Estuche para placas estereográficas</t>
  </si>
  <si>
    <t>1890-1910</t>
  </si>
  <si>
    <t>https://www.antiguedades.es/fotografias-vendidas/antiguo-juego-de-35-placas-estereoscopicas-con-fotos-de-familia-ano-1909</t>
  </si>
  <si>
    <t>París, http://vintage-cameras.com/html/dmr_congres1.html</t>
  </si>
  <si>
    <t>DMR</t>
  </si>
  <si>
    <t>Lombriz de tierra</t>
  </si>
  <si>
    <t>Serpientes</t>
  </si>
  <si>
    <t>Con cartela antigua</t>
  </si>
  <si>
    <t>Segunda mitad s. XIX</t>
  </si>
  <si>
    <t>Base anillas portacalendario modelo taco</t>
  </si>
  <si>
    <t>Barniz desgastado</t>
  </si>
  <si>
    <t>Despacho</t>
  </si>
  <si>
    <t>Reglamento de régimen interno del Instituto Nacional de EM Padre Suárez, de 15-12-1970</t>
  </si>
  <si>
    <t>Reglamento de Régimen Interno, de Biblioteca y de Viajes de Estudios del Instituto Nacional de Enseñanza Media "P. Suárez", Gráficas del Sur, Granada, 1974, 44 pág, 16x11, con el VºBº del Director, D. Rafael Martínez Aguirre.</t>
  </si>
  <si>
    <t>1974</t>
  </si>
  <si>
    <t>Fecha impresión</t>
  </si>
  <si>
    <t>IES Padre Suárez</t>
  </si>
  <si>
    <t>Granate: Almandino-piropo</t>
  </si>
  <si>
    <t>Cangrejo Real</t>
  </si>
  <si>
    <t>Despigmentado</t>
  </si>
  <si>
    <t>Homola barbata</t>
  </si>
  <si>
    <t>Cangrejo barbudo</t>
  </si>
  <si>
    <t>Ejemplar disecado</t>
  </si>
  <si>
    <t>Faltan algunas extremidades</t>
  </si>
  <si>
    <t>Lissa chiragra =(Cancer chiragra)</t>
  </si>
  <si>
    <t>Cangrejo araña rojo</t>
  </si>
  <si>
    <t>Ejemplar disecado, junto a numerosas bellos de mar</t>
  </si>
  <si>
    <t>Bufo vulgaris (=Bufo bufo)</t>
  </si>
  <si>
    <t>Sapo común o europeo</t>
  </si>
  <si>
    <t>Bufo vulgaris (=Bufo bufo) macho</t>
  </si>
  <si>
    <t>Bufo vulgaris (=Bufo bufo) hembra</t>
  </si>
  <si>
    <t>Reptiles Lepidosauria Squamata Lacertilia</t>
  </si>
  <si>
    <t>Elaphe (= Rhinechis ) escalaris</t>
  </si>
  <si>
    <t>Reptiles Lepidosauria Squamata Scleroglosa</t>
  </si>
  <si>
    <t>Reptiles Lepidosauria Squamata Amphisbaenidae</t>
  </si>
  <si>
    <t>Reptiles Lepidosauria Squamata Serpentes</t>
  </si>
  <si>
    <t>Reptiles Cocodrylomorpha</t>
  </si>
  <si>
    <t>Crocodylus niloticus (= vulgaris)</t>
  </si>
  <si>
    <t>en 1909-1910 de compra una colección de 48 vistas estereoscópicas. En 1913 una colección de vistas educativas para el aparato de proyecciones</t>
  </si>
  <si>
    <t>Estuche de madera sin tapa para diapositivas vidrio</t>
  </si>
  <si>
    <t>Se trata de un estuche de vidrio, sin tapa, con ranuras para 12 placas estereoscópicas sobre "vidrio de Holanda", de 45 x 107 mm (estándar de la época), fabricado por DMR: firma francesa especializada en fotografía: cámaras y placas.</t>
  </si>
  <si>
    <t>Placas de vidrio "holandés" para estereoscopía</t>
  </si>
  <si>
    <t xml:space="preserve">Placas soporte estereoscopías </t>
  </si>
  <si>
    <t>"Ergatoscopios"</t>
  </si>
  <si>
    <t>Negatoscopios metálicos</t>
  </si>
  <si>
    <t>Cenicero de vidrio</t>
  </si>
  <si>
    <t>Morena</t>
  </si>
  <si>
    <t>Muraena helena (=M. caeca)</t>
  </si>
  <si>
    <t>Marco madera con fondo de vidrio para medallas conmemorativas</t>
  </si>
  <si>
    <t>Madera, 30x20 cm, teñida en verde oscuro, finamente labrada</t>
  </si>
  <si>
    <t>Cartel Concierto Extraordinario 150 aniversario Instituto</t>
  </si>
  <si>
    <t>Cartelería</t>
  </si>
  <si>
    <t>Enmarcada, 53x37 cm, a dos tintas (rojo y verde), interpretado por la Orquesta Ciudad de Granada el 23-4-1995</t>
  </si>
  <si>
    <t>Fecha concierto</t>
  </si>
  <si>
    <t>Fotografías Instituto Provincial Claustro Profesores 1880-81</t>
  </si>
  <si>
    <t>Fechado fotografía</t>
  </si>
  <si>
    <t>Fotografías Instituto Provincial Claustro Profesores 1888-89</t>
  </si>
  <si>
    <t>1880-1889</t>
  </si>
  <si>
    <t>12 profesores y objetos de gabinetes</t>
  </si>
  <si>
    <t>9 profesores y objetos de gabinetes</t>
  </si>
  <si>
    <t>1880-1880</t>
  </si>
  <si>
    <t>Alumnos con el Director Arosamena</t>
  </si>
  <si>
    <t>Fotografías Instituto Provincial alumnos 1888-1889</t>
  </si>
  <si>
    <t>Fotografías Instituto Provincial alumnos 1888-1890</t>
  </si>
  <si>
    <t>Alumnos con Profesores: García y Álvarez y otro</t>
  </si>
  <si>
    <t>Alumnos con Profesor.</t>
  </si>
  <si>
    <t>21x13,8 cm, b/n, enmarcado en  passepartout  de cartón y cartulina, con ventana en relieve y esquinas redondeadas, realizada por J. David, Paris)</t>
  </si>
  <si>
    <t>1888-1889</t>
  </si>
  <si>
    <t>Fotografías Gabinete de Agricultura</t>
  </si>
  <si>
    <t>Fotografías Gabinete de Hª Natural</t>
  </si>
  <si>
    <t>Alumnos con Profesor. El 2º superior derecho es Ángel Ganivet</t>
  </si>
  <si>
    <t>Alumnos con D. Rafael García Álvarez. El 1º superior derecho es Ángel Ganivet</t>
  </si>
  <si>
    <t>Alumnos con D. Benito Ventué</t>
  </si>
  <si>
    <t>Esquina inferior izquierda del marco deteriorada, y la inf. Derecha partida</t>
  </si>
  <si>
    <t>Fotografía Aula de Dibujo</t>
  </si>
  <si>
    <t>1ª mitad s. XX</t>
  </si>
  <si>
    <t>Bancadas de aulas</t>
  </si>
  <si>
    <t>Fotografía Sagrario Capilla Instituto</t>
  </si>
  <si>
    <t>3ª tercio s. XX</t>
  </si>
  <si>
    <t>8x11,5 cm, b/n. borde entero</t>
  </si>
  <si>
    <t xml:space="preserve">12x19,5 cm, b/n, bordes crenulados, sobre  passepartout  de cartulina, con  orla </t>
  </si>
  <si>
    <t>11,5x16 cm, b/n, bordes crenulados, sobre  passepartout  de cartulina, con  orla</t>
  </si>
  <si>
    <t>12x18,5 cm, b/n, bordes crenulados, sobre  passepartout  de cartulina, con  orla</t>
  </si>
  <si>
    <t>18x12 cm, b/n, bordes crenulados,  sobre  passepartout  de cartulina, con  orla.</t>
  </si>
  <si>
    <t>18x12 cm, b/n, bordes crenulados, sobre  passepartout  de cartulina, con  orla</t>
  </si>
  <si>
    <t>Fotografía Biblioteca previa reforma</t>
  </si>
  <si>
    <t>12,5x18 cm, b/n, bordes crenulados, sobre  passepartout  de cartulina, con  orla. Con el mobiliario antigua y sin la entreplanta.</t>
  </si>
  <si>
    <t>Fechada enl 4 de julio de 2009</t>
  </si>
  <si>
    <t>11,5x16 cm, b/n, bordes crenulados, sobre  passepartout  de cartulina, con  orla. Con el mobiliario antigua y sin la entreplanta.</t>
  </si>
  <si>
    <t>2ª tercio s. XX</t>
  </si>
  <si>
    <t>Fotografía Biblioteca tras reforma</t>
  </si>
  <si>
    <t>13x17,5 cm, b/n, bordes rectos, sin el mobiliario antiguo y con la entreplanta.</t>
  </si>
  <si>
    <t>8,7x12,5 cm, b/n, bordes rectos, sin el mobiliario antiguo y con la entreplanta.</t>
  </si>
  <si>
    <t>8,5x13,3 cm, b/n, bordes rectos, con el mobiliario antiguo y con la entreplanta.</t>
  </si>
  <si>
    <t>Fotografía conferencia Salón de Actos</t>
  </si>
  <si>
    <t>Sagrario Partenón</t>
  </si>
  <si>
    <t>Pennatula rubra</t>
  </si>
  <si>
    <t>Pluma de mar roja</t>
  </si>
  <si>
    <t>Pluma de mar</t>
  </si>
  <si>
    <t>CNIDARIOS (Celentereos)</t>
  </si>
  <si>
    <t>MIRIÁPODOS</t>
  </si>
  <si>
    <t>ARÁCNIDOS</t>
  </si>
  <si>
    <t>CRUSTÁCEOS</t>
  </si>
  <si>
    <t>Coña o pellizco</t>
  </si>
  <si>
    <t>Juey común o cangrejo azul</t>
  </si>
  <si>
    <t>Cangrejo de coral</t>
  </si>
  <si>
    <t>Exoesqueleto más partes blandas</t>
  </si>
  <si>
    <t>Semicassis undulata (= S. granulata, =Buccinum undulatum, = Cassis)</t>
  </si>
  <si>
    <t>Exoesqueleto en el tapón, opérculo y partes blandas (pie, masa visceral y masa macrocefálica)</t>
  </si>
  <si>
    <t>Cuerno de viña (Baleares)</t>
  </si>
  <si>
    <t>Pipas o colmillos de mar.</t>
  </si>
  <si>
    <t>Anfibios: Caudata</t>
  </si>
  <si>
    <t>Anfibios: Anura</t>
  </si>
  <si>
    <t>Reptiles Anápsidos: Testudines</t>
  </si>
  <si>
    <t>Chamaleo vulgaris (= Ch. chamaeleon)</t>
  </si>
  <si>
    <t>Le falta la piel a la mayor parte del dorso</t>
  </si>
  <si>
    <t>Corales de fondos de arena, fangos, desde 15 o 20 m de profundidad,. que forman colonias carnosas, formadas por un pólipo primario muy modificado que forma el eje de la colonia; su parte basal no presenta pólipos secundarios, pero en la superior se desarrollan por gemación otros pólipos, que pueden ser autozooides o sifonozooides. Los primeros alcanzan 4 cm de longitud y se disponen de forma perpendicular al eje de la colonia, mientras que los segundos son más pequeños. Puede contraerse al ser molestado, llegando a quedar completamente enterrado.</t>
  </si>
  <si>
    <t>Veretillum (= Pennatula) cynomorium</t>
  </si>
  <si>
    <t>Cnidarios-Anthozoos-Octocoralarios</t>
  </si>
  <si>
    <t>http://litoraldegranada.ugr.es/el-litoral/el-litoral-sumergido/fauna/cnidarios/clase-anthozoa/subclase-octocorallia/veretillum-cynomorium/</t>
  </si>
  <si>
    <t>Crustáceo isópodo hembra</t>
  </si>
  <si>
    <t>Tenía la puesta de huevos, que se encuentra expuesta en la vitrina de embriología</t>
  </si>
  <si>
    <t>Mediterraneo</t>
  </si>
  <si>
    <t>Falta el apéndice delantero dcho.</t>
  </si>
  <si>
    <t>Ríos Valverde, Isabel</t>
  </si>
  <si>
    <t>Mateos Ruiz, Rosa María</t>
  </si>
  <si>
    <t>Fresa de huevos</t>
  </si>
  <si>
    <t>Procede del crustaceo Isópodo pendiente clasificación</t>
  </si>
  <si>
    <t>Hemoglobina granulada</t>
  </si>
  <si>
    <t>Frasco de vidro para "Hemoglobine granulee", Deschiens,-Paris</t>
  </si>
  <si>
    <t>Falta tapón rosca</t>
  </si>
  <si>
    <t>Publicidad revistas</t>
  </si>
  <si>
    <t>Frasco de vidrio con tapón a rosca (le falta) 13x4x4 cm, etiqueta en relieve, en la base se indica FR 1375. Se encontraba en los almacenes con un ejemplar de rana totalmente desexaca en su interior, con un tapón decorcho y  papel de periódico.</t>
  </si>
  <si>
    <t>Papel de fotografía</t>
  </si>
  <si>
    <t>Último tercio s.XX</t>
  </si>
  <si>
    <t>Caja para papel fotográfico Negtor Clase 1, de Negra Industrial S.A.</t>
  </si>
  <si>
    <t>Negra Industrial S.A.</t>
  </si>
  <si>
    <t>Barcelona</t>
  </si>
  <si>
    <t>Caja de cartón, base y tapa, 20x25x3, para papal de positivado en b/n, clase 1 (liso, blanco, brillante) de 18x24 cm. Se usó para conservar exoesqueletros de lamelibranquios (aún tiene el algodón protector en su interior)</t>
  </si>
  <si>
    <t>Dr. V. Deschiens</t>
  </si>
  <si>
    <t>Luis Castellón indica en su Blog que hay 274 semilleros, pero en su inventario original de 2015 hay solo 263</t>
  </si>
  <si>
    <r>
      <rPr>
        <sz val="12"/>
        <rFont val="Arial"/>
        <family val="2"/>
      </rPr>
      <t xml:space="preserve">Microscopio biológico </t>
    </r>
    <r>
      <rPr>
        <i/>
        <sz val="12"/>
        <rFont val="Arial"/>
        <family val="2"/>
      </rPr>
      <t>Secretan</t>
    </r>
    <r>
      <rPr>
        <sz val="12"/>
        <rFont val="Arial"/>
        <family val="2"/>
      </rPr>
      <t xml:space="preserve"> </t>
    </r>
  </si>
  <si>
    <t>Densímetros</t>
  </si>
  <si>
    <t>Sin referencias</t>
  </si>
  <si>
    <t xml:space="preserve">Chalcides bedriagai </t>
  </si>
  <si>
    <t>Eslizón ibértico</t>
  </si>
  <si>
    <t>1932-1969</t>
  </si>
  <si>
    <t>http://www.chieracostui.com/costui/docs/search/schedaoltre.asp?ID=23787</t>
  </si>
  <si>
    <t>Instituto Tecn. Ind. Aldini-Valeriani</t>
  </si>
  <si>
    <t>Bolonia</t>
  </si>
  <si>
    <t>Faltal 4 goteros en la caja.</t>
  </si>
  <si>
    <t>Frascos goteros de vidrio topacio, para colorantes</t>
  </si>
  <si>
    <t>Estuche cartón para goteros de vidrio topacio</t>
  </si>
  <si>
    <t>Conmnachas de humedad</t>
  </si>
  <si>
    <t xml:space="preserve">En este edificio, entre 1878 fue sede del INSTITUTO ALDINI VALERIANI
PARA ARTES Y ARTES, y, dede 1932 a 1969 del INSTITUTO TECNICO INDUSTRIAL EN 1932.
escuela técnica de gran pfetigio.Situado en la ex-iglesia de Sta. Lucía. Los mejores emprendedores y profesionales que con su trabajo marcaron la excelencia industrial de Bolonia se formaron en este centro.
</t>
  </si>
  <si>
    <t>Caja de cartón gris, de 22x11 cm y por 9 de alto, interior con separadores del mismo catrón, que delimitan 10 departamentos para frascos goterios. Etiqueta original en el lateral: "Equipos para mediciones de capa molecular"</t>
  </si>
  <si>
    <t>Vidrio topacio 50 cc, tapón plástico negro a rosca, 4 cm diámetro, 12 cm alto, gotero estirado a mano.</t>
  </si>
  <si>
    <t>Vidrio topacio 50 cc, tapón plástico negro a rosca, 4 cm diámetro, 11 cm alto, gotero estirado a mano.</t>
  </si>
  <si>
    <t xml:space="preserve">Frasco  dispensador bálsamo de Canadá </t>
  </si>
  <si>
    <t>Rojo bermellón</t>
  </si>
  <si>
    <t>En botellita de vidrio de farmacia, de base rectangular, con tapón de corcho y espadadrapo a modo de cartela. Primer tercio de siglo XX. Similar a la del frasco de safranina pero sin el nombre de la farmacia.</t>
  </si>
  <si>
    <t>Farmacia del Dr.Vicaray, Granada,</t>
  </si>
  <si>
    <t>Inscripción frasco</t>
  </si>
  <si>
    <t>Frasco de porcelana para médula de saúco (Sambucus nigra)</t>
  </si>
  <si>
    <t>Vitrina semilleros</t>
  </si>
  <si>
    <t>Agallas de quejigo (Quercus faginea)</t>
  </si>
  <si>
    <t>Abogallas o cicidías</t>
  </si>
  <si>
    <t>Ronda-Málaga</t>
  </si>
  <si>
    <t>Una abierta por la mitad</t>
  </si>
  <si>
    <t>85x62, papel sin entretelar, molduras sup. e inf. en cartón</t>
  </si>
  <si>
    <t>Ed. Jover S.A.</t>
  </si>
  <si>
    <t>Despacho Sala 4</t>
  </si>
  <si>
    <t>Lámina botánica clasificación nº 5: Ficomicetos y ascomicetos</t>
  </si>
  <si>
    <t>Dos cortesde 10 cm en lateral izdo.</t>
  </si>
  <si>
    <t>Lámina botánica clasificación nº 6: Basidiomicetos y líquenes</t>
  </si>
  <si>
    <t>Lámina botánica organografía nº 7: Flor angispermas</t>
  </si>
  <si>
    <t>Dos cortes pequeños</t>
  </si>
  <si>
    <t>Cuaderno didáctico de 34 pág., con ilustraciones y planos.</t>
  </si>
  <si>
    <t>Depósito legal</t>
  </si>
  <si>
    <t>Revista de Enseñanza Media nº 251</t>
  </si>
  <si>
    <t>Lámina botánica organografía nº 10: Semilla y Frutos Secos</t>
  </si>
  <si>
    <t>Despacho Sala 5</t>
  </si>
  <si>
    <t>Despacho Sala 6</t>
  </si>
  <si>
    <t>Lámina botánica clasificación nº 3: Feofíceas y Rodofíceas</t>
  </si>
  <si>
    <t>Lámina botánica clasificación nº 11: Monocotiledóneas (el tulipán)</t>
  </si>
  <si>
    <t>Lámina botánica clasificación nº 1: Vegetales Unicelulares</t>
  </si>
  <si>
    <t>Lámina botánica clasificación nº 2: Algas Unicelulares</t>
  </si>
  <si>
    <t>Lámina botánica clasificación nº 4: Clorofíceas y Carofitas</t>
  </si>
  <si>
    <t>Lámina botánica clasificación nº 8: Pteridofitas (helechos)</t>
  </si>
  <si>
    <t>Lámina botánica clasificación nº 10: Dicotiledóneas (almendro)</t>
  </si>
  <si>
    <t>Un gran corte superior</t>
  </si>
  <si>
    <t>Lámina botánica clasificación nº 7: Briofitas (musgos)</t>
  </si>
  <si>
    <t>Pequeño corte lateral</t>
  </si>
  <si>
    <t>Peq2 pequeños cortes superiores</t>
  </si>
  <si>
    <t>Lámina botánica organografía nº 12: Otros frutos Germinación</t>
  </si>
  <si>
    <t>Lámina botánica organografía nº 11: Frutos carnosos</t>
  </si>
  <si>
    <t>Lámina botánica organografía nº 1: La Yema y el Tallo</t>
  </si>
  <si>
    <t>Lámina botánica organografía nº 4: La Hoja sus formas</t>
  </si>
  <si>
    <t>Lámina botánica organografía nº 2: Clases de Tallos</t>
  </si>
  <si>
    <t>Corte interno superior</t>
  </si>
  <si>
    <t>Lámina botánica organografía nº 3: La Raiz sus clases</t>
  </si>
  <si>
    <t>Lámina botánica organografía nº 5: La Hoja sus modificaciones</t>
  </si>
  <si>
    <t>Lámina botánica clasificación nº 9: Angiospermas</t>
  </si>
  <si>
    <t>Lámina botánica oorganografía nº 9: Polinización y fecundación</t>
  </si>
  <si>
    <t>Despacho Sala 2</t>
  </si>
  <si>
    <t>Despacho Sala 1</t>
  </si>
  <si>
    <t>Impresión en la lámina</t>
  </si>
  <si>
    <t>Gran corte parte superior</t>
  </si>
  <si>
    <t>Lámina botánica organografía nº 8: Las inflorescencias</t>
  </si>
  <si>
    <t>10 cm aprox</t>
  </si>
  <si>
    <t>Dardanus arrosor (=Eupagurus bernardus)</t>
  </si>
  <si>
    <t>En alcohol; varón; 25 semanas gestación. La etiqueta (16-20 semanas) procede de otro frasco (el del Eupagurus bernhardus y Merex)</t>
  </si>
  <si>
    <t xml:space="preserve">Eupagurus bernhardus, Murex brandaris y Balanus sp. </t>
  </si>
  <si>
    <t>Ermitaño, cañailla y bellota de mar</t>
  </si>
  <si>
    <t>Tratado de Mineralogía de Ángel Hoyos de Castro</t>
  </si>
  <si>
    <t>Imprenta Ventura</t>
  </si>
  <si>
    <t>Expositor libros sala 3</t>
  </si>
  <si>
    <t>Laboratorio de FQ y CCNN</t>
  </si>
  <si>
    <t>Tratado de Biología General tomo I, de Salustio Alvarado</t>
  </si>
  <si>
    <t>Tratado de Farmacognosia tomo I de Ricardo Serrano López-Hemoso</t>
  </si>
  <si>
    <t>Editorial Prieto</t>
  </si>
  <si>
    <t>2 tomos. Catedrático Facultad de Farmacia de la UGR</t>
  </si>
  <si>
    <t>1 tomo. Catedrático Facultad de Farmacia de la UGR</t>
  </si>
  <si>
    <t>Aula dibujo</t>
  </si>
  <si>
    <t>b/n. 18x12 cm, con orla blanca y bordes rectos.</t>
  </si>
  <si>
    <t>Inscripción al dorso</t>
  </si>
  <si>
    <t>1960-70</t>
  </si>
  <si>
    <t>11x16,7 cm, b/n, bordes rectos, sin las bancadas actuales.Aparecen alumnos encorbatados y grupo con becas. Al dorso sello del fotógrafo Torres Molina: Manuel Torres Molina (Granada, 29 de septiembre de 1883 - Granada, 8 de febrero de 1967) fue un fotógrafo granadino, autor de algunas de las fotografías históricas de Granada durante la primera mitad del siglo XX. En esta época tenía su estudio en Puerta Real-Avda José Antonio, 1, (actual Acera del Casino)</t>
  </si>
  <si>
    <t xml:space="preserve">Fotografía entrega regalos de Reyes a niños hospitalizados  </t>
  </si>
  <si>
    <t>Fotografía acto de graduación? Salón de Actos</t>
  </si>
  <si>
    <t>Se encontraba adherida a una cartulina: se despegó con agua para visibilizar la inscripción al dorso</t>
  </si>
  <si>
    <t>9x13,5 cm, b/n, bordes crenulados, con las bancadas actuales. Al dorso, con inscripción mecanografiada, en la que se indica que es una "Conferencia pronunciada el 28-11-48 por el catedrático D. Antonio Linares Herrera, en el IV Centenario del nacimiento del P. Suárez."</t>
  </si>
  <si>
    <t>Fotografía de alumnos de excursión en Srra. Nevada</t>
  </si>
  <si>
    <t xml:space="preserve">23,5x17, b/n, borde recto, orla blanca. Quizás fue tomada desde los Peñones de San Francisco, con el Veleta al fondo; 24 alumnos, sin profesoro quizás el joven del centro con corbata, uno de ellos con esquíes, muchos abrigan su cabeza con boinas., </t>
  </si>
  <si>
    <t>Adherida a una base de cartulina</t>
  </si>
  <si>
    <t>Fotografía de gran grupo de alumnos y alumnas, con dos profesores ensombrerados</t>
  </si>
  <si>
    <t>22,0x16,5, b/b, borde recto, sin orla,. Grupo nimeroso de alumnos, entre los que hay unas 20 chicas, luego se trata de una foto anterior a la guerra cuvil, además, los profesores portan sombrero, el del primer término parece que de copa mediana.</t>
  </si>
  <si>
    <t>Mitad s. XX</t>
  </si>
  <si>
    <t>1º tercio s. XX</t>
  </si>
  <si>
    <t>Final s XX</t>
  </si>
  <si>
    <t>10x15. Color. Fotos previas a la modificación de la Gran Vía a comiienzos del s XXI. Se constata que el reloj está funcionando ya que las fotos fueron tomadas entre la 18:15 y las 18:40.</t>
  </si>
  <si>
    <t>Fotografía claustro profesorado 1994-1995</t>
  </si>
  <si>
    <t>27x20. Color. 43 profesores, de ellos 17 mujeres. Fotografía realizada en el salon de actos</t>
  </si>
  <si>
    <t>1994-1995</t>
  </si>
  <si>
    <t>Fechada en la base</t>
  </si>
  <si>
    <t>Final s. XIX comienzos del s. XX</t>
  </si>
  <si>
    <t>22x17,5, B/n, borde recto, con orla blanca. Las fotos se correstonden con los negativos en vidrio expuesto e inventariados. .</t>
  </si>
  <si>
    <t>Fotografía "Cuerpo de conserjes y bedeles" del Instituto Provincial de Granada</t>
  </si>
  <si>
    <t>Fotografía grupo de 5 alumnos y una alumna con profesor, de visita en ¿la Alhambra?</t>
  </si>
  <si>
    <t>ue fuera 3ª sede del Instituto.</t>
  </si>
  <si>
    <t xml:space="preserve">21x17,5.cm, b/n, bordes rectos, con orla blanca. Aparecen 9 conserjes (uno parcialmente a la izquierda) sentados en sillas modelos tonet, a excepción del conserje mayor, que está spbre una sillón, similar a los actuales del salon de actos; están perfectamente uniformados con chaqueta larga cruzada con doble abotonadura, puños vueltos con pasamanería y con gorras de plato que  llevan la inscrpción IG, Instituto de Granada.Las fotos se correstonden con los negativos en vidrio expuesto e inventariados. Al fondo a la derecha aparece ul pilarón del patio del palacio de los Caicedo, actual Conservatorio de Música Victoria Eugenia, el que fuera la 3ª sede del Instituto. </t>
  </si>
  <si>
    <t>Final s. XIX</t>
  </si>
  <si>
    <t>Placas fotográficas en vidrio 17,8 x 12,8 de la marca inglesa Cadett &amp; Neall (Royal Standard Plates), en su sensibilidad rápida, ya que se trataba de fotografías al aire libre. A partir de los años 30 del s XX se comienzan a usar los negativos sobre celuloide. Se encuentran positivadas 6 de ellas. Se trata de 4 escenas familiares en un jardín, el cuerpo de conserjes del Instituto Provincial, una visita de un gruypo de alumnos y profesor a la ¿Alhambra?, y  4 ¿profesores?.</t>
  </si>
  <si>
    <t xml:space="preserve">Estuche de carton rojo de 19x14x3 cm, para placas fotográficas en vidrio 17,8 x 12,8 de la marca inglesa Cadett &amp; Neall (Royal Standard Plates), en su sensibilidad rápida; mjuy usadas en el s. XIX y a comienzos de XX, cuando son sustituidas por los negativos de celuloide. James William Thomas Cadett y W Neall fueron fabricantes de papeles y placas fotográficas.
¿Su fábrica (es) de Ashtead fue construida en 1900, fueron compradas por Eastman Kodak en 1903? </t>
  </si>
  <si>
    <t>Placas fotográficas en vidrio 12 x 9, de la marca Gevaert (ultra rapid). 2 negativos corresponden a un grupo familiar (padres e hijos), otro  a una fachada urbana, y 12 a vistal de Hotel Palace desde el Realejo.</t>
  </si>
  <si>
    <t>Alhambra Palace recién construido</t>
  </si>
  <si>
    <t>Estuche de cartón rojo para placas fotográficas de vidrio 19x14</t>
  </si>
  <si>
    <t>1910-1914</t>
  </si>
  <si>
    <t xml:space="preserve">Estuche de cartón 13x10x3, para placas fotográficas en vidrio 12 x 9, de la marca Gevaert (ultra rapid). Fundada en 1894 en Bélgica se funda L. Gevaert &amp; Cie, desarrolla junto con Agfa los productos fotográficos más avanzados del mundo de la imagen. En 1914, con el inicio de la Primera Guerra Mundial, se hizo imposible la importación de material fotográfico. El cese de hostilidades permitió nuevamente, a partir de 1918, la importación de material fotográfico, y la naciente industria nacional perdió rentabilidad frente a la muy superior calidad de los productos extranjeros, fabricados por acreditadas marcas, entre las que ya destacaban la firma Alemana Agfa y la sociedad Belga Gevaert. </t>
  </si>
  <si>
    <t>Ed. Jover</t>
  </si>
  <si>
    <t>Negatoscopio plegable</t>
  </si>
  <si>
    <t>Falta el tirador de uno de los cajones</t>
  </si>
  <si>
    <t>Transparencias para Opticart: El Cuerpo Humano</t>
  </si>
  <si>
    <t>Transparencias para Opticart: Reproducción Humana</t>
  </si>
  <si>
    <t xml:space="preserve"> Al poner una trannsparencia educativa en el Opticart simula el movimiento en la imagen. </t>
  </si>
  <si>
    <t xml:space="preserve">Se basa en proyectar la luz a través de una espiral gráfica giratoria. Al poner una transparencia educativa frente a ella, sugiere el movimiento en la imagen. </t>
  </si>
  <si>
    <t>Equipo Opticart</t>
  </si>
  <si>
    <t>En madera de pino, con 20 cajones</t>
  </si>
  <si>
    <t>Huevas de anfibio</t>
  </si>
  <si>
    <t>Huevas puesta de crustraceo isópodo</t>
  </si>
  <si>
    <t>Equipo OPTICART: marca comercial del gran producto de Carl Weigang (Neubiberg-Alemania) que desarrolló para los Institutos. Se trata de una especie de negatoscopio con un disco giratorio en su interior, con radios transparebte y negros, altenantes (no se ha encontrado). 220 v</t>
  </si>
  <si>
    <t>Proyector de opacos</t>
  </si>
  <si>
    <t>Negatoscopio de animación</t>
  </si>
  <si>
    <t>Colección completa de acetatos policromados de 49,5 x 49,5, translúcidos y parcialmente transparentes, para equipos OPTICART. Se guardan en caja-carpeta de cartón, con solapa de cierre e índice en el exterior.</t>
  </si>
  <si>
    <t>Baldas de pared en madera de pino</t>
  </si>
  <si>
    <t>Sala VI</t>
  </si>
  <si>
    <t>Plataforma basada en un cajón de madera de comienzos del s. XX, de  65x50, con frentes a ambos lados y fondo protector dr terciopelo rubi, sobre trípode giratorio de madera, de los años 50-60 aprox.</t>
  </si>
  <si>
    <t>Para demostraciones de modelos anatómicos de Auzoux</t>
  </si>
  <si>
    <t>Sello automático autotamponado IB "Padre Suárez"</t>
  </si>
  <si>
    <t>Anterior a la Logse</t>
  </si>
  <si>
    <t>COPOP printer</t>
  </si>
  <si>
    <t>Sello automático autotamponado "Museo de Ciencias Naturales"</t>
  </si>
  <si>
    <t>Sello  "Seminario de Ciencias Naturales"</t>
  </si>
  <si>
    <t>Anterior a la denominación Museo de Ciencias</t>
  </si>
  <si>
    <t>Trodat</t>
  </si>
  <si>
    <t>9 x 9 x4, base rectangular, plástico naranja y negro, marca Trodat, printy 4915. Entintado verde</t>
  </si>
  <si>
    <t>Anterior a la LOGSE</t>
  </si>
  <si>
    <t>11,5x6x5, base cuadrada, plástico azul y crema, marca Colop, printer Q 43, entintado azul. Escudo constitucional</t>
  </si>
  <si>
    <t>7 x4, base redonda, plástico gris, elaborado por Rótulos Azacayas. Entintado azul. Escudo constitucional</t>
  </si>
  <si>
    <t>Bote de tinta de sellar azul</t>
  </si>
  <si>
    <t>Pelikan</t>
  </si>
  <si>
    <t>Contenido escaso</t>
  </si>
  <si>
    <t>Bote de tinta china negra</t>
  </si>
  <si>
    <t>Bote de tinta china roja brillante</t>
  </si>
  <si>
    <t>Vidrio, tapón rosca y etiqueta</t>
  </si>
  <si>
    <t>Etiqueta manchada</t>
  </si>
  <si>
    <t>Etiqueta rota</t>
  </si>
  <si>
    <t>Bote de goma arábiga</t>
  </si>
  <si>
    <t>Vidrio, tapón de gona con espátula, etiqueta de papel</t>
  </si>
  <si>
    <t>Cartulica blanca en caja de plástico. Casi completa</t>
  </si>
  <si>
    <t>Metálica, 11,5 x 7,5, tinta negra.</t>
  </si>
  <si>
    <t>Comienzos s XXI</t>
  </si>
  <si>
    <t>Antline</t>
  </si>
  <si>
    <t>Catenarias de museo autoenrollables</t>
  </si>
  <si>
    <t>Urna de vidrio para mesa de ajedrez</t>
  </si>
  <si>
    <t>Seminario de MATEM.</t>
  </si>
  <si>
    <t>Seminario de CCSS</t>
  </si>
  <si>
    <t>En vidrio de 6 mm.</t>
  </si>
  <si>
    <t>Cristalería la Veneciana</t>
  </si>
  <si>
    <t>Mesa auxiliar para demostraciones</t>
  </si>
  <si>
    <t>Para destacar elementos semanalmente/mensualmente</t>
  </si>
  <si>
    <t>Facsimil</t>
  </si>
  <si>
    <t>Vitrina 1</t>
  </si>
  <si>
    <t>Memorias</t>
  </si>
  <si>
    <t>Vitrina 2</t>
  </si>
  <si>
    <t>Vitrina 3</t>
  </si>
  <si>
    <t>Vitrina 4</t>
  </si>
  <si>
    <t>Vitrina 5</t>
  </si>
  <si>
    <t>Vitrina 6</t>
  </si>
  <si>
    <t>Vitrina 7</t>
  </si>
  <si>
    <t>Vitrina 8</t>
  </si>
  <si>
    <t>Vitrina 9</t>
  </si>
  <si>
    <t>Vitrina10</t>
  </si>
  <si>
    <t>Vitrina 11</t>
  </si>
  <si>
    <t>Vitrina 12</t>
  </si>
  <si>
    <t>Vitrina 13</t>
  </si>
  <si>
    <t>Vitrina 14</t>
  </si>
  <si>
    <t>Vitrina 15</t>
  </si>
  <si>
    <t>Vitrina 16</t>
  </si>
  <si>
    <t>Vitrina 17</t>
  </si>
  <si>
    <t>Vitrina 18</t>
  </si>
  <si>
    <t>Vitrina 19</t>
  </si>
  <si>
    <t>Accesos</t>
  </si>
  <si>
    <t>Vitrina 20</t>
  </si>
  <si>
    <t>Vitrina 21</t>
  </si>
  <si>
    <t>Vitrina 22</t>
  </si>
  <si>
    <t>Heliocronografo o Heliocronómetro de Flechet.</t>
  </si>
  <si>
    <t>Soportes históricos de madera toneada para cartelas</t>
  </si>
  <si>
    <t>Fotografía grupos familiar en el jardín del Colegio S. Bartolomé</t>
  </si>
  <si>
    <t>Fotografía Aula con clases en graderío</t>
  </si>
  <si>
    <t>El magnetófono de bobina abierta o simplemente magnetofón1​ es un tipo de magnetófono que permite registrar en un soporte magnético adherido a una cinta plástica sonidos mediante el procesamiento de señales eléctricas provenientes de micrófonos que como la voz humana, instrumentos acústicos o eléctricos.</t>
  </si>
  <si>
    <t>Magnetofón o magnetófono de bobina abierta</t>
  </si>
  <si>
    <t>Madera teñida en nogal, de 21 cm x 7 cm.</t>
  </si>
  <si>
    <t>Para modelos de Auzoux: setas Agaricus</t>
  </si>
  <si>
    <t xml:space="preserve">Con gancho y no regulable en altura, pie rectangular reutilizado, y resto de elaboración propia. </t>
  </si>
  <si>
    <t>Para modelos de Auzoux: semilla de trigo.</t>
  </si>
  <si>
    <t xml:space="preserve">Madera teñida en nogal, diám. 14 cm, alt. 14 cm, </t>
  </si>
  <si>
    <t>Para modelos de Auzoux: fruto de Morus nigra</t>
  </si>
  <si>
    <t xml:space="preserve">Madera teñida en nogal , diám. 15 cm ya alt. 17 cm, </t>
  </si>
  <si>
    <t>Para modelos de Auzoux: bellota</t>
  </si>
  <si>
    <t>Para modelos de Auzoux: alheli.</t>
  </si>
  <si>
    <t>Madera, base octogonal teñida en verde..</t>
  </si>
  <si>
    <t>Para modelos de Auzoux: piezas sueltas de modelos vegetales</t>
  </si>
  <si>
    <t xml:space="preserve">Base octogonal 18, soporte redondo, 8 brazos, 26 cm altura. </t>
  </si>
  <si>
    <t>Para modelos de Auzoux: huevo de Aepiornix.</t>
  </si>
  <si>
    <t>3 piés de hierro pintado negro, columna de madera torneada y eje de varilla de acero.</t>
  </si>
  <si>
    <t>Para modelos de Auzoux: interior del huevo de Aepyornis.</t>
  </si>
  <si>
    <t>Base rectangular, a partir de u  trozo antiguo de madera sin lijar, con vástago metálico vertical.</t>
  </si>
  <si>
    <t>Para modelos de Auzoux: aparato respitratorio del pavo</t>
  </si>
  <si>
    <t>Para modelos de Auzoux: panal de abejas</t>
  </si>
  <si>
    <t xml:space="preserve">Peana de madera torneada, con base circular plana, reutilizada </t>
  </si>
  <si>
    <t>Para modelos de Auzoux: cabeza de vívora.</t>
  </si>
  <si>
    <t>Para modelos de Auzoux: mariposa de la seda</t>
  </si>
  <si>
    <t>En plástico, sobre soporte del mismo material. Desmontable en 4 piezas</t>
  </si>
  <si>
    <t>Para enféfalo humano en plástico, desmontable.</t>
  </si>
  <si>
    <t xml:space="preserve">Esmaltada gris, con tres patas y rodetes de latón. </t>
  </si>
  <si>
    <t>Para modelos de Auzoux: encéfalo humano.</t>
  </si>
  <si>
    <t xml:space="preserve">Madera teñida en nogal, diámetro 14 cm.; con tornillo de ajuste. </t>
  </si>
  <si>
    <t>Para modelos de Auzoux: laringe y árbol bronquial</t>
  </si>
  <si>
    <t>Base redonda de madera teñida en nogal, diámetro 14 cm.</t>
  </si>
  <si>
    <t>Para modelos de Auzoux: riñon humano.</t>
  </si>
  <si>
    <t>Soporte horizontal, en plástico</t>
  </si>
  <si>
    <t xml:space="preserve">Colgador fabricado con madera torneada y base de madera de un antiguo soporte de artefacto de Secretan sin identificar.. Varilla de acero latonado. </t>
  </si>
  <si>
    <t>Para modelos de Auzoux: encéfalos vetrebrados.</t>
  </si>
  <si>
    <t xml:space="preserve">Soporte de madera rectangular, de 96 x 27, con dos semiargollas metálicas 26 x 24. </t>
  </si>
  <si>
    <t>Para modelos de Auzoux: corvina.</t>
  </si>
  <si>
    <t>¿Sogeresa?</t>
  </si>
  <si>
    <t>Modelo de Craneo de Homo erectus</t>
  </si>
  <si>
    <t>Homínido</t>
  </si>
  <si>
    <t xml:space="preserve">Rectangular, para modelo clástico de alheli, procedente de un trofeo muy deteriorado </t>
  </si>
  <si>
    <t xml:space="preserve">Madera, base redonda; . Diám. 10 cm, alt. 15 cm. </t>
  </si>
  <si>
    <t xml:space="preserve">Madera, base redonda; Diám. 7 cm, alt. 7 cm. </t>
  </si>
  <si>
    <t>De diseño parecido a las que exitieron como mobiliario en la biblioteca histórica</t>
  </si>
  <si>
    <t>Con ruedas y mecanismo elevador. Vintage, para mesa visuales Enosa</t>
  </si>
  <si>
    <t>MODELOS ANATÓMICOS AUZOUX</t>
  </si>
  <si>
    <t xml:space="preserve">OTROS MODELOS ANATÓMICOS </t>
  </si>
  <si>
    <t>Sobre vitrina</t>
  </si>
  <si>
    <t>Esqueleto articulado ¿♀? colgado en percha de madera</t>
  </si>
  <si>
    <t>Escultura bronce con el bastón caduceo.</t>
  </si>
  <si>
    <t>Bastón Caduceo (no confundir con la Vara de Esculapio): alegoría neutralidad (comercio, embajadores, economía) Posiblemente perteneía a un reloj.</t>
  </si>
  <si>
    <t>Poste de acero inoxidable y cinta retráctil autoenrollable roja.</t>
  </si>
  <si>
    <t>Sala I</t>
  </si>
  <si>
    <t>Vitrina tropicales</t>
  </si>
  <si>
    <t>Invertebrados</t>
  </si>
  <si>
    <t>Cartelas históricas vertebrados s. XIX</t>
  </si>
  <si>
    <t>Cartelas históricas vertebrados s. XX</t>
  </si>
  <si>
    <t>Cartelas históricas invertebrados s. XIX</t>
  </si>
  <si>
    <t>Cartelas históricas invertebrados s. XX</t>
  </si>
  <si>
    <t>Etiquetas históricas invertebrados proveedor</t>
  </si>
  <si>
    <t>Termosello JA</t>
  </si>
  <si>
    <t>Opticart</t>
  </si>
  <si>
    <t>Muestras de las partes del cerdo en las que tiende a concentrarse la Trichinella: Músculos junto al diafragma o tras las mandíbulas, que siempre están moviéndose y, por tanto, están bien oxigenados. Estas muestras se introducen en una máquina llamada digestor, que mediante un proceso de centrifugación concentra las larvas en un líquido. Este se mira luego con el clásico triquinoscopio, que con 40 aumentos permite ver las larvas.</t>
  </si>
  <si>
    <t>Incluye revólver de tres objetivos.Presenta proyección directa sobre la base del triquinoscopio, o bien en la pared, utilizando el espejo pivotante y giratorio del que dispone.</t>
  </si>
  <si>
    <t>Tiendas Corty y Caja Granada</t>
  </si>
  <si>
    <t>Tapa cajita cartón para medicamentos</t>
  </si>
  <si>
    <t>Tapa de cartón, 5x3, perteneciente a cajita para fórmulas magistrales, de la Farmacia "Ortiz Pujazón" de Antonio Covaleda, en c/San Gerónimo (con G) 13, Granada</t>
  </si>
  <si>
    <t>Falta parte inferior</t>
  </si>
  <si>
    <t>San Gerónimo con G</t>
  </si>
  <si>
    <t>Placa incripción rotulada para escritorio</t>
  </si>
  <si>
    <t>Base en acero inoxidable a dos caras, 2 placas en metacrilato negro, solo inscripción en una: "TITULOS ELEMENTALES"</t>
  </si>
  <si>
    <t>Hace referencia a títulos previos a la LGE</t>
  </si>
  <si>
    <t>Anterior a 1970</t>
  </si>
  <si>
    <t>JLR-VB</t>
  </si>
  <si>
    <t>Base de peana 36 diámetro x7 espesor, de origen y uso desconocidos (¿pena de animales de gran tamaño, base artefacto Física?), con evidente aspecto decimonónico. Presenta un grueso con avellanadura en la base para su cabeza cuadrada.</t>
  </si>
  <si>
    <t>Se destina al interior del plino `para exposición de elementos destacados.</t>
  </si>
  <si>
    <t>Alberto Michelon,</t>
  </si>
  <si>
    <t>Tiburón cerdo o cerdito</t>
  </si>
  <si>
    <t>Dientes superiores lanceolados, de borde liso, y más pequeños que los inferiores, que son triangulares y finamente denticulados. 9-11 filas en la mandíbula superior y 9 en la inferior. Cabeza pequeña con un morro corto y romo y narinas grandes y adelantadas. La boca es también muy pequeña y de labios carnosos y prominentes. Los ojos son también grandes, ovalados y sin membrana nictitante. Carece de aleta anal. Ojos con fuertes carenas supraorbitales, como dos bultos redondeados; las grandes aletas dorsales no son tan altas y su ápice es triangular, no afilado; y las espinas que las atraviesan no están dispuestas en paralelo, sino que son divergentes, en forma de 'V'</t>
  </si>
  <si>
    <t>Año publicación en España</t>
  </si>
  <si>
    <t xml:space="preserve">Este test de inteligencia fue uno de los primeros que estudió la inteligencia de forma extensa y analítica a la vez por lo que es un privilegio tenerlo en el instituto y saber que se utilizó con los alumnos y alumnas en los años 30 del siglo XX. G. Vermeylen, psiquiatra y profesor de la universidad de Bruselas elabora un test con el que pretende estudiar en mayor profundidad que los anteriores diversas funciones cognitivas por medio del método experimental Aboga por hacer un estudio global de la inteligencia y a la vez analítico. </t>
  </si>
  <si>
    <t>1926-1943</t>
  </si>
  <si>
    <t>Modelo clástico en papel maché más otros aglomerantes, policromado; alt. 36 cm, diám. 25 cm.; corte vertical, con muchos frutos con sus envueltas florales suculentaas. Eleterio: frupo</t>
  </si>
  <si>
    <t>Modelo clástico en papel maché más otros aglomerantes, policromado;  alt. 32 cm, diám. 15 cnm; corte vertical, con muchos frutos simples con sus envueltas florales suculentas. Le falta el “verticilo”, y de las piezas de las drupas traseras solo tenía 2, aunque el 19/2/15 JLR-CB descubre 2 más arrumbadas en el almacén. En la mora, a diferencia de la maypría de las angiospermas, los pétalos no se despenen tas la doble fecundación, y pasan a constituir la parte comestible al volverse carnosos. Sorosis es un  fruto compuesto, carnoso, derivado de una inflorescencia: parece un solo fruto pero que en realidad está formada por muchos frutos.</t>
  </si>
  <si>
    <t xml:space="preserve">Modelo clástico nº 83: fruto simple en aquenio: bellota Quercus robur </t>
  </si>
  <si>
    <t>Modelo clástico nº 89: frutos compuestos en sorosis: Morus nigra</t>
  </si>
  <si>
    <t xml:space="preserve"> Modelo clástico en papel maché más otros aglomerantes, policromado.; x30, 22 cm x 14 cm x 11 cm; se desmonta en 5 piezas (falta una delantera): capas pericarpo, envuentas de la semilla, masa feculenta de su augumen y embrión. Una cariópside o cariopse es un tipo de fruto simple, similar al aquenio, formado a partir de un único carpelo, seco e indehiscente. En ella el integumento y el pericarpio se han fusionado, formando una piel protectora. Llamada también grano, es el tipo de fruto típico de las gramíneas (Poaceae) o cereales: el trigo (Triticum spp.), el arroz (Oryza sativa) y el maíz (Zea mays) forman cariópsides. En muchos casos, las "cáscaras" que protegen a estos frutos son los restos de las brácteas florales que los recubren</t>
  </si>
  <si>
    <t>Modelo clástico nº 82: fruto simple en cariopside: semilla de Triticum aestivum</t>
  </si>
  <si>
    <t>Modelo clástico en papel maché más otros aglomerantes, policromado; alt. 43 cm, diám. 13 cm; x10, se desmonta en 5 piezas; cápsula, membranas masa cotiledonal y embrión, corte vertical, con muchos frutos con sus envueltas florales suculentas. Fruto seco derivado de un ovario supero, indehiscente, monocarpelar y con la semilla no adherida al pericarpio, este último, más o menos esclerificado</t>
  </si>
  <si>
    <t>Barómetro aneroide de Bourdon</t>
  </si>
  <si>
    <t>Barómetro holostérico</t>
  </si>
  <si>
    <t xml:space="preserve">Los barómetros aneroides u I inventados por Lucien Vidie en  inventados por Inventados por Lucien Vidie en 1843., miden la presión atmosférica por los efectos que ésta causa sobre las paredes elásticas de un cilindro metálico con vacío absoluto en su
interior. Son menos exactos que los barómetros de mercurio, y deben ser calibrados con uno de ellos; sin embargo, tienen la ventaja de ser más pequeños y portables. </t>
  </si>
  <si>
    <t>Pequeños arañazos</t>
  </si>
  <si>
    <t>Higrómetro de tensión cabello-Termómetro alcohol</t>
  </si>
  <si>
    <t>El pelo es higroscópico (es decir, tiende a retener la humedad); su longitud cambia con la humedad, y mediante un sistema amplificador mecánico es posible leer estos cambios de longitud en un dial a escala. Se compone de un cabello humano de entre 20 y 25 cm de largo, fijado en un extremo a un tornillo, y en el otro, que pasa sobre una polea, es tensado por un hilo de seda del que pende el peso, d. La polea está conectada a un índice que se mueve sobre la escala graduada.</t>
  </si>
  <si>
    <t>11 cm x 26 cm. Soporte metálico, con escala de 0 a 100%. Temómetro de vidrio de 9,5 cm, con escala de -24 a +50ºC, con fluido azul. Inscripción tz-17/2007. Estos dispositivos utilizan un cabello humano o animal sometido a tensión.  A finales de la década de 1700, estos dispositivos fueron llamados por algunos científicos higroscopios; esta palabra ya no está en uso actualmente. En 1783, el físico y geólogo suizo Horace Bénédict de Saussure (1740-1799) construyó el primer higrómetro de tensión de cabello utilizando pelo humano.</t>
  </si>
  <si>
    <t>Estación meteorológica Cyco</t>
  </si>
  <si>
    <t>40,5x26x3 cm. Higrómetro y termómetro marca Cyco, y barómetro marca Cottet. En armarito metálico con opuerta abisagrada con llave. En su parte inferior lleva indicaciones de valoración del tiempo meteorológico.</t>
  </si>
  <si>
    <t>1950-1960</t>
  </si>
  <si>
    <t>Dataciones red www</t>
  </si>
  <si>
    <t>Cyco</t>
  </si>
  <si>
    <t>Se le instala un vidrio de reloj al higrómetro</t>
  </si>
  <si>
    <t>Higrómetro de tensión de bobina metálica</t>
  </si>
  <si>
    <t>Vitrina 9.4</t>
  </si>
  <si>
    <t xml:space="preserve">Se utiliza frecuentemente en dispositivos muy baratos, y su precisión es limitada, con variaciones del 10% o más. En estos dispositivos, el vapor de agua es absorbido por una tira de papel impregnada de sal, unida a una bobina de metal, haciendo que la bobina metálica cambie de forma por la variación de la dureza del papel provocada por el cambio de humedad. Estos cambios (análogos a los de un termómetro bimetálico) proporcionan una indicación en un dial haciendo girar una aguja. </t>
  </si>
  <si>
    <t>9,5 cm diámetro x 2,5 cm espesor. Cja metalica negra mate y cubierta en plástico. Perteneciente a una estación meteorológica</t>
  </si>
  <si>
    <t>Cubierta agrieteada</t>
  </si>
  <si>
    <t>Le falta el vidrio de reloj y aguja dial al higrómetro</t>
  </si>
  <si>
    <t>Termómetro de lámina monometálica.</t>
  </si>
  <si>
    <t>13 cm de diámetro x 6 cm de espesor. Caja de latón y cubierta de vidrio biselado, que deja a la vista el mecanismo interior. Escala dial de -30 a +50 ºC. Inscripción "PARIS 1820"</t>
  </si>
  <si>
    <t>formado por una lámina de metale de coeficiente de dilatación alto, arrollada.</t>
  </si>
  <si>
    <t>Maletín de madera para teodolito</t>
  </si>
  <si>
    <t>Estuche de madera para Pantómetro</t>
  </si>
  <si>
    <t>Estuche de madera para círculo repetidor</t>
  </si>
  <si>
    <t>Estuche de madera para grofómetro de pínulas</t>
  </si>
  <si>
    <t>25 cm altura, 14 cm diámetro base. Con tornillo de madera para fijación</t>
  </si>
  <si>
    <t>Ganga Ortega</t>
  </si>
  <si>
    <t>Ganga Ibérica</t>
  </si>
  <si>
    <t>Estuches y cajas</t>
  </si>
  <si>
    <t>Higroscopio (ant.)</t>
  </si>
  <si>
    <t>Estuche para espato de Islandia</t>
  </si>
  <si>
    <t>Estuche de cartón,, acolchado interior en raso blanco, con tapa.</t>
  </si>
  <si>
    <t>Caja para Sólidos cristalográficos en resina</t>
  </si>
  <si>
    <t>Caja de cartón para Cristalografía deductiva</t>
  </si>
  <si>
    <t>Caja de cartón, con tapa, medidas… inscripción…</t>
  </si>
  <si>
    <t>Maletín para Examen Psicográfico de la Inteligencia</t>
  </si>
  <si>
    <t>Maletín de cartón entelado, con cierres metálicos</t>
  </si>
  <si>
    <t>1926-1944</t>
  </si>
  <si>
    <t>Estuche de cartón, forrado en rojo, con guía de tela</t>
  </si>
  <si>
    <t>En caja de cartón y tapa abisagrada de vidrio, 10 figuras, desde el día 1 al 21</t>
  </si>
  <si>
    <t>Caja para modelos de cráneos de homínidos</t>
  </si>
  <si>
    <t>Caja de cartón, entretelada en cerde, con tapa</t>
  </si>
  <si>
    <t>BANDEJAS:</t>
  </si>
  <si>
    <t>Fecha edición Manual Metrología</t>
  </si>
  <si>
    <t>240 pág.</t>
  </si>
  <si>
    <t>Enosa, imprenta Ramón Soto</t>
  </si>
  <si>
    <t>Precisa encolar lomo</t>
  </si>
  <si>
    <t xml:space="preserve">Perteneciente a la colección de metrología de Enosa, mod. Bourdon, ya que en vez de un cilindro metálico lleva un tubo delgado de latón, de sección elíptica, cerrado por ambos extremos y convacío absoluto en su interior. Redondo, 22 cm de diámetro x 6 cm de espesor; marco de madera e interior y diales latonados; caja mecanismo de plástico. Escala graduada de 660 a 790 mb. (milibares), e indicaciones de: Temporal, Lluvia-Viento, Variable, Buen tiempo y Muy seco. </t>
  </si>
  <si>
    <t>Manivela para dar cuerda reloj de torreón</t>
  </si>
  <si>
    <t>Llave de palometa, para dar cuerda al reloj de pared</t>
  </si>
  <si>
    <t>Se encuentra partida</t>
  </si>
  <si>
    <t>¿Roquetas, Almería?</t>
  </si>
  <si>
    <t>Modelo clástico nº 48: Boa constrictor</t>
  </si>
  <si>
    <t>Corvina o perca regia</t>
  </si>
  <si>
    <t>Modelo clástico en papel maché más otros aglomerantes, policromado. 1,40 metros, CON INSCRIPCIÓN "Auzoux Dr feccit annus 1871"</t>
  </si>
  <si>
    <t>Base cuadrada con tornillo ajustable en altura y cuatro patas</t>
  </si>
  <si>
    <t>Expositores plinto en madera de pino y tablero marino</t>
  </si>
  <si>
    <t>Trípode giratorio de madera, de los años 50-60 aprox.</t>
  </si>
  <si>
    <t>Sala IV</t>
  </si>
  <si>
    <t>MOBILIARIO FUNCIONAL y ENSERES MUSEÍSTICOS:</t>
  </si>
  <si>
    <t>Paloma</t>
  </si>
  <si>
    <t>Oca</t>
  </si>
  <si>
    <t>Huevo de Hirundo rustica</t>
  </si>
  <si>
    <t>"Gallina de la conchinchina"</t>
  </si>
  <si>
    <t>Huevos de Anser anser domesticus</t>
  </si>
  <si>
    <t>Huevos de Columba sp. domesticus</t>
  </si>
  <si>
    <t>Huevos de Maelagris gallopavo domesticus</t>
  </si>
  <si>
    <t>Pavo</t>
  </si>
  <si>
    <t>Huevos de Gallus gallus domesticus</t>
  </si>
  <si>
    <t>Blancos</t>
  </si>
  <si>
    <t>Marrones</t>
  </si>
  <si>
    <t>Uno abierto pare ver el interior</t>
  </si>
  <si>
    <t>Con un gran orificio lateral</t>
  </si>
  <si>
    <t>Encontrado en Colinas Bermejas, Monachil. Caído de un nido de golondrinas en el porche de mi casa JLR-CB</t>
  </si>
  <si>
    <t>Uno fracturado, pare ver el interior</t>
  </si>
  <si>
    <t>Soporte para huevos de codorniz</t>
  </si>
  <si>
    <t>Soporte para huevos de Phasianus gallus</t>
  </si>
  <si>
    <t>Soporte para huevos de Columba luria</t>
  </si>
  <si>
    <t>Soporte para huevos de Maelagris gallo-pavo</t>
  </si>
  <si>
    <t>2º tercio s. XIX</t>
  </si>
  <si>
    <t>3º tercio s. XIX</t>
  </si>
  <si>
    <t>4º tercio s. XIX</t>
  </si>
  <si>
    <t>5º tercio s. XIX</t>
  </si>
  <si>
    <t>6º tercio s. XIX</t>
  </si>
  <si>
    <t>7º tercio s. XIX</t>
  </si>
  <si>
    <t>Memorias e inventario 1888</t>
  </si>
  <si>
    <t>En escayola con pátina verde envejecida. Con cartyela adherida ¡Algunos se encontraban bajo el tigre, a modo de soporte para elevarlo…!</t>
  </si>
  <si>
    <t>En escayola con pátina verde envejecida. Sin cartela adherida ¡Algunos se encontraban bajo el tigre, a modo de soporte para elevarlo…!</t>
  </si>
  <si>
    <t>En escayola con pátina verde envejecida. Con carlela adherida. ¡Algunos se encontraban bajo el tigre, a modo de soporte para elevarlo…!</t>
  </si>
  <si>
    <t>Soporte para huevos de pavo real</t>
  </si>
  <si>
    <t>Expositor libros</t>
  </si>
  <si>
    <t>Salustio Alvarado</t>
  </si>
  <si>
    <t>Libro de texto oficial del Instituto de 2ª Enseñanza de Granada, Pruebas de imprenta, sin encuadernar; en caja de cartón rojo</t>
  </si>
  <si>
    <t>Pérting Prieto, Manuel</t>
  </si>
  <si>
    <t>No encudernado, pruebas imprenta, en caja-estuiche con tapa abatible roja</t>
  </si>
  <si>
    <t>A R T R Ó P O D O S</t>
  </si>
  <si>
    <t>Nº OBJETOS/EJEMPLARES</t>
  </si>
  <si>
    <t>Lacado muy deteriorado, cable no original.</t>
  </si>
  <si>
    <t xml:space="preserve">Estufa eléctrica Siemens mod. Protos ESK 200 </t>
  </si>
  <si>
    <t>1930-1940</t>
  </si>
  <si>
    <t>Hieraetus fasciatus macho</t>
  </si>
  <si>
    <t>Tarjetas de visita de la "Asociación de Amigos del Patrimonio Histórico…"</t>
  </si>
  <si>
    <t>6 cifras, incluidos 0. En caja de cartón, cons instrucciones. Usado en Secretaría</t>
  </si>
  <si>
    <t>Peana (sólo la base, falta la columna vertical) en madera torneada noble</t>
  </si>
  <si>
    <t>Bandeja de madera, portadocumentos</t>
  </si>
  <si>
    <t>Bandeja de madera al martele</t>
  </si>
  <si>
    <t>Bandeja de madera, de laboratorio</t>
  </si>
  <si>
    <t>Bandeja de madera chapada en raiz</t>
  </si>
  <si>
    <t>Balaustradas de madera</t>
  </si>
  <si>
    <t xml:space="preserve">Reproductor casette  </t>
  </si>
  <si>
    <t>Test para el Examen Psicográfico de la Inteligencia Dr. Vermeylen.</t>
  </si>
  <si>
    <t xml:space="preserve">Test para el examen de la inteligencia: </t>
  </si>
  <si>
    <t xml:space="preserve">Soporte de base metálica </t>
  </si>
  <si>
    <t xml:space="preserve">Mortero de porcelana, </t>
  </si>
  <si>
    <r>
      <t xml:space="preserve">Probeta 60 cc, </t>
    </r>
    <r>
      <rPr>
        <i/>
        <sz val="12"/>
        <rFont val="Arial"/>
        <family val="2"/>
      </rPr>
      <t>Vidor</t>
    </r>
  </si>
  <si>
    <r>
      <t>Matraz tipo</t>
    </r>
    <r>
      <rPr>
        <i/>
        <sz val="12"/>
        <rFont val="Arial"/>
        <family val="2"/>
      </rPr>
      <t xml:space="preserve"> Erlenmeyer kitasato</t>
    </r>
  </si>
  <si>
    <r>
      <t xml:space="preserve">Matraz tipo </t>
    </r>
    <r>
      <rPr>
        <i/>
        <sz val="12"/>
        <rFont val="Arial"/>
        <family val="2"/>
      </rPr>
      <t xml:space="preserve">KJELDAHL </t>
    </r>
  </si>
  <si>
    <r>
      <t xml:space="preserve">Lupa binocular de cabeza para disecciones. tipo relojero, </t>
    </r>
    <r>
      <rPr>
        <i/>
        <sz val="12"/>
        <rFont val="Arial"/>
        <family val="2"/>
      </rPr>
      <t>Zeiss Jena</t>
    </r>
  </si>
  <si>
    <t xml:space="preserve">Serrasalmus matteteri      </t>
  </si>
  <si>
    <t>Lince ibérico</t>
  </si>
  <si>
    <t>Lynx pardinus, joven</t>
  </si>
  <si>
    <t xml:space="preserve">Lince de Sierra Nevada </t>
  </si>
  <si>
    <t>Muciélago mastín o cola de ratón</t>
  </si>
  <si>
    <t>Aparecido en el laboratorio de BG</t>
  </si>
  <si>
    <t>¡Había inventariados 4+2=6, pero en enero-2015 hay sólo 4!</t>
  </si>
  <si>
    <t>Expositor semilleros</t>
  </si>
  <si>
    <t>Facsímil numerado</t>
  </si>
  <si>
    <t>Manual de experiencias de metrología escolar</t>
  </si>
  <si>
    <t>LIBROS: TRATADOS Y MANUALES</t>
  </si>
  <si>
    <t>Vitrina material Laboratorio</t>
  </si>
  <si>
    <t>Expositor libros sala 4</t>
  </si>
  <si>
    <t>Caja-estuche para libro de "Elementos de Historia Natural" RGA</t>
  </si>
  <si>
    <t>Expositor plinto-trípode en madera</t>
  </si>
  <si>
    <t>Chapa de acero colado con forma de chimenea, lacado en marrón rojizo, con rejilla protectora delantera. Tres resistencia de solenoide blindadas, 220 V (existía otro modelo a 125 v y pesaba 4,4 kg: ya que incluía el transformador),  2900 W, 2,74,4 kg., 49x39x12 cm, sobre 4 patas metálicas, dos anillas-asas de transporte laterales, y dos conmutadores de regulación en ambos laterales, en su parte inferior: disponía de 3 grados de regulación, uno a la izda. y otro a la dcha. El cable no es el original (el suyo era trenzado). Sin placa identificativa. Fue utilizada en Secretaría, después en Conserjería y, por último, en el cuarto de las limpiadoras.</t>
  </si>
  <si>
    <t>Siemens-Protos</t>
  </si>
  <si>
    <t>Frasco de vidriuo grande</t>
  </si>
  <si>
    <t>Aceite de roca, crudo, oro negro.</t>
  </si>
  <si>
    <t>11-2002</t>
  </si>
  <si>
    <t>Accidente Prestige</t>
  </si>
  <si>
    <t>En frasco de vidrio esmerilado. Procedente de la marea negra provocada por el Prestige, por lo que se trata de fuelóleo de alta densidad y viscosidad tipo nº 6 de la clasificación internacional Bunker oil C:  alta densidad (0,993), gran viscosidad (615 centiStokes a 50 °C) y tendencia baja a la evaporación y dispersión natural. Cargado en San Petersburgo (Rusia) y en Ventspils (Letonia). Desde el accidente del Prestige se populariza el término chapapote para referirse erróneamente al petróleo vertido por  barcos hacia la costa. Originariamente chapapote es sinónimo de asfalto (en Galicia)</t>
  </si>
  <si>
    <t>Su presencia puede aportar información sobre yacimientos minerales que puedan estar presentes en profundidad, o bien constituir yacimientos por sí mismas.</t>
  </si>
  <si>
    <t>Precipitados</t>
  </si>
  <si>
    <t>López Quero, Rafael</t>
  </si>
  <si>
    <t>27-12-2004</t>
  </si>
  <si>
    <t>Inscripción frasco original</t>
  </si>
  <si>
    <t>Riotinto, Huelva</t>
  </si>
  <si>
    <t>Agua ácida sulfúrica de Río Tinto</t>
  </si>
  <si>
    <t xml:space="preserve">Origen: interacción de acuíferos subterráneos con distintas unidades geológicas que contienen importantes cantidades de sulfuros metálicos masivo: meteorización de piritas (Fe S2)y calcopiritas hallados en los yacimientos a lo largo del río. El proceso de meteorización se debe a la oxidación microbiológica, por unas bacterias especiales como Acidithiobacillus ferrooxidans o Leptospirillum ferrooxidans y otras bacterias acidófilas que oxidan los iones sulfuro y ferroso a iones sulfato y férrico, liberando protones que acidifican las aguas, y lixiviando una variedad de metales pesados como cationes en el agua. Es a causa del flujo de ácido sulfúrico que el agua del río tiene un carácter muy ácido (1,7-2,7). Estos microorganismos  microorganismos, adaptados a hábitats extremos, son acidófilos y se alimentan sólo de minerales; son tanto procariotas como eucariotas,  </t>
  </si>
  <si>
    <t>Paule Sastre, Pilar</t>
  </si>
  <si>
    <t>Carborundum, carborundo o carborundio</t>
  </si>
  <si>
    <t>Carburo de silicio, α-SiC</t>
  </si>
  <si>
    <t>Es un material sintético de dureza excepcional, altamente resistente al desgaste y químicamente inerte a álcalis y ácidos. Cerámica estructural, anticorrosivo, semiconductor a muy altas temperatutas y frecuencias, abrasivo y antiabrasivo, refractario, no deformable hasta 1700 º,</t>
  </si>
  <si>
    <t>Información donante</t>
  </si>
  <si>
    <t>Seminario BG</t>
  </si>
  <si>
    <t>Sillón giratorio en madera, vintage</t>
  </si>
  <si>
    <t>Soporte de madera para pantómetro</t>
  </si>
  <si>
    <t>Peana rectangular de madera</t>
  </si>
  <si>
    <t xml:space="preserve">Peana de cerámica </t>
  </si>
  <si>
    <t>SOPORTES, PEANAS, PEDESTALES, CAMPANAS-FANALES de VIDRIO, ...:</t>
  </si>
  <si>
    <t>Helicolenus dactylopterus</t>
  </si>
  <si>
    <t>Gallineta, pollo</t>
  </si>
  <si>
    <t>Mapas</t>
  </si>
  <si>
    <t>Junto ajedrez</t>
  </si>
  <si>
    <t>Entrada sala dcha.</t>
  </si>
  <si>
    <t>Entada sala izda.</t>
  </si>
  <si>
    <t>Vitrina 6.4</t>
  </si>
  <si>
    <t>Jiménez Alonso, Juan</t>
  </si>
  <si>
    <t>Brusch</t>
  </si>
  <si>
    <t>Bruch mod. Economy VGL 1000, Negra, cabezal basculante, 220 v,  lámpara de 1000 w, empuñadura crenulada y extensor para fijación a cámara. Cable de 3 m</t>
  </si>
  <si>
    <t>Antorcha halógena Brusch para vídeo y fotografía</t>
  </si>
  <si>
    <t>Marca Cabin 1000A, con mando a distancia y carro de 36 diapositivas, 220 v, 300 w, nº 211712354</t>
  </si>
  <si>
    <t>Marca Cabin nº serie 192116029, 150 x, con selector de 6 voltajes, mando a distancia y cable de alimentación independientes</t>
  </si>
  <si>
    <t>MATERIAL AUDIOVISUAL (vitrinas 6 y 7) y de apoyo</t>
  </si>
  <si>
    <t>Compás para pizarra</t>
  </si>
  <si>
    <t>Falta la funta de apoyo</t>
  </si>
  <si>
    <t>Bithinia (=Bithinya) bituminoides</t>
  </si>
  <si>
    <t>En tubo de vidrio</t>
  </si>
  <si>
    <t>En tuboi de vidrio</t>
  </si>
  <si>
    <t>Helix policroa (=polychroa)</t>
  </si>
  <si>
    <t>Ancho 128 com., fondo 46 cm.,  alto 220 cm.; parte superior con 3 anaqueles y dos puerta de palillería y 4 vidrios, y parte inferior con dos puertas  de madera, y un anaquel no original, de aglomerado</t>
  </si>
  <si>
    <t>Ancho 128 com., fondo 46 cm.,  alto 215 cm.; parte superior con 3 anaqueles y dos puerta de palillería y 4 vidrios, y parte inferior con dos puertas  de madera.</t>
  </si>
  <si>
    <t>Gabinete de hª Natural</t>
  </si>
  <si>
    <t>Mesa de madera, patas torneadas y tapa de vidrio</t>
  </si>
  <si>
    <t>Sillas de madera, tapizadas en tela</t>
  </si>
  <si>
    <t>Departamento de Orientación, donde permaneció hasta junklio de 2019, fecha en que fue trasladada a la sala II del Museo</t>
  </si>
  <si>
    <t>Dpto. de Orientación</t>
  </si>
  <si>
    <t>Sillas de madera, tapizadas en terciopelo rojo</t>
  </si>
  <si>
    <t>Diseño neoclásico, patas rectas, sin acanaladuras, respaldo recto tapizado rectangular</t>
  </si>
  <si>
    <t>Conserjería</t>
  </si>
  <si>
    <t>Mesa escritorio</t>
  </si>
  <si>
    <t>Taller taxidermia</t>
  </si>
  <si>
    <t>Antigua Facultad Medicina Avda Madrid</t>
  </si>
  <si>
    <t>Con tapa de vidrio, 6 cajones y una puerta</t>
  </si>
  <si>
    <t>Facultad de Medicina</t>
  </si>
  <si>
    <t>Con un cajón central</t>
  </si>
  <si>
    <t>Frente cajón partido</t>
  </si>
  <si>
    <t>Reloj de péndulo de pared, en caja de madera</t>
  </si>
  <si>
    <t>Reloj de péndulo, de pared, metálico</t>
  </si>
  <si>
    <t>Pasillo entrada</t>
  </si>
  <si>
    <t>Falta ornamentacion de madera: 2 pirulos y crestería</t>
  </si>
  <si>
    <t>Tragulus javanicus (=T. kanchil)</t>
  </si>
  <si>
    <t>Ciervo-ratón o Almizclero de Java,  o Canchil</t>
  </si>
  <si>
    <t>1950 aprox.</t>
  </si>
  <si>
    <t>1882-83</t>
  </si>
  <si>
    <t>Memoria 1882-83</t>
  </si>
  <si>
    <t>Donación Dirección Grla. deInstrucción Pública. Modelo clástico en papel maché más otros aglomerantes, policromado; largo 35 cm, ancho 19 y alto 25. Lengua con sus papilar gustativas, musculatura con frenillo y glándulas salivares, 7 piezas. Presenta inscripciónen la base (Anatomie clastique du Dº Auzoux, 1883.</t>
  </si>
  <si>
    <t>Ictiosaurius, Plesiosaurus dolichocephalus y Plesiosaurus macrocephalus</t>
  </si>
  <si>
    <t>Reina, Francisco</t>
  </si>
  <si>
    <t>Colección de ejemplares de gran tamaño, en dos de ellos las valvas independientes.</t>
  </si>
  <si>
    <t>Expositor 1.5</t>
  </si>
  <si>
    <t>1998</t>
  </si>
  <si>
    <t>Adquisición donante</t>
  </si>
  <si>
    <t>Exp. 2.4</t>
  </si>
  <si>
    <t>rguez.-Campra Berbel, José Luis</t>
  </si>
  <si>
    <t>Craquelado</t>
  </si>
  <si>
    <t>Soporte de cerámica</t>
  </si>
  <si>
    <t>Soporte-frasco de cerámica</t>
  </si>
  <si>
    <t>Exp. 4.4</t>
  </si>
  <si>
    <t>Exp. 6.5</t>
  </si>
  <si>
    <t>Con 12 cubos, algunos muy pequeños</t>
  </si>
  <si>
    <t>Ancho:… Alto:… Antes con vidrios de "aguas", cajones interiores</t>
  </si>
  <si>
    <t>Sala 4</t>
  </si>
  <si>
    <t>Sala AMPA</t>
  </si>
  <si>
    <t>Restaurar barniz y cerraduras</t>
  </si>
  <si>
    <t xml:space="preserve">Ancho: 202, alto: 197, fodo, 40. En madera de pino, teñida en nogal, con 4 puerta superiores con vidrio, y cuatro puerta inferiores embellecidas con tallas. 7 anaqueles de madera. </t>
  </si>
  <si>
    <t>Jiménez Jiménez, Antonio Pablo</t>
  </si>
  <si>
    <t>Labyrinthodon</t>
  </si>
  <si>
    <t xml:space="preserve">Pterodactylus </t>
  </si>
  <si>
    <t>Iguanodonte</t>
  </si>
  <si>
    <t>Gliptodonte</t>
  </si>
  <si>
    <t>Glyptodonto</t>
  </si>
  <si>
    <t>Esqueleto de Felis silvestris catus</t>
  </si>
  <si>
    <t>Esqueleto de Gadus morhua</t>
  </si>
  <si>
    <t>Esqueleto extremidades de Vespertilio murinus</t>
  </si>
  <si>
    <t>Roedor</t>
  </si>
  <si>
    <t xml:space="preserve">Huesos de extremidades anteriores y posteriores de Felis tigris </t>
  </si>
  <si>
    <t>Pez espada</t>
  </si>
  <si>
    <t>Dientes incisivos de micromamífero roedor</t>
  </si>
  <si>
    <t>Procedente de egagrópilas</t>
  </si>
  <si>
    <t>Alfaguara, Granada</t>
  </si>
  <si>
    <t>Defensa-pico de Xiphias gladius</t>
  </si>
  <si>
    <t>faltan incisivos</t>
  </si>
  <si>
    <t>Nº total elementos</t>
  </si>
  <si>
    <t>Nº parcial elementos</t>
  </si>
  <si>
    <t>Falta  parte del superior, además de varias pìezas dentales</t>
  </si>
  <si>
    <t>Cráneo y mandíbula superior de Ovis orientalis aries</t>
  </si>
  <si>
    <t>Cabeza ósea completa de Equus caballus</t>
  </si>
  <si>
    <t>Cráneo y mándíbula superior de Delphinus delphis</t>
  </si>
  <si>
    <t xml:space="preserve">Cráneo y mandíbula suprior de Canis lupus, </t>
  </si>
  <si>
    <t>Cabeza ósea de Lepus granatensis</t>
  </si>
  <si>
    <t>Cráneo y mandíbula superior de micromamífero roedor</t>
  </si>
  <si>
    <t>Mandíbulas inferiores de micromamífero roedor</t>
  </si>
  <si>
    <t>Cabeza ósea de Felis (=Panthera) tigris</t>
  </si>
  <si>
    <t>Cabeza óseo de Genetta genetta</t>
  </si>
  <si>
    <t>Cabeza ósea de Herpestes ichneumon</t>
  </si>
  <si>
    <t>Cabeza ósea de Bos taurus</t>
  </si>
  <si>
    <t>Placa rostral de Pristis antiquorum</t>
  </si>
  <si>
    <t>En frascos de vidrio, con tapón de goma, de 1955. Antes se encontraban en tubo de ensayo, solo dos huesos, con mucho poso, como disueltos</t>
  </si>
  <si>
    <t>Cráneos humanos, sin mandíbulas</t>
  </si>
  <si>
    <t>Maxilar inferior</t>
  </si>
  <si>
    <t>Cráneo humano, sin mandíbulas</t>
  </si>
  <si>
    <t>1883-1885</t>
  </si>
  <si>
    <t>Memoria 1885</t>
  </si>
  <si>
    <t>2ª miad s. XIX</t>
  </si>
  <si>
    <t>Mandíbula inferior humana</t>
  </si>
  <si>
    <t>Solo un mola</t>
  </si>
  <si>
    <t>Solo la mitad y un solo molar</t>
  </si>
  <si>
    <t>Modelo de maxilar inferior de  Homo heidelbergensis (Mandíbula de Mauer)</t>
  </si>
  <si>
    <t>Modelo de Cráneo y maxilar superior de Australopitecus africanus</t>
  </si>
  <si>
    <t>Scylliorhinus (=Scualus) canícula</t>
  </si>
  <si>
    <t>Ootecas de seláceo Scyliorhinus (=Scualus) canicula</t>
  </si>
  <si>
    <t>Trilobite</t>
  </si>
  <si>
    <t>, Longitud: 14 cms.</t>
  </si>
  <si>
    <t>3,5 cm longitud, sobre caliza gris. Ordovícico-Silúrico</t>
  </si>
  <si>
    <t>Ammonite</t>
  </si>
  <si>
    <t>Fósil y molde, en caliza negra, 7 cm de diámetro. Jurásico inferior</t>
  </si>
  <si>
    <t>Inf. donante</t>
  </si>
  <si>
    <t>Exp. 6.2</t>
  </si>
  <si>
    <t>Mallorca</t>
  </si>
  <si>
    <t>16x12 cm</t>
  </si>
  <si>
    <t>Ganso</t>
  </si>
  <si>
    <t>Tortuga</t>
  </si>
  <si>
    <t>Carpa</t>
  </si>
  <si>
    <t>1870-71</t>
  </si>
  <si>
    <t>Memoria 1870-71</t>
  </si>
  <si>
    <t>Memoria 1870-72</t>
  </si>
  <si>
    <t>Memoria 1870-73</t>
  </si>
  <si>
    <t>Memoria 1870-74</t>
  </si>
  <si>
    <t>Memoria 1870-75</t>
  </si>
  <si>
    <t>Peana en madera torneada de nogal, imitada a palosanto</t>
  </si>
  <si>
    <t>1872-73</t>
  </si>
  <si>
    <t>Memoria 1872-73</t>
  </si>
  <si>
    <t>Exp.</t>
  </si>
  <si>
    <t>1877-78</t>
  </si>
  <si>
    <t>1880-81</t>
  </si>
  <si>
    <t>Boca grande, hasta detrás de los ojos. Sin apéndices dérmicos submandibulares ni en los flancos del cuerpo. Sin escamas debajo de la cabeza. Una aleta dorsal, con 12 radios duros y 13 blandos. Aletas pectorales grandes, redondeadas y con los últimos 8-9 radios no ramificados y casi sueltos, sin membrana interradial. Aleta caudal con el borde recto. Coloración rojiza, con tonos anaranjados, rosáceos y grises; en los flancos, 4 ó 5 bandas transversales irregulares rojas;</t>
  </si>
  <si>
    <t>En 1864-1865 se adquiere un pez.;3 en 1869-1870, 6 en 1878-1879 (144,5 ptas), en 1881-82 se adquiere una colección de peces del Atlántico</t>
  </si>
  <si>
    <t>Exp.5'.1</t>
  </si>
  <si>
    <t>Expositor pared</t>
  </si>
  <si>
    <t>Atlas Portátil Justus Perthes: "del mundo entero"</t>
  </si>
  <si>
    <t>20x10, 28 mapas grabados en cobre, con anotaciones</t>
  </si>
  <si>
    <t>Enci¡uadernar lomos</t>
  </si>
  <si>
    <t>Ediciones Justus Perthes/Gotha</t>
  </si>
  <si>
    <t>Atlas Portátil Justus Perthes: "de España y Portugal"</t>
  </si>
  <si>
    <t>Atlas Portátil Justus Perthes. Atlas Antiquus: "de grografía antigua"</t>
  </si>
  <si>
    <t>20x10, 24 mapas grabados en cobre, con anotaciones</t>
  </si>
  <si>
    <t>MEMORIA 1891</t>
  </si>
  <si>
    <t>1884-85</t>
  </si>
  <si>
    <t>Catálogo Gabinete Historia Natural del Instituto de 2ª Enseñanza de Granada. Firmada a 1886</t>
  </si>
  <si>
    <t>Redactado por D. Rafael garcía Álvarez, escrito por calígrafos artísticos a dos tintas, roja y negra. Los dos ejemplares costaron 500 ptas</t>
  </si>
  <si>
    <t>1886-87</t>
  </si>
  <si>
    <t>Memoria 1887</t>
  </si>
  <si>
    <t>Orangután hembra</t>
  </si>
  <si>
    <t>1886-1887</t>
  </si>
  <si>
    <t>Madre y cría. 1100 ptas.</t>
  </si>
  <si>
    <t>1888-89</t>
  </si>
  <si>
    <t>Memoria 1889</t>
  </si>
  <si>
    <t>Pernóptero, nombre obsoleto</t>
  </si>
  <si>
    <t>memroia 1889</t>
  </si>
  <si>
    <t>Memroai 1889</t>
  </si>
  <si>
    <t>1888.1889</t>
  </si>
  <si>
    <t>Cubos en masa margosa, de 10x9, con 5 cubos de pirita.</t>
  </si>
  <si>
    <t>1 cubo, de 2 cm de arista. Se ha incorporado a la masa margosa anterior, para mayor espectacularidad, a una hoquedad en la que le faltaba el cubo : 5 cubos+1=6</t>
  </si>
  <si>
    <t>1874-1975</t>
  </si>
  <si>
    <t>Memoria 1874</t>
  </si>
  <si>
    <t>Chacal dorado o común</t>
  </si>
  <si>
    <t>Linares Gómez, Antonio</t>
  </si>
  <si>
    <t>Donado por el Conserje de Instituto</t>
  </si>
  <si>
    <t>Memroia 1887</t>
  </si>
  <si>
    <t>Memori 1871</t>
  </si>
  <si>
    <t xml:space="preserve">Modelo clástico en papel maché más otros aglomerantes, policromado. Según el Dr. Luys, y los cortes antiguos de Vic d’Azyr. escala 1:1, </t>
  </si>
  <si>
    <t>Adquirida por 75 ptas. En campana de vidrio soplado y base de madera dorada</t>
  </si>
  <si>
    <t>Nautilus pompilius</t>
  </si>
  <si>
    <t xml:space="preserve">Calappa granulata (C. marmorata)     </t>
  </si>
  <si>
    <t>3 ptas.</t>
  </si>
  <si>
    <t xml:space="preserve">Phytotoma silens </t>
  </si>
  <si>
    <t>Pitta (=Psitta) granatina</t>
  </si>
  <si>
    <t xml:space="preserve">Vitrina extra 1.2. </t>
  </si>
  <si>
    <t>Ramphocoelus brasilensis (=Ramphocelus brasilianus)</t>
  </si>
  <si>
    <t>Dendroica blacburnia (=Deudroica blakcburniae)</t>
  </si>
  <si>
    <t>1881-1882</t>
  </si>
  <si>
    <t>1881-1883</t>
  </si>
  <si>
    <t>1881-1884</t>
  </si>
  <si>
    <t>1881-1885</t>
  </si>
  <si>
    <t>1881-1886</t>
  </si>
  <si>
    <t>Memoria 1882</t>
  </si>
  <si>
    <t>Memoria 1883</t>
  </si>
  <si>
    <t>Memoria 1886</t>
  </si>
  <si>
    <t>200 variedades de semillas adquiridas por 75 ptas.</t>
  </si>
  <si>
    <t>Memroia 1882</t>
  </si>
  <si>
    <t>1881-1887</t>
  </si>
  <si>
    <t>1881-1888</t>
  </si>
  <si>
    <t>Memroia 1886</t>
  </si>
  <si>
    <t>Memroia 1888</t>
  </si>
  <si>
    <t>En saco de lona de …x…</t>
  </si>
  <si>
    <t xml:space="preserve">Se adquieren 15 variedades por 28 ptas. </t>
  </si>
  <si>
    <t xml:space="preserve">Psarocolius (=Ocyalus) decumanus (=latirotris o latirrostris) </t>
  </si>
  <si>
    <t>Oropéndola, cacique o conoto crestad o fajeado</t>
  </si>
  <si>
    <t>1881-82</t>
  </si>
  <si>
    <t>Psittacus surinami (=P. surinam)</t>
  </si>
  <si>
    <t>Sturnella ludoviciana (=Sturrella l.)</t>
  </si>
  <si>
    <t>Alquisición 7 ptas.</t>
  </si>
  <si>
    <t>Alquisición 9 ptas.</t>
  </si>
  <si>
    <t>Adquisición 6 ptas.</t>
  </si>
  <si>
    <t>Tachyphonus (=Tachiphonus) cristatus</t>
  </si>
  <si>
    <t>Frutero coronado o tangara crestifuego</t>
  </si>
  <si>
    <t>Adquisición 7 ptas.</t>
  </si>
  <si>
    <t>antes en 8-2. Adquisición 6 ptas.</t>
  </si>
  <si>
    <t>Se adquiere otro T. auritus y T. leucotes en 1881-1882 por 8 y 6 ptas.</t>
  </si>
  <si>
    <t>Adquisición 40 ptas.</t>
  </si>
  <si>
    <t>Adquisición 20 ptas.</t>
  </si>
  <si>
    <t>Adquisición 10 ptas.</t>
  </si>
  <si>
    <t>Memroria 1882</t>
  </si>
  <si>
    <t xml:space="preserve">Lanyiroetes (=Lamproetes o Lamproctes) loricatus (=laricatus) </t>
  </si>
  <si>
    <t>antes en 8.2 Adquisición 7 ptas.</t>
  </si>
  <si>
    <t>antes en 8.2. Adquisición 7 ptas.</t>
  </si>
  <si>
    <t>Se adquirieron en 1881-82, y "no están": Trupiales militaris (10 ptas), Pipra rubricapilla (8 ptas.), Trochilus leucotes (6 ptas.), Ornismia saphirina (8 ptas.), Phalauriana glaucopis (8 ptas.), Trogon viridis (10 ptas.), Icterus jamacai (8 ptas.), Lamproctes laricatus (7 ptas.)</t>
  </si>
  <si>
    <t>Adquisición 15 ptas.</t>
  </si>
  <si>
    <t>Adquisición 140 ptas.</t>
  </si>
  <si>
    <t>Se adquirieron otros 3 ejemplares por importe de 12 ptas en 1881-82.</t>
  </si>
  <si>
    <t>"Huesos largos de las extremidades de un tigre adulto" adquiridos por 25 ptas.</t>
  </si>
  <si>
    <t>Exotismo Neotropical o australiano pendiente clasificación</t>
  </si>
  <si>
    <t>1876-1877</t>
  </si>
  <si>
    <t>Pepitas de plata</t>
  </si>
  <si>
    <t>Pepitas der oro</t>
  </si>
  <si>
    <t>Memoria 1877</t>
  </si>
  <si>
    <t xml:space="preserve"> (ampolla con pepitas) En la memoria 1876-77:"Para el Gabinete de Historia Natural se ha adquirido solo un ejemplar de plata nativa de la mina Ntra. Sra. del Milagro de Guadalupe, situada en las Herrerías, término municipal de Cuevas de Vera, partido judicial de Vera, provincia de Almería, que ha dedicado al Instituto provincial de Segunda Enseñanza el alumno D. Manuel Fernandez Garrido"</t>
  </si>
  <si>
    <t>Pyrrhocorax (= Pyrrocorax) graculus</t>
  </si>
  <si>
    <t>¡Restaurada con los ojos azules!</t>
  </si>
  <si>
    <t>Uno de ellos ¡restaurado con los ojos azules!</t>
  </si>
  <si>
    <t>Adquisición 12 ptas. Emparentado con los abejarucos. Lo atornasoleado de la cabeza (píleo) y el colorido de las plumas lo hacen un auténtico aristócrata.</t>
  </si>
  <si>
    <t>Confirmar que hay otros donados por el Aynadamar…</t>
  </si>
  <si>
    <t>Benajarafe Mediterráneo</t>
  </si>
  <si>
    <t>Estuvo en peligro de extinción. El término marsupial con bastante ligereza sea aúna a una bolsa ventral con una cría sonriente dentro; aquí se aprovecha para hablar de los huesos marsupiales, los que refuerzan internamente a dicha bolsa (el marsupio), que en estos bichos son casi vestigiales si las comparamos con las de los canguros.</t>
  </si>
  <si>
    <t>Encope emarginata o E. grandis</t>
  </si>
  <si>
    <r>
      <t>No debe de confundirse con los peces voladores, debido a que la golondrina no es capaz de impulsarse para volar fuera del agua, solamente planea por la columna de agua. No tiene espinas en las aletas, con numerosos y largos radios blandos; el color del cuerpo es oscuro, azul iridiscente por encima y blanco plateado por debajo para camuflarse con el cielo cuando se ve desde abajo. Según LCS "</t>
    </r>
    <r>
      <rPr>
        <b/>
        <sz val="8"/>
        <rFont val="Arial"/>
        <family val="2"/>
      </rPr>
      <t>La alusión a que vuela no es muy acertada aunque así lo insinúan las aletas. Hay que pensar que para que vuele un pez tan gordito y pesado, por lo menos los motores de un Boeing. Usa las aletas a manera de capa de Drácula, envuelve a la presa y se la come".</t>
    </r>
    <r>
      <rPr>
        <sz val="8"/>
        <rFont val="Arial"/>
        <family val="2"/>
      </rPr>
      <t xml:space="preserve"> Cuando está calmado, este pez parece bastante normal, pero cambia de forma cuando está inquieto; es entonces cuando el pez extiende sus «alas», que son semitransparentes, pero con la punta de un hermoso color azul brillante y fosforescente (para ahuyentar a los depredadores). Las aletas de los costados son características de este pez ya que se despliegan en forma de abanico, con lo que le sirven para desplazarse como si volara, pero también como protección, pues cuando las despliega súbitamente, el pez aparenta un tamaño muy superior al real... http://www.posidoniaecosports.com/blog/2013/09/26/curiosidades-del-mar-mediterraneo-dactylopterus-volitans-o-golondrina-de-mar/</t>
    </r>
  </si>
  <si>
    <t>Motacilla cinerea (=M. voarula)</t>
  </si>
  <si>
    <t>Uno de los ejemplares aparece con la cartela M. flava</t>
  </si>
  <si>
    <t>Lavandera cascadeña.</t>
  </si>
  <si>
    <t>Pez rata o miracielo</t>
  </si>
  <si>
    <t>No confundir con "rata de mar". Con espinas assesinas, sin embargo está muy bueno y hace un caldo superior. Por la posición de los ojos encima de la cabeza también se le conoce como "miracielo".</t>
  </si>
  <si>
    <t xml:space="preserve">cuando está en época de celo el plumaje es más contrastado en colores, pero esa línea de ojo a ojo pasando como un collarín es espléndida y la hace indiscutible. También es cierto que recuerda a una golondrina o a un vencejo por su cola ahorquillada. En los libros dicen que es frecuente en zonas pantanosas o de marismas. </t>
  </si>
  <si>
    <t>Restaurado</t>
  </si>
  <si>
    <t>Alberto Michelon</t>
  </si>
  <si>
    <t>Ejemplar nacarado:s. str. ¡sin fosilizar!</t>
  </si>
  <si>
    <t>Adarve Torres, Mª Adelaida</t>
  </si>
  <si>
    <t>Exibidor 1.1</t>
  </si>
  <si>
    <t>Exibidor 2.1</t>
  </si>
  <si>
    <t>Exibidor. 2.1</t>
  </si>
  <si>
    <t>Exibidor 3.1</t>
  </si>
  <si>
    <t>Exibidor 4.1</t>
  </si>
  <si>
    <t>Cyathophyllum helianthoides</t>
  </si>
  <si>
    <t>Exibidor 5.1</t>
  </si>
  <si>
    <t>Productus latissimus (= P. latisimus)</t>
  </si>
  <si>
    <t>Exibidor 6.1</t>
  </si>
  <si>
    <t>Exibidor 7.1</t>
  </si>
  <si>
    <t>Hiel</t>
  </si>
  <si>
    <t>Bilis humana diluída en alcohol</t>
  </si>
  <si>
    <t>En frasco de vidrio antiguo, 30 cc, de tapón esmerilado</t>
  </si>
  <si>
    <t xml:space="preserve">Arca (=Anadara) diluvii    </t>
  </si>
  <si>
    <t>Rhinobatus (=Rhinobato) columnae (rhinobatus )</t>
  </si>
  <si>
    <t>Parece una raya, está emparentado con las rayas, pero no es una raya. En la literatura dice que no alcanza más de un metro, este espléndido ejemplar tiene algo más.
 "hocico acostado o tumbado", Se ven claramente los espiráculos que comunican con la cámara branquial tras los ojos.</t>
  </si>
  <si>
    <t>Tras su "restauración" solo se respetaron algunas partes</t>
  </si>
  <si>
    <t>García Carrión, Ricardo</t>
  </si>
  <si>
    <t>En alcohol. Es muy frecuente que los animales aborten espontáneamente cuando el feto no viene bien, y a este le faltaba al menos una pata trasera</t>
  </si>
  <si>
    <t>Sylvana telulo auro-argentífero</t>
  </si>
  <si>
    <t>17x8 cm. Albúmina sobre papel.</t>
  </si>
  <si>
    <t>13x6 cm. Albúmina sobre papel.</t>
  </si>
  <si>
    <t>Sobre 1890</t>
  </si>
  <si>
    <t>1920-1930</t>
  </si>
  <si>
    <t>En la Biblioteca actual</t>
  </si>
  <si>
    <t>Incluye cartela de Éloffe et Cia, con orla de imprenta y descripción manuscrita, en francés.</t>
  </si>
  <si>
    <t xml:space="preserve">Felis (= Leopardus) pardalis </t>
  </si>
  <si>
    <t>Leopardus pardalis mitis es la subespecie en Argentina y Paraguay, una de las 10 existentes</t>
  </si>
  <si>
    <t>Cajas de cartón para fósiles</t>
  </si>
  <si>
    <t>Cajas de cartón para minerales</t>
  </si>
  <si>
    <t>Cajas de cartón para moluscos actuales</t>
  </si>
  <si>
    <t>1965 aprox.</t>
  </si>
  <si>
    <t>Procedentes del antiguo mobiliario del Salón de Actos: constituían la separación perimetral del entarimado que, en ocasiones, constituía el presbiterio de la capilla.</t>
  </si>
  <si>
    <t>Expositor I libros sala 2</t>
  </si>
  <si>
    <t>Vitrina metacrilato 2</t>
  </si>
  <si>
    <t>Vitrina metacrilato 1</t>
  </si>
  <si>
    <t>Longitud: 1,40 m; altura en cruz: 0,75 m</t>
  </si>
  <si>
    <t>Longitud:2 m; altura en cruz: 0,90 m</t>
  </si>
  <si>
    <t>7248/53</t>
  </si>
  <si>
    <t>7264/69</t>
  </si>
  <si>
    <t>7063/110</t>
  </si>
  <si>
    <r>
      <t xml:space="preserve">Antes de 2015 estuvo expuesto en la misma vitrina que la orangután, pero se consideró que tenía más sentido su ubicación actual: más visible y junto a mamíferos próximos evolutivamente. Tradicionalmente solo dos especies: la mayor T. napu y la más pequeña T. javanicus. En 2004, T. nigricans y T. versicolor fueron separadas de T. napu y </t>
    </r>
    <r>
      <rPr>
        <b/>
        <sz val="8"/>
        <rFont val="Arial"/>
        <family val="2"/>
      </rPr>
      <t xml:space="preserve">T. kanchil y T. williamsoni se separaron de T. javanicus.  Artiodáctilo sin cuernos ni libro, y, debido a su peculiar evolución insular, tamaño muy pequeño, de menos de cuarenta centímetros. </t>
    </r>
    <r>
      <rPr>
        <sz val="8"/>
        <rFont val="Arial"/>
        <family val="2"/>
      </rPr>
      <t>En su mayoría tienen hábitos nocturnos y se alimentan de hojas, frutas, hierba y otros vegetales.2​ Son solitarios y viven en parejas, l</t>
    </r>
    <r>
      <rPr>
        <b/>
        <sz val="8"/>
        <rFont val="Arial"/>
        <family val="2"/>
      </rPr>
      <t xml:space="preserve">os machos tienen dientes caninos alargados </t>
    </r>
    <r>
      <rPr>
        <sz val="8"/>
        <rFont val="Arial"/>
        <family val="2"/>
      </rPr>
      <t xml:space="preserve">(ni el macho ni la hembra tienen cuernos) que utilizan durante las luchas. Carecen de manchas o rayas de color claro sobre el dorso. </t>
    </r>
    <r>
      <rPr>
        <b/>
        <sz val="8"/>
        <rFont val="Arial"/>
        <family val="2"/>
      </rPr>
      <t>Se encuentra amenazado a causa de la depredación por parte de perros.</t>
    </r>
  </si>
  <si>
    <t xml:space="preserve">FÓSILES </t>
  </si>
  <si>
    <t>Tarsos de las patas desnudos, sin plumas (la perdicera CON plumas)</t>
  </si>
  <si>
    <t>Tarsos de las patas con plumas (la culebrera SIN plumas)</t>
  </si>
  <si>
    <t>Águila indú o águila de Pondicherry</t>
  </si>
  <si>
    <t>Pondicherry o Puducherry</t>
  </si>
  <si>
    <t>Procedente de la antigua colonia francesa al sureste de la India, que lo fue hasta 1954.</t>
  </si>
  <si>
    <t>Flexo industrial tipo Jielde</t>
  </si>
  <si>
    <t>Lámpara de aluminio vintage antigua de pequeño flexo para escritorio de la primera mitad de siglo, y diseño muy peculiar enmarcado dentro del "design industrielle", al que nos recuerda los modelos "Jielde" de diseño francés. Hablar de Jieldé es hablar de la historia de la búsqueda de la lámpara perfecta. A finales de los años 40, cansado de no encontrar una lámpara adaptada a su actividad, Jean-Louis Domecq decide diseñar una a su gusto. En 1950, el diseño está terminado y cumple al 100% las especificaciones que su creador buscaba desde el inicio: simple, robusta y articulada para adaptarse a cualquier lugar de trabajo. Durante los dos años siguiente se produce la lámpara industrialmente. En 1953 se crea  la empresa dedicada a comercializar la ya icónica lámpara. La compañía lleva el nombre d sus iniciales (en Francés): Ji eL Dé.</t>
  </si>
  <si>
    <t>2020</t>
  </si>
  <si>
    <t>Medidas (formato estrecho): …..x…..x….. Elaborados en madera teñida en castaño, con puertas procedentes de las antiguas vitrinas del Gabinete Hª Natural</t>
  </si>
  <si>
    <t>Medidas (formato ancho): …..x…..x….. Elaborados en madera teñida en castaño, con puertas procedentes de las antiguas vitrinas del Gabinete Hª Natural</t>
  </si>
  <si>
    <t>Convenio Fundación Unicaja</t>
  </si>
  <si>
    <t>2018</t>
  </si>
  <si>
    <t>Centenario Edificio</t>
  </si>
  <si>
    <t>Tapas abatibles procedentes de las antiguas vitrinas del Gabinete Hª Natural. Hasta el año 2020 se ubicaron en la sala II, donde se exponían las colecciones de malacología, que pasaron a mostrarse en el gran expositor-mesa central; a partir de ese año se trasladaron a la sala IV, al objeto de ennoblecer el acceso al Museo y en consonancia con las nuevas vitrinas ubicadas en él, fruto del acuerdo de colaboración con Fundación Unicaja, para ubicar en ellos las colecciones de rocas y bibliografía de referencia del Museo e Instituto.</t>
  </si>
  <si>
    <t>Medidas:…x.... Tras estar durante décadas en el gabinete de Hª Natural, como lo atestiguan los fondos fotográficos, pasó, en los años 90, a ubicarse en el Departamento de Orientación, donde permaneció hasta junio de 2019, fecha en que fue trasladada a la sala II del Museo. Es la mesa de recepción de visitantes y en la que se ha ubicado el nuevo expositor central de malacología, rememorando al mobiliario existente en el antiguo Gabinete de Historia Natural.</t>
  </si>
  <si>
    <t>Sillón madera de estilo clásico</t>
  </si>
  <si>
    <t>En el año 2020 es reataurada.</t>
  </si>
  <si>
    <t>Base tapizada, brazos madera</t>
  </si>
  <si>
    <t>1986</t>
  </si>
  <si>
    <t>Vitrinas de madera, puerta con tela gallinero</t>
  </si>
  <si>
    <t>Vitrina para embriología</t>
  </si>
  <si>
    <t>Elaborado a partir de puertas de vitrinas del antiguo Gabinete de Hª Natural. Rememora al expositor de ovología del antiguo Gabinete de Historia Natural</t>
  </si>
  <si>
    <t>Expositores horizontales madera</t>
  </si>
  <si>
    <t>Urna metacrilato para linterna mágica</t>
  </si>
  <si>
    <t>Urna metacrilato para corvina Auzoux</t>
  </si>
  <si>
    <t>Urna metacrilato para Boa Auzoux</t>
  </si>
  <si>
    <t>Medidas ….x....x…. . Dos puertas con cerradura</t>
  </si>
  <si>
    <t>Medidas ….x....x…. . Una pueta con cerradura</t>
  </si>
  <si>
    <t>Medidas ….x....x…. . Sin puerta</t>
  </si>
  <si>
    <t>Medidas ….x....x…. . Una puerta con cerradura</t>
  </si>
  <si>
    <t xml:space="preserve">Medidas ….x....x…. . Una puerta </t>
  </si>
  <si>
    <t>Fundación Unicaja</t>
  </si>
  <si>
    <t>SALA V: Cámara oscura</t>
  </si>
  <si>
    <t>SALA I: Ost. y Pale. A. Linares</t>
  </si>
  <si>
    <t>SALA VII: Física/Química. M. Aguirre</t>
  </si>
  <si>
    <t>Fondo Historico y donación</t>
  </si>
  <si>
    <t>Fondo Histórico y elaboración propia</t>
  </si>
  <si>
    <t>1982</t>
  </si>
  <si>
    <t>Galicia</t>
  </si>
  <si>
    <t>Rojo Guayana</t>
  </si>
  <si>
    <t>Rguez-Campra Berbel, José Luis</t>
  </si>
  <si>
    <t>En el ejemplar se encuentran representados varios elementos</t>
  </si>
  <si>
    <t xml:space="preserve">Lamelibránquio pequeño (25 mm), triangular alargada, fuerte, inflada; color variable, en general violeta, marrón o amarillo, con radios más obscuros; superficie con finos surcos radiales y lo más importante es la presencia de dos costillas bajas curvadas hacia el declive posterior de cada valva y orificios microscópicos en los lados de las valvas. Sólo en Yucatán y  Mar Caribe. Vive en la zona intermareal y del barrido del oleaje de las playas arenosas. </t>
  </si>
  <si>
    <t xml:space="preserve">piramidada fibrosa y radiada </t>
  </si>
  <si>
    <t>1995</t>
  </si>
  <si>
    <t>Urna de vidrio para mesa expositor libros</t>
  </si>
  <si>
    <t>A partir de una mesa del antiguo gabinete de Hª Natural, se le implementa una cubierta paralelipédica de vidrio, desmontable</t>
  </si>
  <si>
    <t>Urnas de vidrio para mesa expositor malacología</t>
  </si>
  <si>
    <t>Urnas de vidrio para mesa expositor paleontología</t>
  </si>
  <si>
    <t>A partir de una mesa de elaboración propia, se le implementa una cubierta paralelipédica de vidrio, desmontable.</t>
  </si>
  <si>
    <t>Urna metacrilato para mandíbula Mammuthus (=Elephas) primigenius</t>
  </si>
  <si>
    <t>2017</t>
  </si>
  <si>
    <t>Dos puerta vidrio</t>
  </si>
  <si>
    <t>Reloj de péndulo, de torreón</t>
  </si>
  <si>
    <t>Procedente del despacho de Dirección</t>
  </si>
  <si>
    <t>Procedente del despacho de Dirección. En caja de madera, con llave de palometa</t>
  </si>
  <si>
    <t>Maquela reloj péndulo marca Enosa</t>
  </si>
  <si>
    <t>Equipo de mediciones Enosa. CONTAR Nº ELEMENTOS</t>
  </si>
  <si>
    <t>Testigo de sondeo long.: 7 cm, diámetro 5 cm</t>
  </si>
  <si>
    <t>1979</t>
  </si>
  <si>
    <t>Pequeña perforación en una de sus bases</t>
  </si>
  <si>
    <t>Taburetes</t>
  </si>
  <si>
    <t>Estructura metálica, asiento de madera barnizada coler nogal</t>
  </si>
  <si>
    <t>Inf. conserje</t>
  </si>
  <si>
    <t>En madera de castaño, respaldo y asiento en cuero repujado</t>
  </si>
  <si>
    <t>Clichés  multicopista ciclostil multicopista Gestetner</t>
  </si>
  <si>
    <t>1980</t>
  </si>
  <si>
    <t>Doble bobina plástico, cinta nylon 13x10, color negro, sin usar, en su embalaje original</t>
  </si>
  <si>
    <t>Cinta máquina de escribir Armor nº 5</t>
  </si>
  <si>
    <t>Armor</t>
  </si>
  <si>
    <t>Cuarcita con anfibolita-piroxenita</t>
  </si>
  <si>
    <t xml:space="preserve"> Celso Arévalo. Gráficas Gossi</t>
  </si>
  <si>
    <t>Oviedo</t>
  </si>
  <si>
    <t>Anatolia</t>
  </si>
  <si>
    <t>Turquía</t>
  </si>
  <si>
    <t>Hunam</t>
  </si>
  <si>
    <t>EEUU</t>
  </si>
  <si>
    <t>Cordillera Bética</t>
  </si>
  <si>
    <t>Rep. Checa</t>
  </si>
  <si>
    <t>Imiter</t>
  </si>
  <si>
    <t>Alto Garone/a</t>
  </si>
  <si>
    <t>PROVINCIA-REGIÓN</t>
  </si>
  <si>
    <t xml:space="preserve">Hunam </t>
  </si>
  <si>
    <t>Badajoz</t>
  </si>
  <si>
    <t>Hornachos</t>
  </si>
  <si>
    <t>Somontin</t>
  </si>
  <si>
    <t>Córdoba</t>
  </si>
  <si>
    <t>Sierra Gorda, Loja</t>
  </si>
  <si>
    <t>Cartagena</t>
  </si>
  <si>
    <t>PROCEDENCIA (toponimia, localidad)</t>
  </si>
  <si>
    <t>Minglanilla</t>
  </si>
  <si>
    <t>Cuenca</t>
  </si>
  <si>
    <t>Pantoja</t>
  </si>
  <si>
    <t>Toledo</t>
  </si>
  <si>
    <t>Minas de la Estrella</t>
  </si>
  <si>
    <t>La Unión</t>
  </si>
  <si>
    <t>Monte Vives</t>
  </si>
  <si>
    <t xml:space="preserve">La Bertraneja. Bacares </t>
  </si>
  <si>
    <t>Barranco del Jaroso, Srra. Almagrera</t>
  </si>
  <si>
    <t>Srra. Marbella, Ojén</t>
  </si>
  <si>
    <t>Albuñuelas</t>
  </si>
  <si>
    <t>¿Leconecio o Leoncio?</t>
  </si>
  <si>
    <t>Filón al Norte, Tharsis</t>
  </si>
  <si>
    <t>Almadén</t>
  </si>
  <si>
    <t>Minas de Alquife</t>
  </si>
  <si>
    <t>Sierra Almagrera</t>
  </si>
  <si>
    <t>Delfinado/Dauphiné</t>
  </si>
  <si>
    <t>Grenoble</t>
  </si>
  <si>
    <t>Altos del Sena</t>
  </si>
  <si>
    <t>Ghardaia</t>
  </si>
  <si>
    <t xml:space="preserve">Yeso fibroso </t>
  </si>
  <si>
    <t>2021</t>
  </si>
  <si>
    <t>Donante</t>
  </si>
  <si>
    <t>Padilla Méndez, José Emilio</t>
  </si>
  <si>
    <t>Vigil Cañavate, Francisco</t>
  </si>
  <si>
    <t>Serpentinita</t>
  </si>
  <si>
    <t>Sierra de Castillejos.</t>
  </si>
  <si>
    <t>Testigo de sondeo de long.: 12 y 5,3 cm diámetro</t>
  </si>
  <si>
    <t>Silicato del grupo del asbesto (anfíbol)</t>
  </si>
  <si>
    <t xml:space="preserve">Hierro estalactítico  </t>
  </si>
  <si>
    <t xml:space="preserve">Descloizita </t>
  </si>
  <si>
    <t>Ramarita</t>
  </si>
  <si>
    <t>Pirita de cobre con cobre gris argentífero</t>
  </si>
  <si>
    <t>Cuarzo hematoides</t>
  </si>
  <si>
    <t>Flores de cobalto</t>
  </si>
  <si>
    <t>Circón</t>
  </si>
  <si>
    <t>Sommervillita</t>
  </si>
  <si>
    <t xml:space="preserve">Zircón con alteraciones de espomudena </t>
  </si>
  <si>
    <t>Granate: Melanito</t>
  </si>
  <si>
    <t xml:space="preserve">Crisocola </t>
  </si>
  <si>
    <t xml:space="preserve">Romboedro de calcita        </t>
  </si>
  <si>
    <t>Espato de Islandia</t>
  </si>
  <si>
    <t>Romboedro de calcita</t>
  </si>
  <si>
    <t>Teruelita con galena y calcita</t>
  </si>
  <si>
    <t>Ankerita</t>
  </si>
  <si>
    <t>Cuarcita oscura con 12-15% de cinabrio</t>
  </si>
  <si>
    <t>Muestra de minería.</t>
  </si>
  <si>
    <t>Cromita</t>
  </si>
  <si>
    <t>Siderocromo</t>
  </si>
  <si>
    <t>Montera de hierro</t>
  </si>
  <si>
    <t>Hierro magnético</t>
  </si>
  <si>
    <t>Mineral Charcillo.</t>
  </si>
  <si>
    <t>Querargirita con plata nativa</t>
  </si>
  <si>
    <t xml:space="preserve">; sobre peana   </t>
  </si>
  <si>
    <t xml:space="preserve">Galena argentífera </t>
  </si>
  <si>
    <t>Pirita en cubos</t>
  </si>
  <si>
    <t>El electro (del latín electrum) es una aleación de oro y plata con una relación de 1/5 de plata respecto del oro,1​ con trazas de cobre y otros metales</t>
  </si>
  <si>
    <t>Electrum nativo</t>
  </si>
  <si>
    <t>Oro blanco</t>
  </si>
  <si>
    <t>Pirargirita</t>
  </si>
  <si>
    <t>Rosider oscuro</t>
  </si>
  <si>
    <t>Tetrahedrita</t>
  </si>
  <si>
    <t>Panabasa</t>
  </si>
  <si>
    <t xml:space="preserve">Estibina </t>
  </si>
  <si>
    <t>Estibinita o Antimontita</t>
  </si>
  <si>
    <r>
      <t>Pirolusita en crecimientos dendríticos</t>
    </r>
    <r>
      <rPr>
        <b/>
        <sz val="12"/>
        <color indexed="12"/>
        <rFont val="Arial"/>
        <family val="2"/>
      </rPr>
      <t xml:space="preserve">     </t>
    </r>
  </si>
  <si>
    <t xml:space="preserve">Titanita     </t>
  </si>
  <si>
    <t xml:space="preserve">Esfena con clorita </t>
  </si>
  <si>
    <t xml:space="preserve">Epidota </t>
  </si>
  <si>
    <t>Pistacita</t>
  </si>
  <si>
    <t>DESCRIPCIÓN: tamaño, material, fórmula…</t>
  </si>
  <si>
    <t xml:space="preserve">Cuarzo en Jacinto de Compostela  </t>
  </si>
  <si>
    <t xml:space="preserve">Cuarzo en cristal de roca </t>
  </si>
  <si>
    <t>cristal de roca diáfano</t>
  </si>
  <si>
    <t xml:space="preserve">Cuarzo fungiforme </t>
  </si>
  <si>
    <t xml:space="preserve">En cetro  </t>
  </si>
  <si>
    <t>Ópalo Melinita</t>
  </si>
  <si>
    <t>Lapislázuli</t>
  </si>
  <si>
    <t>Turquesa</t>
  </si>
  <si>
    <t>Natrolita sobre basalto alterado</t>
  </si>
  <si>
    <t>Mesotypa</t>
  </si>
  <si>
    <t>Lava almohadillada</t>
  </si>
  <si>
    <t>Pilow lava</t>
  </si>
  <si>
    <t>Yeso en lapiaz</t>
  </si>
  <si>
    <t>Vitrina</t>
  </si>
  <si>
    <t>Expositor malacología</t>
  </si>
  <si>
    <t>Vitrina 12.3</t>
  </si>
  <si>
    <t>Pared junto vitrina 12.2</t>
  </si>
  <si>
    <t xml:space="preserve">Gyps (=Vultur) fulvus </t>
  </si>
  <si>
    <t>Molossus obscurus (= molossus)</t>
  </si>
  <si>
    <r>
      <rPr>
        <b/>
        <sz val="8"/>
        <color theme="9" tint="-0.24994659260841701"/>
        <rFont val="Arial"/>
        <family val="2"/>
      </rPr>
      <t xml:space="preserve">USO/FUNCIONAMIENTO </t>
    </r>
    <r>
      <rPr>
        <sz val="8"/>
        <color theme="9" tint="-0.24994659260841701"/>
        <rFont val="Arial"/>
        <family val="2"/>
      </rPr>
      <t>TÉCNICAS</t>
    </r>
  </si>
  <si>
    <t>R. Checa</t>
  </si>
  <si>
    <t>Staffordshire</t>
  </si>
  <si>
    <t>Wetton</t>
  </si>
  <si>
    <t>Gerolstein</t>
  </si>
  <si>
    <t>New York</t>
  </si>
  <si>
    <t>AUTOR/MARCA/DISTRIBUIDOR/PROVEEDOR</t>
  </si>
  <si>
    <t>Troy</t>
  </si>
  <si>
    <t>Georgia</t>
  </si>
  <si>
    <t>Prusse Rhenane</t>
  </si>
  <si>
    <t xml:space="preserve">Sarrebruck, </t>
  </si>
  <si>
    <t>Renania del Norte-Westfalia</t>
  </si>
  <si>
    <t>Sarre</t>
  </si>
  <si>
    <t xml:space="preserve">Sunderland </t>
  </si>
  <si>
    <t>Reino Unigo</t>
  </si>
  <si>
    <t>Hesse</t>
  </si>
  <si>
    <t>Sierra Elvira</t>
  </si>
  <si>
    <t>Écija</t>
  </si>
  <si>
    <t>Renania-Palatinado</t>
  </si>
  <si>
    <t xml:space="preserve"> Manche</t>
  </si>
  <si>
    <t>Fieville</t>
  </si>
  <si>
    <t xml:space="preserve"> Rouen</t>
  </si>
  <si>
    <t>St. Catherine</t>
  </si>
  <si>
    <t>Castillo Sta. Catalina</t>
  </si>
  <si>
    <t>Jaen</t>
  </si>
  <si>
    <t>Provenza-Alpes-Costa Azul</t>
  </si>
  <si>
    <t>Campillo de Arenas</t>
  </si>
  <si>
    <t>Montbéliard</t>
  </si>
  <si>
    <t>Doubs</t>
  </si>
  <si>
    <t>Cehegin</t>
  </si>
  <si>
    <t>Cortijo del Caldador-Freila</t>
  </si>
  <si>
    <t>Borgoña</t>
  </si>
  <si>
    <t>Íllora</t>
  </si>
  <si>
    <t>Lloseta</t>
  </si>
  <si>
    <t>Sierra de Loja</t>
  </si>
  <si>
    <t>Pas de Calais</t>
  </si>
  <si>
    <t>Ferques</t>
  </si>
  <si>
    <t>Cabañeros</t>
  </si>
  <si>
    <t xml:space="preserve"> Almería</t>
  </si>
  <si>
    <t>Pilar de Jaravia</t>
  </si>
  <si>
    <t>Morenci</t>
  </si>
  <si>
    <t>Arizona</t>
  </si>
  <si>
    <t xml:space="preserve">Leadville </t>
  </si>
  <si>
    <t>Colorado</t>
  </si>
  <si>
    <t xml:space="preserve">Sierra de Lújar </t>
  </si>
  <si>
    <t>Aracena</t>
  </si>
  <si>
    <t>Jaroso, Srra. Almagrera,</t>
  </si>
  <si>
    <t>Berja</t>
  </si>
  <si>
    <t>Logroño</t>
  </si>
  <si>
    <t>Ambasaguas</t>
  </si>
  <si>
    <t xml:space="preserve">Navajún </t>
  </si>
  <si>
    <t>La Rioja</t>
  </si>
  <si>
    <t>Minas de Riotinto</t>
  </si>
  <si>
    <t>Bisbee</t>
  </si>
  <si>
    <t xml:space="preserve">Burguillos del Cerro </t>
  </si>
  <si>
    <t>Coruña</t>
  </si>
  <si>
    <t>Muxía</t>
  </si>
  <si>
    <t>Baja Sajonia</t>
  </si>
  <si>
    <t xml:space="preserve">Bad Pyrmont, </t>
  </si>
  <si>
    <t>Cádiz</t>
  </si>
  <si>
    <t>Conil</t>
  </si>
  <si>
    <t>Balsas de Gádor</t>
  </si>
  <si>
    <t>Las Herrerías</t>
  </si>
  <si>
    <t>Rio Darro</t>
  </si>
  <si>
    <t>Rumanía</t>
  </si>
  <si>
    <t>Barranco del Tintín, Güejar Sierra</t>
  </si>
  <si>
    <t>Carratraca</t>
  </si>
  <si>
    <t>Johan-Georgestand</t>
  </si>
  <si>
    <t>Guadalajara</t>
  </si>
  <si>
    <t>Hiendelaencina</t>
  </si>
  <si>
    <t xml:space="preserve"> Granada</t>
  </si>
  <si>
    <t>Zacatecas</t>
  </si>
  <si>
    <t>Aguadulce</t>
  </si>
  <si>
    <t>Montalbán</t>
  </si>
  <si>
    <t>Teruel</t>
  </si>
  <si>
    <t>Lamalá,</t>
  </si>
  <si>
    <t>Cogolludo</t>
  </si>
  <si>
    <t>Los Yesares, Quéntar</t>
  </si>
  <si>
    <t>Cuevas de Almanzora</t>
  </si>
  <si>
    <t>Barranco del Jaroso</t>
  </si>
  <si>
    <t>Puras</t>
  </si>
  <si>
    <t>Villanueva de las  Algaidas</t>
  </si>
  <si>
    <t>Ítrabo</t>
  </si>
  <si>
    <t xml:space="preserve"> Jaén</t>
  </si>
  <si>
    <t>Los Lastrones, Güejar Sierra</t>
  </si>
  <si>
    <t>Cuevas del Campo</t>
  </si>
  <si>
    <t>Lanteira</t>
  </si>
  <si>
    <t>Mina Encarnación, Güejar Sierra</t>
  </si>
  <si>
    <t>Molvizar</t>
  </si>
  <si>
    <t>La Peza</t>
  </si>
  <si>
    <t>Montejícar</t>
  </si>
  <si>
    <t xml:space="preserve"> Asturias</t>
  </si>
  <si>
    <t>Berbes</t>
  </si>
  <si>
    <t>Monjuich</t>
  </si>
  <si>
    <t>El Espinar. Guadarrama</t>
  </si>
  <si>
    <t>Segovia</t>
  </si>
  <si>
    <t>Vallecas</t>
  </si>
  <si>
    <t xml:space="preserve"> Jaen</t>
  </si>
  <si>
    <t>Carchelejo</t>
  </si>
  <si>
    <t>Pouna</t>
  </si>
  <si>
    <t>Nueva Escocia</t>
  </si>
  <si>
    <t xml:space="preserve">Isla de las Perdices. </t>
  </si>
  <si>
    <t>Canadá</t>
  </si>
  <si>
    <t>Zarzalejo</t>
  </si>
  <si>
    <t>Persia</t>
  </si>
  <si>
    <t>Irán</t>
  </si>
  <si>
    <t>Normandía</t>
  </si>
  <si>
    <t>Sainte-Anne-Saint-Priest</t>
  </si>
  <si>
    <t>Lemosín</t>
  </si>
  <si>
    <t>Fresse</t>
  </si>
  <si>
    <t>Biaville</t>
  </si>
  <si>
    <t>Saulx</t>
  </si>
  <si>
    <t>S. Blaire de la Roche</t>
  </si>
  <si>
    <t>Füssen</t>
  </si>
  <si>
    <t>baviera</t>
  </si>
  <si>
    <t>Ruph</t>
  </si>
  <si>
    <t>Rhin</t>
  </si>
  <si>
    <t>Gyromagny</t>
  </si>
  <si>
    <t xml:space="preserve"> Vosgos</t>
  </si>
  <si>
    <t>Valle Granges</t>
  </si>
  <si>
    <t>Volcán Scottia</t>
  </si>
  <si>
    <t>¿Tuben?</t>
  </si>
  <si>
    <t>¿Bechap?</t>
  </si>
  <si>
    <t>Nucheim</t>
  </si>
  <si>
    <t>Lepnix</t>
  </si>
  <si>
    <t>Aquitania</t>
  </si>
  <si>
    <t>Femergney</t>
  </si>
  <si>
    <t>Volcán Vesubio</t>
  </si>
  <si>
    <t>Nápoles</t>
  </si>
  <si>
    <t>Velay, Macizo Central</t>
  </si>
  <si>
    <t>Alto Loira</t>
  </si>
  <si>
    <t>Sicilia</t>
  </si>
  <si>
    <t>Gerona</t>
  </si>
  <si>
    <t>Algarinejo</t>
  </si>
  <si>
    <t>1988</t>
  </si>
  <si>
    <t>Arbuniel</t>
  </si>
  <si>
    <t>Dirección General de Agricultura, Industria y Comercio.</t>
  </si>
  <si>
    <t>64 litografías entreteladas y satinadas, en estuche de cartón. Litografía de José Mateu, c/Barquillo 4 y 6, Madrid</t>
  </si>
  <si>
    <t>Louis-Joseph Deleuil  Opticien</t>
  </si>
  <si>
    <t>Brújula de d´arpenteur– Taquímetro con clinómetro</t>
  </si>
  <si>
    <t>Goniómetro de contacto tipo Haüy o Carangeot, marca Alca</t>
  </si>
  <si>
    <t>Goniómetro de contacto tipo Haüy o Carangeot, marca Saturn</t>
  </si>
  <si>
    <t>Goniómetro de contacto tipo Haüy o Carangeot,marca Templado</t>
  </si>
  <si>
    <t>Se encontraban antes de 2015 muy deterioradas</t>
  </si>
  <si>
    <t xml:space="preserve"> Sexta edición. 1:1.000.000. Enrollable, con 2 molduras de madera</t>
  </si>
  <si>
    <t>3º tercio s. XX</t>
  </si>
  <si>
    <t>Sogeresa</t>
  </si>
  <si>
    <t>Stassfurt</t>
  </si>
  <si>
    <t>Tierra salina de Stas(s)furt.</t>
  </si>
  <si>
    <t>Tablas de colores de Munsell para muestras de suelos</t>
  </si>
  <si>
    <t>Cartón cuché troquelado de alto gramaje</t>
  </si>
  <si>
    <t>Tamices para granulometría de suelos</t>
  </si>
  <si>
    <t>Macla de Carlsbad, de penetración sin articular (ortosa) (Monoclínico)</t>
  </si>
  <si>
    <t>SÓLIDOS CRISTALOGRÁFICOS en madera de HAYA</t>
  </si>
  <si>
    <t>Nº C1.- Clase 23 Tetratoidal: Tetartoedro</t>
  </si>
  <si>
    <t>Nº T1.- Clase 4mm: Ditetragonal piramidal: Biesfenoide tetragonal o Escalenoedro negativo o derecho</t>
  </si>
  <si>
    <t>Nº R1.- Clase Holosimétrica Bipiramidal: Bipirámide y pinacoide</t>
  </si>
  <si>
    <t>Nº R2.- Clase Esfenoidal 222: Biesfenoide rómbico</t>
  </si>
  <si>
    <t>Cúbico</t>
  </si>
  <si>
    <t>Rómbico</t>
  </si>
  <si>
    <t>Trigonal</t>
  </si>
  <si>
    <t>Monocínico</t>
  </si>
  <si>
    <t>Nº M1.- Clase Hemimorfía Esfenoidal: Tres pinacoides</t>
  </si>
  <si>
    <t>Nº M2.- Clase Hemimorfía Esfenoidal: Tres pinacoides</t>
  </si>
  <si>
    <t>Nº M3.- Clase Holosimétrica prismática: Dos prisma y un pinacoide</t>
  </si>
  <si>
    <t>Nº M4.- Clase Holosimétrica prismática: dos prismas y tres pinacoides</t>
  </si>
  <si>
    <t>Nº M5.- Clase Clinoédrica Domática: cuatro pinacoides</t>
  </si>
  <si>
    <t>Tetragonal</t>
  </si>
  <si>
    <t>Madera de haya, gran formato. Sin numeración original. Código escrito a lápiz JLR-CB</t>
  </si>
  <si>
    <t>Retirado por Luis Castellón en noviembre/2015 (Fdo. JLR-CB)</t>
  </si>
  <si>
    <t>SÓLIDOS CRISTALOGRÁFICOS EN GOMA</t>
  </si>
  <si>
    <t>SÓLIDOS CRISTALOGRÁFICOS EN GOMA numerados con etiquetas adhesivas</t>
  </si>
  <si>
    <t>¿Krantz o Merk distribuidos por Cultura?</t>
  </si>
  <si>
    <t>1962</t>
  </si>
  <si>
    <t>En caja de cartón, en plástico rígido transparente de colores vivos. Numeración a máquina etiquetada en todas las piezas, del 1 al 46</t>
  </si>
  <si>
    <r>
      <t xml:space="preserve">Caja de cartón, con tapa, Caja: 29,5 x 49,5 x 12 cm. </t>
    </r>
    <r>
      <rPr>
        <u/>
        <sz val="8"/>
        <rFont val="Arial"/>
        <family val="2"/>
      </rPr>
      <t xml:space="preserve"> Se acompañaba de un folleto (inexistente) en el que se detalla la relación de formas y se ordenan por números correspondientes a las etiquetas de las piezas, agrupados en los siguientes conjuntos: catorce piezas del sistema regular (1-14), cinco piezas del sistema [h]exagonal (15-19), ocho piezas del sistema trigonal (20-27), siete piezas del sistema tetragonal (28-34), cinco piezas del sistema rómbico (35-39), cinco piezas del sistema monoclínico (40-44) y dos piezas del sistema triclínico (45-46).</t>
    </r>
  </si>
  <si>
    <t>M1: Monoclínico-Clase Holosimétrica prismática: prisma y tres pinacoides (¿o un pedión?)</t>
  </si>
  <si>
    <t>C1: Cúbico-clase tetratoidal: cubo y tetraedro (domina el cubo)</t>
  </si>
  <si>
    <t>TR1.- Trigonal-Clase Ditrigonal Hemimórfica Piramidal</t>
  </si>
  <si>
    <t>T1.- Tetragonal-Clase Bipiramidal: Bipirámide, prisma y pinacoide</t>
  </si>
  <si>
    <t>T2.- Tetragonal: Dos prismas y una pirámide.</t>
  </si>
  <si>
    <t>R1.- Rómbico-Clase Hemimórfica Piramidal: Prisma de 3ª especie y un esfenoide rómbico positivo, (frecuente en la epsomita)</t>
  </si>
  <si>
    <t>Está mal tallado ¿no vendible?</t>
  </si>
  <si>
    <t>En madera y alambre, policromados, sobre peana de madera con 4 patas eféricas, con ejes esmaltados en colores. Diseñadas por el catedrático de instituto y profesor de cristalografía D. Abilio Rodríguez Rosillo.</t>
  </si>
  <si>
    <t>Fabricadas por Cultura-Sogeresa</t>
  </si>
  <si>
    <t>1930-1970</t>
  </si>
  <si>
    <t>Almagro</t>
  </si>
  <si>
    <t>Negro, con iridiscencias verdosas. Aleación sólida de un carburo covalente de estequiomería 1:1, en el que Si son sustituidos por C adoptando la estructura hexagonal del diamante, por lo que es casi tan duro como él, (9-9,5). Serendipia de Berzelius en 1824 mientras realizaba un experimento para sintetizar diamantes (arenas cuarcíferas muy puras más coque de petróleo. existe en la naturaleza en la forma del muy raro mineral de moissanite. Tiene una dureza muy alta, intermedia entre el corindón y el diamante. Por lo tanto, se clasifica como materiales super-duros.</t>
  </si>
  <si>
    <t>1981</t>
  </si>
  <si>
    <t>Folleto publicidad</t>
  </si>
  <si>
    <t>Luis Castellón Serrano</t>
  </si>
  <si>
    <r>
      <rPr>
        <b/>
        <sz val="14"/>
        <color theme="9" tint="-0.249977111117893"/>
        <rFont val="Arial"/>
        <family val="2"/>
      </rPr>
      <t>SÓLIDOS CRISTALOGRÁFICOS DISEÑO ROSE</t>
    </r>
    <r>
      <rPr>
        <b/>
        <sz val="14"/>
        <rFont val="Arial"/>
        <family val="2"/>
      </rPr>
      <t xml:space="preserve"> </t>
    </r>
  </si>
  <si>
    <t>Arnés de madera, malla metal. Luz 10 mm, 5 mm, 0.02 mm</t>
  </si>
  <si>
    <t>La mala del tamiz fino está deteriorada</t>
  </si>
  <si>
    <t>Modelos de redes cristalinas de Abilio Rguez. Rosillo</t>
  </si>
  <si>
    <t>Terolito</t>
  </si>
  <si>
    <t>Dukat, Chukotka</t>
  </si>
  <si>
    <t>7236</t>
  </si>
  <si>
    <t>Mina Carmen</t>
  </si>
  <si>
    <t>Galena “alimonada”</t>
  </si>
  <si>
    <t>De latón. Altura 12 cm, diámetro 11 cm. Es un goniómetro de reflexión de un círculo, para la medida rápida y directa de los ángulos interfaciales entre las caras de cristales de muy pequeño tamaño. Presenta inscripción con el nombre del fabricante, que dice: “Deyrolle, Paris” Aparato de precisión para medir los ángulos entre las caras de los cristales, para lo que dispone de una escala graduada con un vernier y un pequeño disco para colocar los cristales.</t>
  </si>
  <si>
    <t>Láminas delgadas minerales uniaxiales y biaxiales según diferentes cortes</t>
  </si>
  <si>
    <t>8 x 6 cm. Sobre soporte de aluminio, vidrio y acero. Formó parte de una colección de 40 figuras cristalográficas de Cristal de Bohemia</t>
  </si>
  <si>
    <t>Cuadro rey Juan Carlos I</t>
  </si>
  <si>
    <r>
      <t>Género: Retrato de Juan Carlos I, Rey de España. Autor: Rafael Revelles López (19…) Antiguo alumno y Catedrático de Dibujo del Instituto Padre Suárez (…-…). Técnica: Pastel: pintura al seco presentada en barritas o lápices, de colores brillantes y luminosos, cuyo origen se remonta al s XVI. Soporte y formato: Papel sobre tablero de 60x90 cm</t>
    </r>
    <r>
      <rPr>
        <sz val="14"/>
        <rFont val="Arial"/>
        <family val="2"/>
      </rPr>
      <t>.</t>
    </r>
  </si>
  <si>
    <t>Rafael Revelles López</t>
  </si>
  <si>
    <t>¿1982?</t>
  </si>
  <si>
    <t>Revelles López, Rafael</t>
  </si>
  <si>
    <t xml:space="preserve"> 10, 6 g de laminillas y microlaminilla de oro; no son pepitas</t>
  </si>
  <si>
    <t>En la Penibética, de Juan Carandell Pericay</t>
  </si>
  <si>
    <t>Pequeña publicación, de 21 páginas y de 16x10,5 cm, en el que el autor describe, con una prosa muy atractiva, una serie de excursiones didácticas para realizar con los alumnos, al Torcal de Antequera, Ronda, el Taho de Ronda, Grazalema y Gibraltar. La descripción de estas excursiones fue uno de las aspectos más prolíficos de Carandell.</t>
  </si>
  <si>
    <t>Fecha publicación</t>
  </si>
  <si>
    <t>Juan Carandell Pericay. Ed. "El Sol de Antequera"</t>
  </si>
  <si>
    <t>Hojas mdespegadas</t>
  </si>
  <si>
    <t>Calcita - Espato de Islandia tallado pinacoide 0001 en estuche</t>
  </si>
  <si>
    <t xml:space="preserve">Oasis El Goléa, distrito de El Menïa, </t>
  </si>
  <si>
    <t xml:space="preserve">Yeso rosa en Rosa del Desierto </t>
  </si>
  <si>
    <t xml:space="preserve">Yeso gris en Rosas del Desierto </t>
  </si>
  <si>
    <t xml:space="preserve">Barita o baritina en Rosa del desierto </t>
  </si>
  <si>
    <t>Cuarzo cristal de roca. Prisma y dos romboedros.</t>
  </si>
  <si>
    <t>Cuarzo ahumado</t>
  </si>
  <si>
    <t>Producciones Áncora</t>
  </si>
  <si>
    <t>Vídeos colección Encyclopedia Britannica Educacional</t>
  </si>
  <si>
    <t>Vídeo "El mundo de las drogas: crack, anfetaminas y la fisiología humana"</t>
  </si>
  <si>
    <t>Educación y Cultura</t>
  </si>
  <si>
    <t>1990</t>
  </si>
  <si>
    <t>1992</t>
  </si>
  <si>
    <t>Vídeo "Agricultura sostenible en los espacios protegidos de Andalucía"</t>
  </si>
  <si>
    <t>F. Bustinza y Fernando Mascaró</t>
  </si>
  <si>
    <t xml:space="preserve"> Caja carton y guias madera, con tapa, 8,5x7,5x3 cm; , portas 7,5x2,5, cubre circulares de 1 y 2 cm.</t>
  </si>
  <si>
    <t>1858?</t>
  </si>
  <si>
    <t>Cubre circular,  porta 7,5x2,5. En estuche de cartón y guías de madera ranurada, con tapa.</t>
  </si>
  <si>
    <t>MATERIAL PARA EL ESTUDIO DE LA MINERALOGÍA y MICROPALEONTOLOGÍA</t>
  </si>
  <si>
    <t>Estuche con 15 preparaciones micropaleontológicas, .</t>
  </si>
  <si>
    <t>Vitrina 1.4</t>
  </si>
  <si>
    <t>Vitrina 1.5</t>
  </si>
  <si>
    <t>1978</t>
  </si>
  <si>
    <t>Alicón de las Torres</t>
  </si>
  <si>
    <t>Placas pulimentadas de 10x10 de micasquisto ornamental, muy rescristalizado: 1 rojo, dos rosas y uno gris</t>
  </si>
  <si>
    <t>Placa pulimentada de 12x12x2, de esquisto ornamental, muy rescristalizado</t>
  </si>
  <si>
    <t>Diploma y Medalla de oro, de la otorgados en la Exposición Universal de Barcelona de 1888, por la calidad de los materiales expuestos de olos Gabinetes de Ciencias. En marco de madera tallada, con hornacina para la medalla</t>
  </si>
  <si>
    <t>1888</t>
  </si>
  <si>
    <t xml:space="preserve">Placa inauguración Museo </t>
  </si>
  <si>
    <t>Placa patrocinio Caja Granada y Tiendas Corty</t>
  </si>
  <si>
    <t>Placa patrocinio Unicaja Fundación</t>
  </si>
  <si>
    <t>Metálica latón, de …..x….. Cm</t>
  </si>
  <si>
    <t>Medallas conmemorativas "175 aniversario Instituto Padre Suárez"</t>
  </si>
  <si>
    <t>Metálicas, pátina ... 76 cm diámetro, anverso con altorrelieve fachada ppal. del instituto y reverso con escudo instituto e inscripciones conmemorativas.</t>
  </si>
  <si>
    <t>Esquisto ornamental pulido</t>
  </si>
  <si>
    <t>Impala</t>
  </si>
  <si>
    <t xml:space="preserve"> San Francisco</t>
  </si>
  <si>
    <t xml:space="preserve">Canteras de Rustenburgo </t>
  </si>
  <si>
    <t>Provincia del Noroeste</t>
  </si>
  <si>
    <t>"Granito" ornamental pulido "Verde Pradera"</t>
  </si>
  <si>
    <t>Granito ornamental pulido "Bacthus"</t>
  </si>
  <si>
    <t>Placa pulimentada de 13x13x2,</t>
  </si>
  <si>
    <t>Placa pulimentada de 17x14x2, textura granobástica, mayoría m. félsicos (cuarzo y feldespatos verdosos) y escasa mica</t>
  </si>
  <si>
    <t>Sienita "granito"ornamental pulido "Porriño"</t>
  </si>
  <si>
    <t>Placa pulimentada de 10,5x9x2, color rosa, textura holocristalina, mayoría m. félsicos (cuarzo y ortosa) y  mica moderada</t>
  </si>
  <si>
    <t>Placas pulimentadas de 12x12x2 cm y 11,5x11x2, pulida a una cara. Roca ígnea intrusiva máfica,textura granular y fanerítica.</t>
  </si>
  <si>
    <t>Cantera Río, Macael</t>
  </si>
  <si>
    <t>"Mármol verde"</t>
  </si>
  <si>
    <t>Placa pulimentada de 17x14x2, muy blanca y uniforme  grano medio, 83% de calcita, un 16% de dolomita, un 0,5% de moscovita, y cantidades menores de arcilla y opacos.</t>
  </si>
  <si>
    <t>Mármol blanco pulido “Macael Río”</t>
  </si>
  <si>
    <t>Gabro, "granito" ornamental pulido "Negro sudáfrica"</t>
  </si>
  <si>
    <t>Placa pulimentada de 17x14x2, color gris oscuro, de grano fino-medio y fractura irregular, con un porcentaje alto de plagioclasas (labradorita azul), mica y cuarzo.</t>
  </si>
  <si>
    <t>Pegmatito sienítica, "granito" ornamental pulido "Rosavel"</t>
  </si>
  <si>
    <t>Placas pulimentadas de 11x11x2,7 cm pulida a una cara. Félsica, holocristalina, hipidiomorfa, grano gruso, serie Bowen: plagioclasa, biotita y anfíbol idiomorfos; cuarzo y feldespato xenomorfos e intergranulares.</t>
  </si>
  <si>
    <t>Lámina mural cartográfica a escala 1:2.500.000, elaborado por …., sobre …., … x… mm</t>
  </si>
  <si>
    <t>Lámina mural en papel couché brillo, a color, …x… mm</t>
  </si>
  <si>
    <t>Hematita, "piedra de sangre"</t>
  </si>
  <si>
    <t>Aspecto pulvurulento, color ocre rojo intenso.</t>
  </si>
  <si>
    <t>Elaborada a partir de los costados sobrantes de los expositores de la sala I</t>
  </si>
  <si>
    <t>Estructura metálica, asiento de madera barnizada en nogal</t>
  </si>
  <si>
    <t>Centro sala</t>
  </si>
  <si>
    <t>1995-2021</t>
  </si>
  <si>
    <t>1995-2020</t>
  </si>
  <si>
    <t>Anteriomente cubiertos solo con tapa de vidrio y con las colecciones poco visibles. Se les dotó en 2020 de urnas de vidrio.</t>
  </si>
  <si>
    <t xml:space="preserve">Urnas de vidrio para expositores horizontales </t>
  </si>
  <si>
    <t>Urnaas de vidrio para expositores de la sala I</t>
  </si>
  <si>
    <t>Sin tapa de vidrio. Contar</t>
  </si>
  <si>
    <t>Urna metacrilato para tigre</t>
  </si>
  <si>
    <t>Urna metacrilato para esqueleto humano</t>
  </si>
  <si>
    <t>Urna metacrilato para oso</t>
  </si>
  <si>
    <t xml:space="preserve">Vitrinas-Expositores metacrilato </t>
  </si>
  <si>
    <t>Bandejas de aluminio</t>
  </si>
  <si>
    <t>Bandeja de cerámica.</t>
  </si>
  <si>
    <t>22x18x5 cm</t>
  </si>
  <si>
    <t xml:space="preserve">Bandeja de cerámica </t>
  </si>
  <si>
    <t>Bandeja de cerámica blanca, 15x15x2</t>
  </si>
  <si>
    <t>Chapa de aluminio en escuadra, con espejos, para cristal de Bohemia</t>
  </si>
  <si>
    <t>1960</t>
  </si>
  <si>
    <t>Pizarra negra con Graptolites ¿Monograptus?</t>
  </si>
  <si>
    <t>pulimentada rematada en vértice, triangular, con inclusiones de pirita y calcopirita</t>
  </si>
  <si>
    <t>Se adquiere  colección  500 ejemplares en 1861-1862 (memoria  1862) Suelen estar numerados a plumilla por D. Rafael GA</t>
  </si>
  <si>
    <t>OFERTANTE/FUENTE DEL INGRESO</t>
  </si>
  <si>
    <t>Decomiso</t>
  </si>
  <si>
    <t>Dación</t>
  </si>
  <si>
    <t>Premios, obsequio suscriptores</t>
  </si>
  <si>
    <t>Usucapión</t>
  </si>
  <si>
    <t>Producción o elaboración propia</t>
  </si>
  <si>
    <t>Recolección</t>
  </si>
  <si>
    <t>UBICACIÓN TOPOGRÁFICA</t>
  </si>
  <si>
    <t>UBICACIONES ANTERIORES</t>
  </si>
  <si>
    <t>Vitrina 2.IV</t>
  </si>
  <si>
    <t>Vitrina 3.III</t>
  </si>
  <si>
    <t>Almacén-Vitrina 3.III</t>
  </si>
  <si>
    <t>Pared sala IV-Vitrina 3.III</t>
  </si>
  <si>
    <t>CLASIFICACIÓN GENERICA</t>
  </si>
  <si>
    <t>OTRA DENOMINACIÓN: PARTICULAR, LOCAL, OBSOLETA, VULGAR…</t>
  </si>
  <si>
    <t>TIPOLOGÍA</t>
  </si>
  <si>
    <t>Sabatel Bueno, Rafael</t>
  </si>
  <si>
    <t>Expositor escalera metacrilato translúcido, con luz</t>
  </si>
  <si>
    <t>Alto: 19,5 cm; fondo: 36 cm, largo: 98 cm. Expositor en escalera de tres "peldaños", con iluminación a base de tubos de luz</t>
  </si>
  <si>
    <t>Alto: 19,5 cm; fondo: 36 cm, largo: 56 cm. Expositor en escalera de tres "peldaños", con iluminación a base de tubos de luz</t>
  </si>
  <si>
    <t>Algún lateral deteriorado</t>
  </si>
  <si>
    <t>Información propietario anterior</t>
  </si>
  <si>
    <t>Adquiridos por Óptica Lizancos, c/San Juan de Dios</t>
  </si>
  <si>
    <t>Mesa expositora central sala 1</t>
  </si>
  <si>
    <t>Libro de texto oficial del IES Padre Suárez para el "Preu".  Summa. Madrid. 1967 414 p. (21 cm) Rustica. Profusamente ilustrado con fotgr. y dibujos en bn. Q (Ref.31526) ciencia biologia universidad educacion enseñanza.</t>
  </si>
  <si>
    <t>Plan de Bachillerato Elemental Unificado</t>
  </si>
  <si>
    <t>M.E.C.</t>
  </si>
  <si>
    <t>Ciencias Naturales 2º Bachillerato Elemental Plan 1967</t>
  </si>
  <si>
    <t>Imprenta Aguirre</t>
  </si>
  <si>
    <t>Libro de texto oficial del IES Padre Suárez ,160 pág., 70 ptas. Ilustraciones en blanco y negro.</t>
  </si>
  <si>
    <t>MATERIAL ESCOLAR y DE DIBUJO</t>
  </si>
  <si>
    <t>Tampón-almohadilla Pelikan, para entintar sellos</t>
  </si>
  <si>
    <t>Plástico azul, tapón rosca blanco; tinta sin aceite.</t>
  </si>
  <si>
    <t>Material escolar</t>
  </si>
  <si>
    <t>MATERIAL DE OFICINA</t>
  </si>
  <si>
    <t>2006</t>
  </si>
  <si>
    <t>Tapizado aterciopelado</t>
  </si>
  <si>
    <t>Soporte para huevos de Gallina de la Conchinchina</t>
  </si>
  <si>
    <t>Columna doblada por el peso, pero reajustada por JEPB y JLR-CB</t>
  </si>
  <si>
    <t>Perdiz pardilla</t>
  </si>
  <si>
    <t>Alectoris rufa</t>
  </si>
  <si>
    <t>Perdiz roja o común</t>
  </si>
  <si>
    <t>Sobre peana cónica de escayola policromada</t>
  </si>
  <si>
    <t>García Feito, Natalio</t>
  </si>
  <si>
    <t>Chueca Sancho, Ana, y Lopez Gorgé, Julio</t>
  </si>
  <si>
    <t>Info. Viuda Dr. Ana Chueca</t>
  </si>
  <si>
    <t>Dr. Julio López-Gorgé</t>
  </si>
  <si>
    <t xml:space="preserve">Sílex                                 </t>
  </si>
  <si>
    <t>Myogale (= Desmana) moscovitica (= moschata)</t>
  </si>
  <si>
    <t>Liebre de mar</t>
  </si>
  <si>
    <t>Benajarafe</t>
  </si>
  <si>
    <t>Radiolarita</t>
  </si>
  <si>
    <t>Roca sedimentaria química silícea del Dogger (Jurásico medio), formada por acumulación de esqueletos de radiolarios planctónicos. 6x4x2 cm. Fractura romboolidal y patina de óxidos.</t>
  </si>
  <si>
    <t>1975</t>
  </si>
  <si>
    <t>Lanjarón</t>
  </si>
  <si>
    <t>Sílex nodular, seccionado y pulido</t>
  </si>
  <si>
    <t>Pedernal</t>
  </si>
  <si>
    <t>Fragmento de nódulo ovoidal de silex de 6x4x3,5, Partido por la mitad y pulido</t>
  </si>
  <si>
    <t>1977</t>
  </si>
  <si>
    <t>Pedro Martínez</t>
  </si>
  <si>
    <t>Pto. Del Zegrí, Iznalloz</t>
  </si>
  <si>
    <t>6x3x2 cm</t>
  </si>
  <si>
    <t>Arenisca calcárea bioclástica</t>
  </si>
  <si>
    <t>Maciño</t>
  </si>
  <si>
    <t>Cantera La Escribana, St.a Pudia, Escúzar</t>
  </si>
  <si>
    <t>Sílex crema con fractura concoidea</t>
  </si>
  <si>
    <t>Sílex tabular negro</t>
  </si>
  <si>
    <t>Sílex tabular</t>
  </si>
  <si>
    <t>Sílex</t>
  </si>
  <si>
    <t>Sílex molar calcáreo con Paludina</t>
  </si>
  <si>
    <t>Sierra Elvira, Atarfe</t>
  </si>
  <si>
    <t>Brecha de mármol dolomítico</t>
  </si>
  <si>
    <t>Srra. Tejeda</t>
  </si>
  <si>
    <t>Frgmentos de mármol negro con recristalizaciones de calcita blanca; 12x6x4 cm</t>
  </si>
  <si>
    <t>8x6x4</t>
  </si>
  <si>
    <t>Brecha ferruginosa cuarcífera</t>
  </si>
  <si>
    <t>Xenophora crispa (=mediterranea)</t>
  </si>
  <si>
    <t>6,5x4 cm, con el opérculo original</t>
  </si>
  <si>
    <t>Litoral Granada</t>
  </si>
  <si>
    <t>1983</t>
  </si>
  <si>
    <t>Natica aldiari lactea</t>
  </si>
  <si>
    <t>Strombus ¿pugilis o alatus?</t>
  </si>
  <si>
    <t>Vitrina 2.3</t>
  </si>
  <si>
    <t>9x5x3 cm</t>
  </si>
  <si>
    <t>1991</t>
  </si>
  <si>
    <t>Oceáno Pacífico</t>
  </si>
  <si>
    <t>Cruzianas (icnofósil)</t>
  </si>
  <si>
    <t>Pecten benedictus</t>
  </si>
  <si>
    <t>Exp. 16.2</t>
  </si>
  <si>
    <t>Calcarenita con tres ejemplares, uno de 4x3,5 cm</t>
  </si>
  <si>
    <t>Agrón</t>
  </si>
  <si>
    <t>De trazo fino (2 mm) bilobuladas, en carcitas de grano fino del Ordovícico</t>
  </si>
  <si>
    <t>Un ejemplar fracturado por la mitad. 1,5-1,7x0,5 cm.</t>
  </si>
  <si>
    <t>Nummulites sp.</t>
  </si>
  <si>
    <t>Srra. Espuña</t>
  </si>
  <si>
    <t>Torpedo sp.</t>
  </si>
  <si>
    <t>Ostraea sp.</t>
  </si>
  <si>
    <t>Orbitolina lenticularis</t>
  </si>
  <si>
    <t>10-12x3 mm</t>
  </si>
  <si>
    <t>Srra. Pelada, Íllora</t>
  </si>
  <si>
    <t>Srra. S. Pedro, Alcaudete</t>
  </si>
  <si>
    <t>Liásico, 8x4x5 cm. Presenta las dos valvas muy diferenciadas: inequivalva</t>
  </si>
  <si>
    <t>Srra. Gorda, Loja</t>
  </si>
  <si>
    <t>Pecten sp.: molde interno y concha de lamelibranquio heterodonto</t>
  </si>
  <si>
    <t>Molde interno del manto y de la cavidad paleal y fragmento de la valva con costillas radiales, dcha. (solo una foseta, la izda. tendría dos). Charnela heterodonta, 14x12x6 cm</t>
  </si>
  <si>
    <t>Platygyra sp.</t>
  </si>
  <si>
    <r>
      <t>Coral duro fósil de esqueleto macizo de CO</t>
    </r>
    <r>
      <rPr>
        <vertAlign val="subscript"/>
        <sz val="8"/>
        <rFont val="Calibri"/>
        <family val="2"/>
      </rPr>
      <t>3</t>
    </r>
    <r>
      <rPr>
        <sz val="8"/>
        <rFont val="Calibri"/>
        <family val="2"/>
      </rPr>
      <t>Ca, procedente de los arrecifes miocénicos (Tortoniense) de la Depresión de Granada en las Cordilleras Béticas</t>
    </r>
  </si>
  <si>
    <t>Srra. De la Tórtola, Jayena</t>
  </si>
  <si>
    <t xml:space="preserve">Xenophora crispa      </t>
  </si>
  <si>
    <t>Estrías muy resaltadas, ligeramente sinuosas, concéntricas, paralelas al contorno de la pieza. Fragmento 30x20 mm. Se relaciona con ammonites Oppélidos y Hapléceras del Jurásico</t>
  </si>
  <si>
    <t>Aptychus (Lamellaptychus)</t>
  </si>
  <si>
    <t>Estrías muy resaltadas, ligeramente sinuosas, concéntricas, paralelas al contorno de la pieza. 35 x 20 mm. Se relaciona con ammonites Oppélidos y Hapléceras del Jurásico</t>
  </si>
  <si>
    <t>6x4,5x2,4 cm</t>
  </si>
  <si>
    <t>8x5x2,5 cm</t>
  </si>
  <si>
    <t>Rodolitos de algas rojas en caliza crema de Cretácico. 2-3 mm de diámetro. Fragmento de 5x4,5x2,5 cm.</t>
  </si>
  <si>
    <t>Srra. Cazorla</t>
  </si>
  <si>
    <t>Rotularia spirulea</t>
  </si>
  <si>
    <t>Anélido serpúlido del Eoceno. 17x14x4 mm. El tubo constituido por una capa externa gruesa, y otra capa interna muy delgada. Morfología planiespiral. Vive en sustratos cohesionados. Tubo con  carena o quilla estabilizadora. La cavidad del tubo (lumen) rellena por sedimento y/o cementada por calcita</t>
  </si>
  <si>
    <t>Ilaenus hispanicus</t>
  </si>
  <si>
    <t>Noes, Totanés</t>
  </si>
  <si>
    <t>Camberos Cantos, Isabel Victoria</t>
  </si>
  <si>
    <t>Spirifer striatus y Lingula sp.</t>
  </si>
  <si>
    <t>Decenas de braquiópodos del Cámbrico inf. 5 x 12 mm. En pizarras de grano fino, de color gris oscuro y de relativa dureza. Es la parte inferior de la muestra que incluye el Ilaenus hispanicus.</t>
  </si>
  <si>
    <t>Noez, Totanés</t>
  </si>
  <si>
    <t>Porífero de la clase Demospongea (espículas silíceas con un solo eje  o monoaxonas, o con cuatro ejes  o tetraxonas y radios triangulares o hexagonales), del Cretácico. 2x2x1,5 cm</t>
  </si>
  <si>
    <t>Esponja tulipán</t>
  </si>
  <si>
    <r>
      <t>Granito ornamental Pulido, variedad “</t>
    </r>
    <r>
      <rPr>
        <i/>
        <sz val="8"/>
        <rFont val="Calibri"/>
        <family val="2"/>
      </rPr>
      <t>Rojo Príncipe</t>
    </r>
    <r>
      <rPr>
        <sz val="8"/>
        <rFont val="Calibri"/>
        <family val="2"/>
      </rPr>
      <t>”</t>
    </r>
  </si>
  <si>
    <t>Placa pulimentada, color rojo sangre, de 15x15x2 cm, pulida a una cara. máfica, granular y  fanerítica: biotite, cuarzo y feldespato  K.</t>
  </si>
  <si>
    <t>Rojo Príncipe</t>
  </si>
  <si>
    <t>Porriño</t>
  </si>
  <si>
    <t>Bacthus</t>
  </si>
  <si>
    <t>Rosavel</t>
  </si>
  <si>
    <t>Madhya Pradesh</t>
  </si>
  <si>
    <t>Murex trunchulus, con opérculo</t>
  </si>
  <si>
    <t>Iberus gualtierianus</t>
  </si>
  <si>
    <t>Pirita en cubo de caras estriadas e interpenetradas</t>
  </si>
  <si>
    <t>Cubo de 2x2x2 cm, de caras estriadas y con numerodos cubos milimétricos interprenetados (8-10 en cada cara)</t>
  </si>
  <si>
    <t>Pirita en dos cubos interprenetados</t>
  </si>
  <si>
    <t>Dos cubos interprenetados, siendo el mayor de forma prismática: 2x1,5x1,5 cm y 1x1x1 cm.</t>
  </si>
  <si>
    <t>Yeso gris en rosas del desierto  pequeñas</t>
  </si>
  <si>
    <t>Yeso blanco en 3 rosas del desierto pequeñas</t>
  </si>
  <si>
    <t>Color grisáceo. Formadas en margas del Pleistoceno inferior. Escala centimétrica (1-3)</t>
  </si>
  <si>
    <t xml:space="preserve">Agregado de tres rosas de arena o del desiarto. 3,5x3x2 cm </t>
  </si>
  <si>
    <t>Cullar Baza</t>
  </si>
  <si>
    <r>
      <t xml:space="preserve">Yeso maclas en </t>
    </r>
    <r>
      <rPr>
        <i/>
        <sz val="12"/>
        <rFont val="Calibri"/>
        <family val="2"/>
      </rPr>
      <t>punta de flecha</t>
    </r>
    <r>
      <rPr>
        <sz val="12"/>
        <rFont val="Calibri"/>
        <family val="2"/>
      </rPr>
      <t xml:space="preserve"> asimétricas</t>
    </r>
  </si>
  <si>
    <r>
      <t xml:space="preserve">Yeso maclas en </t>
    </r>
    <r>
      <rPr>
        <i/>
        <sz val="12"/>
        <rFont val="Calibri"/>
        <family val="2"/>
      </rPr>
      <t>punta de flecha dobles</t>
    </r>
  </si>
  <si>
    <r>
      <t xml:space="preserve">Yeso ámbar en macla de </t>
    </r>
    <r>
      <rPr>
        <i/>
        <sz val="12"/>
        <rFont val="Calibri"/>
        <family val="2"/>
      </rPr>
      <t>punta de lanza</t>
    </r>
    <r>
      <rPr>
        <sz val="12"/>
        <rFont val="Calibri"/>
        <family val="2"/>
      </rPr>
      <t xml:space="preserve"> </t>
    </r>
  </si>
  <si>
    <t>Color ámbar grisáceo. Formado en margas del Pleistoceno inferior. 6x3,5x3 cm y 4x2,5x1 cm</t>
  </si>
  <si>
    <t>Color ámbar grisáceo. Formado en margas del Pleistoceno inferior. 4x2x1 cm y 4x2x0,5 cm</t>
  </si>
  <si>
    <t>Color ámbar. Son frecuentes las maclas en punta de flecha, pero son muy raras las maclas en punta de lanza, es decir, sin las prolongaciones traseras;  5,5x1,5x1 cm.</t>
  </si>
  <si>
    <t xml:space="preserve">Yeso laminar hialino                            </t>
  </si>
  <si>
    <r>
      <t xml:space="preserve">Lapis especularis o espejuelo. </t>
    </r>
    <r>
      <rPr>
        <sz val="8"/>
        <rFont val="Calibri"/>
        <family val="2"/>
      </rPr>
      <t>Cristal monoclínico prismático-tabular paralelo al 2º pinacoide; de forma rómbica con aristas biseladas en las caras. Transparente, 7x3,5x07 cm</t>
    </r>
  </si>
  <si>
    <t>Yeso laminar translúcido, en cristalización lenticular</t>
  </si>
  <si>
    <r>
      <t xml:space="preserve"> </t>
    </r>
    <r>
      <rPr>
        <sz val="8"/>
        <rFont val="Calibri"/>
        <family val="2"/>
      </rPr>
      <t>Color ámbar grisáceo. Formado en margas del Pleistoceno inferior. 11x3x1 cm y 8,5x2,3x0,5 cm</t>
    </r>
  </si>
  <si>
    <t>Yeso fibroso en placa</t>
  </si>
  <si>
    <t>Plaza de gran formato de color blanco, con veteado marrón. 25,5x22x2,5 cm</t>
  </si>
  <si>
    <t>Sorbas</t>
  </si>
  <si>
    <t>Halita hialina en prisma</t>
  </si>
  <si>
    <t>4,5x2,5x1,5 cm</t>
  </si>
  <si>
    <t>Calcita en costra botroide-coraloide</t>
  </si>
  <si>
    <t>Calcita en antoditas-helictitas</t>
  </si>
  <si>
    <t>Calcita en estalactita, con conducto abierto</t>
  </si>
  <si>
    <t>Calcita en estalactita excéntrica</t>
  </si>
  <si>
    <t>Calcita en drusa</t>
  </si>
  <si>
    <r>
      <t>Calcita en estalactita post-</t>
    </r>
    <r>
      <rPr>
        <i/>
        <sz val="12"/>
        <rFont val="Calibri"/>
        <family val="2"/>
      </rPr>
      <t>macarrón</t>
    </r>
  </si>
  <si>
    <r>
      <t xml:space="preserve">Calcita en </t>
    </r>
    <r>
      <rPr>
        <i/>
        <sz val="12"/>
        <rFont val="Calibri"/>
        <family val="2"/>
      </rPr>
      <t>ubres o nabos mamelares</t>
    </r>
  </si>
  <si>
    <t>Espeleotema secundatrio formado a partir  de lodo carbonatado muy blanco. 5,5x3,5x1 cm</t>
  </si>
  <si>
    <t>Espeleotemas de los denominados excéntricos, formados por capilaridad; las impurezan de terrígenos le aportas un color anaranjado. 4,5x3x2 cm</t>
  </si>
  <si>
    <t>El conducto central es muy visible en uno de sus extremos. 9x2x1,5 cm</t>
  </si>
  <si>
    <t>El conducto central se encuentra excéntrico. 2,5x1,8 cm</t>
  </si>
  <si>
    <t>Tubo recto de 6 mm de diámetro y 15 de longitud, con conducto interior</t>
  </si>
  <si>
    <t>Aspecto similar a botroides aunque de tamaño mayor, se forman en aguas supersaturadas con carbonato cálcico por debajo del nivel freático.</t>
  </si>
  <si>
    <t>Cristales de calcita, inferiores al mm, sobre masa de caliza micrítica crema, de 5,5x3x2 cm</t>
  </si>
  <si>
    <t>Desconocida</t>
  </si>
  <si>
    <t>Aragonito cuprífero coraloide</t>
  </si>
  <si>
    <t>Agregado coraloide de color azul celeste uniforme. 4x3x3 cm</t>
  </si>
  <si>
    <t>1976</t>
  </si>
  <si>
    <r>
      <t xml:space="preserve">Macla de penetración de </t>
    </r>
    <r>
      <rPr>
        <sz val="8"/>
        <rFont val="Times New Roman"/>
        <family val="1"/>
      </rPr>
      <t>Carlsbad</t>
    </r>
    <r>
      <rPr>
        <sz val="8"/>
        <rFont val="Calibri"/>
        <family val="2"/>
      </rPr>
      <t>, con plano de composición paralelo a (010).</t>
    </r>
    <r>
      <rPr>
        <sz val="12"/>
        <rFont val="Times New Roman"/>
        <family val="1"/>
      </rPr>
      <t xml:space="preserve"> </t>
    </r>
    <r>
      <rPr>
        <sz val="8"/>
        <rFont val="Calibri"/>
        <family val="2"/>
      </rPr>
      <t>4x2x1,5 cm</t>
    </r>
  </si>
  <si>
    <t>Ortosa en macla de Carlsbad</t>
  </si>
  <si>
    <t>Celestina acicular en drusa</t>
  </si>
  <si>
    <t>Cristales aciculares en drusa. 5x4x2 cm</t>
  </si>
  <si>
    <t>Montevives, Las Gabias</t>
  </si>
  <si>
    <r>
      <t>Granates almandino</t>
    </r>
    <r>
      <rPr>
        <sz val="12"/>
        <rFont val="Calibri"/>
        <family val="2"/>
      </rPr>
      <t xml:space="preserve"> (70%), andradita (20%) y piropo (10%)</t>
    </r>
  </si>
  <si>
    <t>51 g de granates de muy diverso tamaño, desde milimétricos al cm. Inclusiones xenolíticas en las dacitas volcánicas; se explotaron unas 15.000 tm para la fabicación de papel de lija.</t>
  </si>
  <si>
    <t>Cerro del Hoyazo (Volcán la Granatilla), Níjar</t>
  </si>
  <si>
    <t>Hematites botroidal-reniforme</t>
  </si>
  <si>
    <t>Tres fragmentos de 3,5x1,5x1 cm</t>
  </si>
  <si>
    <t>Ambligonita microcristalina</t>
  </si>
  <si>
    <r>
      <t>LiAlPO</t>
    </r>
    <r>
      <rPr>
        <vertAlign val="subscript"/>
        <sz val="8"/>
        <rFont val="Calibri"/>
        <family val="2"/>
      </rPr>
      <t>4</t>
    </r>
    <r>
      <rPr>
        <sz val="8"/>
        <rFont val="Calibri"/>
        <family val="2"/>
      </rPr>
      <t>F, 5,5x5,1 cm</t>
    </r>
  </si>
  <si>
    <t>Cobaltosmithsonita: Smithsonita violeta</t>
  </si>
  <si>
    <t>Choix</t>
  </si>
  <si>
    <t>Thenardita</t>
  </si>
  <si>
    <r>
      <t>Na</t>
    </r>
    <r>
      <rPr>
        <vertAlign val="subscript"/>
        <sz val="8"/>
        <rFont val="Calibri"/>
        <family val="2"/>
      </rPr>
      <t>2</t>
    </r>
    <r>
      <rPr>
        <sz val="8"/>
        <rFont val="Calibri"/>
        <family val="2"/>
      </rPr>
      <t>SO</t>
    </r>
    <r>
      <rPr>
        <vertAlign val="subscript"/>
        <sz val="8"/>
        <rFont val="Calibri"/>
        <family val="2"/>
      </rPr>
      <t xml:space="preserve">4 </t>
    </r>
    <r>
      <rPr>
        <sz val="8"/>
        <rFont val="Calibri"/>
        <family val="2"/>
      </rPr>
      <t>, incolora, translúcida, de ligero sabor salado, fluorescente y fosforescente. 3,5x2,5x2 cm</t>
    </r>
  </si>
  <si>
    <t>Villarrubia de Santiago</t>
  </si>
  <si>
    <t>Fuchsita o cromomoscovita</t>
  </si>
  <si>
    <t>Filosilicato variedad de la moscovita, con alto contenido en Cr y color verde Esmeralda. 4x2,5x0,5 cm</t>
  </si>
  <si>
    <t>Cristal casi completo</t>
  </si>
  <si>
    <t>Filosilicato: estructura laminar, de color rosa violáceo. 3,5x3,5x0,3 cm</t>
  </si>
  <si>
    <t>GEMAS SEMIPRECIOSAS</t>
  </si>
  <si>
    <t>Gemas semipreciosas</t>
  </si>
  <si>
    <t>Sílex gris con fractura concoidea</t>
  </si>
  <si>
    <t>Gneis: testigo de sondeo</t>
  </si>
  <si>
    <t>Gneis: para-melanogneis glandular verde</t>
  </si>
  <si>
    <t>Gneis (paragneis): melanogneis glandular verde</t>
  </si>
  <si>
    <t>Textura gneísica porfiroblástica, con grandes ojos.augen. ¿epidota, clorita, actinolita, dunita,…? Complejo Nevado-Filabride. Prisma cortado y Pulido de 14x5,5x4,4 cm</t>
  </si>
  <si>
    <t>Textura gneísica porfiroblástica, con grandes ojos.augen. ¿epidota, clorita, actinolita, dunita,…? Complejo Nevado-Filabride. Placa de 10x7x0,8 cm.</t>
  </si>
  <si>
    <t>Srra. Moreras, Mazarrón</t>
  </si>
  <si>
    <t>Esquisto micáceo con granates</t>
  </si>
  <si>
    <t>De grano fino (granates submilimétricos), esquistosidad y linearidades bien marcadas. 10x10x1,5 cm</t>
  </si>
  <si>
    <t>La Calahorra</t>
  </si>
  <si>
    <t>Sta. Mª de las Minas</t>
  </si>
  <si>
    <t>Bajo Rhin</t>
  </si>
  <si>
    <t>Sierra de Buitrago</t>
  </si>
  <si>
    <r>
      <t>Gabro, “granito” Pulido ornamental azul “</t>
    </r>
    <r>
      <rPr>
        <i/>
        <sz val="8"/>
        <rFont val="Calibri"/>
        <family val="2"/>
      </rPr>
      <t>Labrador claro</t>
    </r>
    <r>
      <rPr>
        <sz val="8"/>
        <rFont val="Calibri"/>
        <family val="2"/>
      </rPr>
      <t>”</t>
    </r>
  </si>
  <si>
    <t>Labrador claro</t>
  </si>
  <si>
    <t>Andesita anfibólico-biotítica con piroxenos</t>
  </si>
  <si>
    <t>Roca volcánica con disyunción columnar, masiva, calcoalcalina, intermedios (50 a 65% de Si), edad de 15,7 a 6 m.a.</t>
  </si>
  <si>
    <t>Cabo de gata</t>
  </si>
  <si>
    <t>Dacita biotítica con cordieritas y granates</t>
  </si>
  <si>
    <t>Textura porfídica (biotitas, granates, cordieritas, cuarzo y en menor cantidad sillimanita, plagioclasa, hornblenda, piroxeno y otros) y matriz vítrea al 50%</t>
  </si>
  <si>
    <t>Volcán El Hoyazo, Níjar</t>
  </si>
  <si>
    <t>Verita</t>
  </si>
  <si>
    <t>Lava volcánica lamproítica, ultrapotásica, de color negro y grano muy fino o vítreo, con fenocristales de olivino, flogopita, diópsido y sanidina</t>
  </si>
  <si>
    <t>Cabeza María, Vera</t>
  </si>
  <si>
    <t>Nódulos ferruginosos</t>
  </si>
  <si>
    <t>Pisolitos ferruginosos</t>
  </si>
  <si>
    <t>Concreciones subesféricas e irregulares de óxidos de Fe, sin estructura interna aparente,  de 5 a 30 mm de diámetro.</t>
  </si>
  <si>
    <t>Esféricos y subesféricos, 5 mm de diámetro, aprox. En margas del Cretácico inf. (Aptiense)</t>
  </si>
  <si>
    <t>No es un mineral, es un grupo de óxidos de Al: gibbsita , bohemita , y diásporo; hábito pisolítico y una característica tinción de hierro rojo</t>
  </si>
  <si>
    <t>Nummulites sp. en arenisca</t>
  </si>
  <si>
    <t>Exp. 17.2</t>
  </si>
  <si>
    <t>Gran nº de ejemplares, de 5 mm de diámetro, apreciéndose su sección biconvexa y estructura interna en corte sagital</t>
  </si>
  <si>
    <t>Exp. 16.3</t>
  </si>
  <si>
    <t>Porites lobatosepta</t>
  </si>
  <si>
    <t>Calizas arrecifales blancas en forma de láminas o tubos, ,del Mioceno sup. (Mesiniense)</t>
  </si>
  <si>
    <t>Mesa de Roldán, Cabo de Gata</t>
  </si>
  <si>
    <t>Siphonia piriformis</t>
  </si>
  <si>
    <r>
      <t xml:space="preserve">Cuarzo variedad </t>
    </r>
    <r>
      <rPr>
        <i/>
        <sz val="12"/>
        <rFont val="Calibri"/>
        <family val="2"/>
      </rPr>
      <t xml:space="preserve">Jacinto de Compostela </t>
    </r>
    <r>
      <rPr>
        <b/>
        <i/>
        <sz val="12"/>
        <rFont val="Calibri"/>
        <family val="2"/>
      </rPr>
      <t>pardo</t>
    </r>
  </si>
  <si>
    <t xml:space="preserve"> Cuarzos diagenéticos: automorfos-autigénicos. Genesis y coloración relacionada con inclusiones de impurezas de arcillas abigarradas (rojas, verdosas, grises…) de la facies germánica Keuper del Triásico superior, en sedimentos costeros lacustres sobresaturados en sílice; cristales prismáticos bipiramidados (euhédricos o deformados), con  formas del sistema trigonal (eje 3º) por modificación del prisma de falsa apariencia hexagonal, más acusada en cristales pequeños, rematados en 6 caras romboédricas (3 mayores r y 3 pequeñas z). Las facetas cristalinas «r» – el romboedro positivo – son las caras terminales más grandes de la pirámide, mientras que las «z» – el romboedro negativo – son las más pequeñas. </t>
  </si>
  <si>
    <t>Ligero desgaste acorde al uso y antigüedad</t>
  </si>
  <si>
    <t>Sillón castellano de cuero</t>
  </si>
  <si>
    <t>Sillas castellanas de cuero repujado</t>
  </si>
  <si>
    <t>Silla castellana de cuero repujado</t>
  </si>
  <si>
    <t>MOBILIARIO ORNAMENTAL y/o HISTORICO:</t>
  </si>
  <si>
    <r>
      <t xml:space="preserve">Cuarzo variedad </t>
    </r>
    <r>
      <rPr>
        <i/>
        <sz val="12"/>
        <rFont val="Calibri"/>
        <family val="2"/>
      </rPr>
      <t>Jacinto de Compostela</t>
    </r>
    <r>
      <rPr>
        <sz val="12"/>
        <rFont val="Calibri"/>
        <family val="2"/>
      </rPr>
      <t xml:space="preserve"> </t>
    </r>
    <r>
      <rPr>
        <b/>
        <i/>
        <sz val="12"/>
        <rFont val="Calibri"/>
        <family val="2"/>
      </rPr>
      <t>rojo obscuro brillante</t>
    </r>
  </si>
  <si>
    <r>
      <t xml:space="preserve">Cuarzo variedad </t>
    </r>
    <r>
      <rPr>
        <i/>
        <sz val="12"/>
        <rFont val="Calibri"/>
        <family val="2"/>
      </rPr>
      <t>Jacinto de Compostela</t>
    </r>
    <r>
      <rPr>
        <b/>
        <sz val="12"/>
        <rFont val="Calibri"/>
        <family val="2"/>
      </rPr>
      <t xml:space="preserve"> </t>
    </r>
    <r>
      <rPr>
        <b/>
        <i/>
        <sz val="12"/>
        <rFont val="Calibri"/>
        <family val="2"/>
      </rPr>
      <t>gris claro</t>
    </r>
  </si>
  <si>
    <r>
      <t xml:space="preserve">Cuarzo variedad </t>
    </r>
    <r>
      <rPr>
        <i/>
        <sz val="12"/>
        <rFont val="Calibri"/>
        <family val="2"/>
      </rPr>
      <t>Jacinto de Compostela</t>
    </r>
    <r>
      <rPr>
        <sz val="12"/>
        <rFont val="Calibri"/>
        <family val="2"/>
      </rPr>
      <t xml:space="preserve"> </t>
    </r>
    <r>
      <rPr>
        <b/>
        <i/>
        <sz val="12"/>
        <rFont val="Calibri"/>
        <family val="2"/>
      </rPr>
      <t>gris oscuro</t>
    </r>
  </si>
  <si>
    <r>
      <t xml:space="preserve">Cuarzo variedad </t>
    </r>
    <r>
      <rPr>
        <i/>
        <sz val="12"/>
        <rFont val="Calibri"/>
        <family val="2"/>
      </rPr>
      <t>Jacinto de Compostela</t>
    </r>
    <r>
      <rPr>
        <sz val="12"/>
        <rFont val="Calibri"/>
        <family val="2"/>
      </rPr>
      <t xml:space="preserve"> </t>
    </r>
    <r>
      <rPr>
        <b/>
        <i/>
        <sz val="12"/>
        <rFont val="Calibri"/>
        <family val="2"/>
      </rPr>
      <t>ahumado</t>
    </r>
  </si>
  <si>
    <r>
      <t xml:space="preserve">Cuarzo variedad </t>
    </r>
    <r>
      <rPr>
        <i/>
        <sz val="12"/>
        <rFont val="Calibri"/>
        <family val="2"/>
      </rPr>
      <t>Jacinto de Compostela</t>
    </r>
    <r>
      <rPr>
        <b/>
        <sz val="12"/>
        <rFont val="Calibri"/>
        <family val="2"/>
      </rPr>
      <t xml:space="preserve"> </t>
    </r>
    <r>
      <rPr>
        <b/>
        <i/>
        <sz val="12"/>
        <rFont val="Calibri"/>
        <family val="2"/>
      </rPr>
      <t>amarillento</t>
    </r>
  </si>
  <si>
    <r>
      <t xml:space="preserve">Cuarzo variedad </t>
    </r>
    <r>
      <rPr>
        <i/>
        <sz val="12"/>
        <rFont val="Calibri"/>
        <family val="2"/>
      </rPr>
      <t>Jacinto de Compostela</t>
    </r>
    <r>
      <rPr>
        <sz val="12"/>
        <rFont val="Calibri"/>
        <family val="2"/>
      </rPr>
      <t xml:space="preserve"> </t>
    </r>
    <r>
      <rPr>
        <b/>
        <i/>
        <sz val="12"/>
        <rFont val="Calibri"/>
        <family val="2"/>
      </rPr>
      <t>blanco lechoso</t>
    </r>
  </si>
  <si>
    <r>
      <t xml:space="preserve">Cuarzo variedad </t>
    </r>
    <r>
      <rPr>
        <i/>
        <sz val="12"/>
        <rFont val="Calibri"/>
        <family val="2"/>
      </rPr>
      <t>Jacinto de Compostela</t>
    </r>
    <r>
      <rPr>
        <sz val="12"/>
        <rFont val="Calibri"/>
        <family val="2"/>
      </rPr>
      <t xml:space="preserve"> </t>
    </r>
    <r>
      <rPr>
        <b/>
        <i/>
        <sz val="12"/>
        <rFont val="Calibri"/>
        <family val="2"/>
      </rPr>
      <t>blanco semitransparente</t>
    </r>
  </si>
  <si>
    <r>
      <t xml:space="preserve">Cuarzo variedad </t>
    </r>
    <r>
      <rPr>
        <i/>
        <sz val="12"/>
        <rFont val="Calibri"/>
        <family val="2"/>
      </rPr>
      <t>Jacinto de Compostela</t>
    </r>
    <r>
      <rPr>
        <sz val="12"/>
        <rFont val="Calibri"/>
        <family val="2"/>
      </rPr>
      <t xml:space="preserve"> </t>
    </r>
    <r>
      <rPr>
        <b/>
        <i/>
        <sz val="12"/>
        <rFont val="Calibri"/>
        <family val="2"/>
      </rPr>
      <t>hialino semitransparente</t>
    </r>
  </si>
  <si>
    <r>
      <t xml:space="preserve">Cuarzo variedad </t>
    </r>
    <r>
      <rPr>
        <i/>
        <sz val="12"/>
        <rFont val="Calibri"/>
        <family val="2"/>
      </rPr>
      <t>Jacinto de Compostela</t>
    </r>
    <r>
      <rPr>
        <sz val="12"/>
        <rFont val="Calibri"/>
        <family val="2"/>
      </rPr>
      <t xml:space="preserve"> </t>
    </r>
    <r>
      <rPr>
        <b/>
        <i/>
        <sz val="12"/>
        <rFont val="Calibri"/>
        <family val="2"/>
      </rPr>
      <t>beige</t>
    </r>
    <r>
      <rPr>
        <b/>
        <sz val="12"/>
        <rFont val="Calibri"/>
        <family val="2"/>
      </rPr>
      <t xml:space="preserve"> </t>
    </r>
  </si>
  <si>
    <r>
      <t xml:space="preserve">Cuarzo variedad </t>
    </r>
    <r>
      <rPr>
        <i/>
        <sz val="12"/>
        <rFont val="Calibri"/>
        <family val="2"/>
      </rPr>
      <t>Jacinto de Compostela</t>
    </r>
    <r>
      <rPr>
        <b/>
        <sz val="12"/>
        <rFont val="Calibri"/>
        <family val="2"/>
      </rPr>
      <t xml:space="preserve"> </t>
    </r>
    <r>
      <rPr>
        <b/>
        <i/>
        <sz val="12"/>
        <rFont val="Calibri"/>
        <family val="2"/>
      </rPr>
      <t>miel -anaranjado</t>
    </r>
  </si>
  <si>
    <t>Silla castellana de cuero repujado estilo renacimiento</t>
  </si>
  <si>
    <t>En madera de nogal, asiento y respaldo en cuero repujado, con patas torneadas y cenefa de palilleria estilo renacimiento. Ancho 37x fonfo 40 x alto 100 cm. Le falrtan 5 tachuelas latonadas del asiento.</t>
  </si>
  <si>
    <t>Chrisochloris (=Chrisopalax) capensis</t>
  </si>
  <si>
    <t>Caliza gris, de aspecto marmóreo, muy compacta y sin porosidad, procedente de canteras de Sierra Elvira (Cordilleras Béticas, España), usada extensivamente en las construcciones de Granada, especialmente durante el Renacimiento</t>
  </si>
  <si>
    <t>“Mármol” o bronceado de Srra. Elvira</t>
  </si>
  <si>
    <t>Caliza ornamental pulida: "Piedra de Srra. Elvira variedad clara"</t>
  </si>
  <si>
    <t>Internet</t>
  </si>
  <si>
    <t>Desgaste por el uso</t>
  </si>
  <si>
    <t>Deposito legal</t>
  </si>
  <si>
    <t>Ciencias Naturales 1º de Bachillerato, Ed. Alhambra</t>
  </si>
  <si>
    <t>Ciencias Naturales 5º Bachillerato Tomo I: Geologia, de Joaquin Rojas Fdez.</t>
  </si>
  <si>
    <t>Ciencias Naturales 5º Bachillerato Tomo II: Botanica, de Joaquin Rojas Fdez.</t>
  </si>
  <si>
    <t>227 pág., rústica, fotos e ilustraciones en b/n, por el inspector de EEE.MM. y catedrático del Instituto Alfonso VIII de Cuenca; ed. Gredos, Madrid</t>
  </si>
  <si>
    <t>262 pág., rústica, fotos e ilustraciones en b/n, por el inspector de EEE.MM. Y catedrático del Instituto Alfonso VIII de Cuenca; ed. Gredos, Madrid</t>
  </si>
  <si>
    <t>373 pág., rústica, fotos e ilustraciones en color, Ed. Alhambra</t>
  </si>
  <si>
    <t>Pirita en cubo</t>
  </si>
  <si>
    <t>2003</t>
  </si>
  <si>
    <t>1999</t>
  </si>
  <si>
    <t>Sobre pequeña peana de madera, de las usadas para cartelas, acompañando al caracol de Auzoux</t>
  </si>
  <si>
    <t>Eobania (=Helix) reticulatus</t>
  </si>
  <si>
    <t>Teredo navalis, broma, en fragmento de madera</t>
  </si>
  <si>
    <t>Molusco lamelibranquio perforador de la madera</t>
  </si>
  <si>
    <r>
      <t xml:space="preserve">Conservacion </t>
    </r>
    <r>
      <rPr>
        <i/>
        <sz val="8"/>
        <rFont val="Arial"/>
        <family val="2"/>
      </rPr>
      <t>en seco</t>
    </r>
  </si>
  <si>
    <t>2015</t>
  </si>
  <si>
    <t>Huevos de Phasianus gallus domesticus</t>
  </si>
  <si>
    <t>Huevo moreno, con cascarón abierto para observar el interior.</t>
  </si>
  <si>
    <t>Monachil</t>
  </si>
  <si>
    <t>Huevos Coturnix coturnix domesticus</t>
  </si>
  <si>
    <t>En caliza esparítica de grano fino con pátina de limonita, de 7x4 cm. 8 artejos en vista lateral, salvo el de un extremo con vista sagital; 25 x 9 mm.</t>
  </si>
  <si>
    <t>Crinoideo: fragmento de tallo</t>
  </si>
  <si>
    <t>Esferas marrones de 2,5 a 3,5, con 8-10 protuberancias en forma de corona, con el interior esponjoso y acorchado. Respuesta tumoral a la picadura de una avispa parásita de la familia Cynipidae, en hojas jóvenes, para hacer la puesta, quedando protegidos los huevos por estas. Muy apreciadas por su alto contenido en taninos (el ácido gálico, un tanino, recibe su nombre de las agallas).</t>
  </si>
  <si>
    <t>Srra. De las Nieves</t>
  </si>
  <si>
    <t>Madera, con tapa abisagrada, 34x14 cm</t>
  </si>
  <si>
    <t>Colección de láminas delgadas de rocas talladas</t>
  </si>
  <si>
    <t>1977-1980</t>
  </si>
  <si>
    <t>Cabezas  de micromamífero roedor</t>
  </si>
  <si>
    <t>Adulta: 12 molares, 12 premolares y 8 dientes frontales (hay desacuerdo en si son 6-8 incisivos y 2 caninos con forma de incisivos, con lo que su fórmula dentaria sería 0.0.3.3 4.0.3.3 Gran separación entre los dientes frontales y los premolares. Visión periférica excelente (campo visual de 270°-320°), pueden ver detrás de ellas sin girar la cabeza.</t>
  </si>
  <si>
    <t>Cilíndrica, aluminio, 8,5 diámetro, 4.25 altura, F22, para 30.5 metros de película. Aún tine en su interior la bolsa de plástico negro, con restos de película</t>
  </si>
  <si>
    <t>Cilíndrica, aluminio, 3.9 diámetro, 4.20 altura</t>
  </si>
  <si>
    <t>Estuche-caja de tizas de colores para clase utilizado por JLR-CB durante 20 años.</t>
  </si>
  <si>
    <t xml:space="preserve">Estuche-caja metálico usado por JLR-CB durante 20 años para llevar tizas de colores a clase. </t>
  </si>
  <si>
    <t>Plástico blanco, para el modelo clastico de encéfalo humano</t>
  </si>
  <si>
    <t>Ceramica policromada, para uno de los huevos de avestruz, ubicado en la vitrina de embriología.</t>
  </si>
  <si>
    <t>Recipiente de cerámica blanca, de 6x6x11</t>
  </si>
  <si>
    <t>Recipiente de cerámica blanca, de 6x6x12</t>
  </si>
  <si>
    <t>Recipiente de cerámica blanca, de 7x7x13</t>
  </si>
  <si>
    <t>Bandeja-soporte vintage en madera y vidrio para embriones de Gallus gallus domesticus</t>
  </si>
  <si>
    <t>En madera de pino de comienzos del s XX y madera torneada de final del s XX</t>
  </si>
  <si>
    <t>Para solidos cristalograficos; fondo espejo, 42x64x10. En su origen fue un llavero de recepció de un hostal de Granada</t>
  </si>
  <si>
    <t>Despigmentado por el sol</t>
  </si>
  <si>
    <t>España 3B Scientific S.L.</t>
  </si>
  <si>
    <t>Carro recto amarillo para 50 diapositivas</t>
  </si>
  <si>
    <t>Carros rectos gris para 50 diapositivas</t>
  </si>
  <si>
    <t>Carros rectos negros para 50 diapositivas</t>
  </si>
  <si>
    <t>Cajón deslizante en plástico gris extraible de dos carros para 50 diapositivas.</t>
  </si>
  <si>
    <t>Cajon con puerta abatible en plastico negro, para dos carros de 50 diapositivas.</t>
  </si>
  <si>
    <t>Fotografía fachada ppal. del instituto</t>
  </si>
  <si>
    <t>Carro circular con capacidad de 80 diapositivas</t>
  </si>
  <si>
    <t>Cargador recto gris para 38 diapositivas 5x5</t>
  </si>
  <si>
    <t>Cargador recto gris para 50 diapositivas 5x5</t>
  </si>
  <si>
    <t>Cargador recto amarillo para 50 diapositivas 5x5</t>
  </si>
  <si>
    <t>Cargadores rectos negros para 50 diapositivas 5x5</t>
  </si>
  <si>
    <t>Mesa soporte proyector diapositivas</t>
  </si>
  <si>
    <t>Visor diapositivas con retroiluminacion</t>
  </si>
  <si>
    <t>Mesa de visuales Enosa</t>
  </si>
  <si>
    <t>Despacho profesor</t>
  </si>
  <si>
    <t>Deteriorada por el uso</t>
  </si>
  <si>
    <t>1960-1970</t>
  </si>
  <si>
    <t>Casa Santiveri S.A.</t>
  </si>
  <si>
    <t>Peñafiel</t>
  </si>
  <si>
    <t>Valladolid</t>
  </si>
  <si>
    <r>
      <t xml:space="preserve">Caja metálica galletas </t>
    </r>
    <r>
      <rPr>
        <i/>
        <sz val="12"/>
        <rFont val="Arial"/>
        <family val="2"/>
      </rPr>
      <t>"Vigor"</t>
    </r>
  </si>
  <si>
    <t>Caja metalica con tapa sin abisagrar, 24x24x7 cm. Expuesta como contenedoir de objetos naturales en el Gabinete de la Sala I</t>
  </si>
  <si>
    <t>Despacho-Gabinete</t>
  </si>
  <si>
    <t xml:space="preserve"> Pleistoceno 8x6x5 cm de media. Varios sin limpiar, con el sedimento original.</t>
  </si>
  <si>
    <t>Strombus bubonius</t>
  </si>
  <si>
    <t>Boletín de la Comisión de Hª de la Geología de España, ño 5, nº 13</t>
  </si>
  <si>
    <t>Portada con reproducción de Megaterio atribuida a G. Cuvier</t>
  </si>
  <si>
    <t>Sociedad Geologica de España</t>
  </si>
  <si>
    <t>Noviembre -1999</t>
  </si>
  <si>
    <t>A juego con el lapicero del "IB Padre Suárez". 15 cm diámetro</t>
  </si>
  <si>
    <t>Cenicero de ceramica azul cobalto</t>
  </si>
  <si>
    <t>Lapicero ceramica azul cobalto "IB Padre Suarez. Granada"</t>
  </si>
  <si>
    <t>Cerámica, con inscripción I.B. Padre Suárez Granada. 12 cm alto x 6 cm diametro.</t>
  </si>
  <si>
    <t>Ligero deterioro en periferia</t>
  </si>
  <si>
    <t>Lapicero de acetato imitación carey</t>
  </si>
  <si>
    <r>
      <t>Cartela manuscrita "</t>
    </r>
    <r>
      <rPr>
        <i/>
        <sz val="12"/>
        <rFont val="Arial"/>
        <family val="2"/>
      </rPr>
      <t>Lime silicatado Calamina"</t>
    </r>
  </si>
  <si>
    <r>
      <t>En papel rayado, con la inscripcion a pluma: "</t>
    </r>
    <r>
      <rPr>
        <i/>
        <sz val="8"/>
        <rFont val="Arial"/>
        <family val="2"/>
      </rPr>
      <t>Line silicatado Calamina. Sierra de Baza (Granada). Mina "Manuel". Donado al Gabinetepor el alumnoJose Garcia de la Serrana y Segura"</t>
    </r>
    <r>
      <rPr>
        <sz val="8"/>
        <rFont val="Arial"/>
        <family val="2"/>
      </rPr>
      <t>8x5 cm</t>
    </r>
  </si>
  <si>
    <t>2ª tercio s. XIX</t>
  </si>
  <si>
    <t>Despacho sala I</t>
  </si>
  <si>
    <t>Despacho sala 1</t>
  </si>
  <si>
    <t>Llavero piel marron, con cremallera</t>
  </si>
  <si>
    <t>final s XX</t>
  </si>
  <si>
    <t>Incorpora llave  AZBE de puerta desconocida. Dimensiones 7x5 cm</t>
  </si>
  <si>
    <t>Deterioro por el uso</t>
  </si>
  <si>
    <t>Láminas con fotografías de de minerales</t>
  </si>
  <si>
    <r>
      <t xml:space="preserve">Expone la vida y obra del médico y naturalista francés </t>
    </r>
    <r>
      <rPr>
        <b/>
        <i/>
        <sz val="8"/>
        <rFont val="Arial"/>
        <family val="2"/>
      </rPr>
      <t>Pierre Belo</t>
    </r>
    <r>
      <rPr>
        <sz val="8"/>
        <rFont val="Arial"/>
        <family val="2"/>
      </rPr>
      <t xml:space="preserve">n, </t>
    </r>
    <r>
      <rPr>
        <i/>
        <sz val="8"/>
        <rFont val="Arial"/>
        <family val="2"/>
      </rPr>
      <t>"profeta</t>
    </r>
    <r>
      <rPr>
        <sz val="8"/>
        <rFont val="Arial"/>
        <family val="2"/>
      </rPr>
      <t xml:space="preserve"> de la anatomía comparada". 30x20, con marco en madera color miel y vidrio (donado por JLR-CB) </t>
    </r>
  </si>
  <si>
    <t>Lámina enmarcada Pierre Belon</t>
  </si>
  <si>
    <t>Lámina enmarcada Proceso de fosilización</t>
  </si>
  <si>
    <t>Se describen de forma grafica las etapas del proceso de fosilización. Marco de madera teñido caoba con vidrio, de 40x20 cm.</t>
  </si>
  <si>
    <t>Cúbito de Sus scrofa domesticus</t>
  </si>
  <si>
    <t>Cerdo</t>
  </si>
  <si>
    <t>20 cm de longitud</t>
  </si>
  <si>
    <t>Lapicero de acetato, de forma prismática, de 5 cm de lado y 9 cm de alto. Se usó en la mesa del direcctor del IES Mar de Alborán y del IES Mediterráneo, Estepona. En la base está escrito el nº PIN de la alarma de la época.</t>
  </si>
  <si>
    <t>Cabeza despegada. Fijada con cola blanca.</t>
  </si>
  <si>
    <t>Ejemplar de codorniz hembra acompañado de dos polluelos, un alarde de taxidermia: las crías tan pequeñitas son una obra de arte y muy dificultosa..</t>
  </si>
  <si>
    <r>
      <t xml:space="preserve">Cuarzo variedad </t>
    </r>
    <r>
      <rPr>
        <sz val="12"/>
        <rFont val="Calibri"/>
        <family val="2"/>
      </rPr>
      <t xml:space="preserve">Jacinto de Compostela en </t>
    </r>
    <r>
      <rPr>
        <b/>
        <sz val="12"/>
        <rFont val="Calibri"/>
        <family val="2"/>
      </rPr>
      <t>agregados</t>
    </r>
    <r>
      <rPr>
        <sz val="12"/>
        <rFont val="Calibri"/>
        <family val="2"/>
      </rPr>
      <t xml:space="preserve"> </t>
    </r>
    <r>
      <rPr>
        <b/>
        <sz val="12"/>
        <rFont val="Calibri"/>
        <family val="2"/>
      </rPr>
      <t>radiales</t>
    </r>
    <r>
      <rPr>
        <sz val="12"/>
        <rFont val="Calibri"/>
        <family val="2"/>
      </rPr>
      <t xml:space="preserve"> o </t>
    </r>
    <r>
      <rPr>
        <b/>
        <sz val="12"/>
        <rFont val="Calibri"/>
        <family val="2"/>
      </rPr>
      <t>piñas</t>
    </r>
    <r>
      <rPr>
        <sz val="12"/>
        <rFont val="Calibri"/>
        <family val="2"/>
      </rPr>
      <t xml:space="preserve"> </t>
    </r>
  </si>
  <si>
    <r>
      <t xml:space="preserve">Cuarzo variedad </t>
    </r>
    <r>
      <rPr>
        <i/>
        <sz val="12"/>
        <rFont val="Calibri"/>
        <family val="2"/>
      </rPr>
      <t>Jacinto de Compostela</t>
    </r>
    <r>
      <rPr>
        <sz val="12"/>
        <rFont val="Calibri"/>
        <family val="2"/>
      </rPr>
      <t xml:space="preserve"> en </t>
    </r>
    <r>
      <rPr>
        <b/>
        <sz val="12"/>
        <rFont val="Calibri"/>
        <family val="2"/>
      </rPr>
      <t>prismas bipiramidales</t>
    </r>
    <r>
      <rPr>
        <sz val="12"/>
        <rFont val="Calibri"/>
        <family val="2"/>
      </rPr>
      <t xml:space="preserve"> hexagonales</t>
    </r>
  </si>
  <si>
    <r>
      <t xml:space="preserve">Cuarzo variedad </t>
    </r>
    <r>
      <rPr>
        <i/>
        <sz val="12"/>
        <rFont val="Calibri"/>
        <family val="2"/>
      </rPr>
      <t>Jacinto de Compostela</t>
    </r>
    <r>
      <rPr>
        <sz val="12"/>
        <rFont val="Calibri"/>
        <family val="2"/>
      </rPr>
      <t xml:space="preserve"> en </t>
    </r>
    <r>
      <rPr>
        <b/>
        <sz val="12"/>
        <rFont val="Calibri"/>
        <family val="2"/>
      </rPr>
      <t>bipiramide</t>
    </r>
    <r>
      <rPr>
        <sz val="12"/>
        <rFont val="Calibri"/>
        <family val="2"/>
      </rPr>
      <t xml:space="preserve"> hexagonal</t>
    </r>
  </si>
  <si>
    <t>Trias Keuper, facies gemano-andaluza.  Ahumado, rojo, morion (negruzco) y beige. 10-23 mm.. Montados sobre un portaobjetos</t>
  </si>
  <si>
    <t>Trias Keuper, facies gemano-andaluza.  Ahumado, blanco,  morión (negruzco) y beige. Montados sobre tres portaobjetos: grandes (12-17 mm), medianos (10-11 mm) y pequeños (8-9 mm).</t>
  </si>
  <si>
    <t>Trias Keuper, facies gemano-andaluza.  Ahumado. Montado sobre portaobjetos: 6 mm.</t>
  </si>
  <si>
    <t>Srra. Elvira, Atarfe</t>
  </si>
  <si>
    <t>Sillimanita fibrosa</t>
  </si>
  <si>
    <r>
      <t>Al</t>
    </r>
    <r>
      <rPr>
        <vertAlign val="subscript"/>
        <sz val="8"/>
        <rFont val="Calibri"/>
        <family val="2"/>
      </rPr>
      <t>2</t>
    </r>
    <r>
      <rPr>
        <sz val="8"/>
        <rFont val="Calibri"/>
        <family val="2"/>
      </rPr>
      <t>SiO</t>
    </r>
    <r>
      <rPr>
        <vertAlign val="subscript"/>
        <sz val="8"/>
        <rFont val="Calibri"/>
        <family val="2"/>
      </rPr>
      <t>5</t>
    </r>
    <r>
      <rPr>
        <vertAlign val="subscript"/>
        <sz val="11"/>
        <rFont val="Calibri"/>
        <family val="2"/>
      </rPr>
      <t xml:space="preserve"> </t>
    </r>
    <r>
      <rPr>
        <sz val="8"/>
        <rFont val="Calibri"/>
        <family val="2"/>
      </rPr>
      <t xml:space="preserve">polimófico de la andalucita y la cianita. Masa fribrosa gris claro, de cristales largos, bacilares, fibrosos, a veces curvados. </t>
    </r>
  </si>
  <si>
    <t>El Hoyazo, Níjar</t>
  </si>
  <si>
    <t>Copal</t>
  </si>
  <si>
    <t>No es propiamente un mineral. Color naranja-miel, 3,5x2x1,8 cm. y 5 g de masa. Resina aromática en una etapa intermedia de endurecimiento entre la resina y el ámbar.</t>
  </si>
  <si>
    <t>Vértebra anficelica de tiburon</t>
  </si>
  <si>
    <t>Tiburon</t>
  </si>
  <si>
    <t xml:space="preserve">Vertebras anficélicas:  sus dos extremos son cóncavos, confiriendo flexibilidad y eficiencia en la natación; de 2 cm de diametro y 1 cm de espesor. </t>
  </si>
  <si>
    <t>Litoral</t>
  </si>
  <si>
    <t>Protoreaster nodosus</t>
  </si>
  <si>
    <t>Estrella de mar espinosa</t>
  </si>
  <si>
    <t>5 brazos con una fila de tuberculos cónicos puntiagudos en su lado dorsal; color beige,  20 cm de diametro y 5 cm de altura.</t>
  </si>
  <si>
    <t>1984</t>
  </si>
  <si>
    <t>Un brazo partido</t>
  </si>
  <si>
    <t>Oceano Indico</t>
  </si>
  <si>
    <t>Malasia</t>
  </si>
  <si>
    <t>En inventario de LCS clasificado por error como porífero. La carne, blanca, es muy apreciada para recetas de alta cocina, por su sabor y su escasez en el mercado</t>
  </si>
  <si>
    <t>Cabeza ósea de Sus scrofa</t>
  </si>
  <si>
    <t>Caninos superiores de Sus scrofa macho</t>
  </si>
  <si>
    <t>Caninos superiores de jabalí macho, curvados hacia arriba, y de puntas agudas y ángulos cortantes, denominados, navajas o remolones. Se utilizan para la defensa o para hozar. 6 cm de longitude y 1,5 cm de anchura máxima.</t>
  </si>
  <si>
    <t>Navajas o remolones de jabalí</t>
  </si>
  <si>
    <t>Sierra del Segura</t>
  </si>
  <si>
    <t>Diente de tiburón odontaspidido</t>
  </si>
  <si>
    <t>Tiburon de la arena o de dientes desiguales. Diente largo, estrecho y aplanado, no aserrado, puntiagudo de 25 mm de largo x 9 mm de anchura máxima</t>
  </si>
  <si>
    <t>Isla Antilla</t>
  </si>
  <si>
    <t>Le faltan las dos cuspides laterals. Seccionado axialmente</t>
  </si>
  <si>
    <t>¿Meloncillo?</t>
  </si>
  <si>
    <t>Alpujarra</t>
  </si>
  <si>
    <t>Sólo la mitad derecha inferior, y le falta canino e incisivos</t>
  </si>
  <si>
    <t>¿Herpestes ichneumon, meloncillo? Fórmula dentaria 3/3, 1/1, 3-4/3-4, 1-2/1-2 = 32-40.  Hemimaxilar derecho inferior, 11 cm de longitud.</t>
  </si>
  <si>
    <t>Coral dedo o coral verdadero</t>
  </si>
  <si>
    <t>Colonia arrecifal somera, pequeña masiva y  arbustiva, con ramas de esta especie son las más delgadas (&lt;1 cm) y se encuentran muy separadas. Con elementos radiales porosos y septos dentados. Generalmente se dividen en las puntas</t>
  </si>
  <si>
    <t>Golfo de Méjico</t>
  </si>
  <si>
    <t>Venezurla</t>
  </si>
  <si>
    <t>Extremos de ramas partidos</t>
  </si>
  <si>
    <t>Porites divaricata o P. attenuata</t>
  </si>
  <si>
    <t>Se encuentra partido en tres fragmentos</t>
  </si>
  <si>
    <t>Nautilo</t>
  </si>
  <si>
    <t>Nautilo. Concha en sección sagital, a la que se le ha pulido el periostraco (conquiolina: proteína córnea pigmentada) y el mesostraco (CaCO3 prismático), dejando a la vista el endostraco, nácar-madreperla iridiscente (láminas de conquiolina+cristales de aragonito). 16 cm de diámetro</t>
  </si>
  <si>
    <r>
      <t xml:space="preserve">Cuarzo variedad </t>
    </r>
    <r>
      <rPr>
        <i/>
        <sz val="12"/>
        <rFont val="Calibri"/>
        <family val="2"/>
      </rPr>
      <t>Jacinto de Compostela</t>
    </r>
    <r>
      <rPr>
        <sz val="12"/>
        <rFont val="Calibri"/>
        <family val="2"/>
      </rPr>
      <t xml:space="preserve"> </t>
    </r>
    <r>
      <rPr>
        <b/>
        <sz val="12"/>
        <rFont val="Calibri"/>
        <family val="2"/>
      </rPr>
      <t>morión-</t>
    </r>
    <r>
      <rPr>
        <b/>
        <i/>
        <sz val="12"/>
        <rFont val="Calibri"/>
        <family val="2"/>
      </rPr>
      <t>negro</t>
    </r>
    <r>
      <rPr>
        <b/>
        <sz val="12"/>
        <rFont val="Calibri"/>
        <family val="2"/>
      </rPr>
      <t xml:space="preserve"> </t>
    </r>
  </si>
  <si>
    <t>Goniopora lobata</t>
  </si>
  <si>
    <t>Coral joya o coral maceta</t>
  </si>
  <si>
    <t>coral duro de color blanco, de la familia Poritidae; Los septos suelen tener 24 tabiques (24 tentáculos) en 3 ciclos. Colonia discoidal: 6 cm de diámetro y 5 cm de espesor.</t>
  </si>
  <si>
    <t>Se tuvo el esqueleto completo, donado por D. Felipe Mendicuti, Coronel del Regimiento de lanceros de Villaviciosa, en el curso 1882-83?</t>
  </si>
  <si>
    <t>Formó parte de un esqueleto completo</t>
  </si>
  <si>
    <t xml:space="preserve">Reconstrucción del incisivo superior dcho, resconstrucción del extremo del canino sup. dcho.,fijado de todas las piezas dentales, pegado de sinartrosis de la cara-cráneo: se encontraban dilatadas y muy separadas. </t>
  </si>
  <si>
    <r>
      <t xml:space="preserve">MODELOS ANIMALES </t>
    </r>
    <r>
      <rPr>
        <i/>
        <sz val="12"/>
        <color theme="9" tint="-0.249977111117893"/>
        <rFont val="Arial"/>
        <family val="2"/>
      </rPr>
      <t>ANTEDILUVIANOS</t>
    </r>
    <r>
      <rPr>
        <b/>
        <sz val="12"/>
        <color theme="9" tint="-0.249977111117893"/>
        <rFont val="Arial"/>
        <family val="2"/>
      </rPr>
      <t xml:space="preserve"> </t>
    </r>
  </si>
  <si>
    <t>Megalosauro</t>
  </si>
  <si>
    <t>Modelo en yeso, pintado al temple con pátina de bronce, sobre peana tambien de yeso, con la inscripción de Eloffe. Dimensiones: ….x....</t>
  </si>
  <si>
    <t>Modelo en yeso, pintado al temple con pátina de bronce, sobre peana tambien de yeso, con la inscripción de Eloffe. En invetarios anteriores aparece como dos elementos independientes, ya que se inventariaba aparte el Plesiosaurus dolichocephalus. Dimensiones: ….x....</t>
  </si>
  <si>
    <t>Tiranosauro</t>
  </si>
  <si>
    <t>Modelos paleontologicos</t>
  </si>
  <si>
    <t>Dintel entrada sala</t>
  </si>
  <si>
    <t>MATERIAL DE EDAFOLOGÍA</t>
  </si>
  <si>
    <t>Con abundantísimos bioclastos de microfósiles de lamelibranquis, gasterópodos, equinodermos, algas rojas, corales…14x5x4 cm.</t>
  </si>
  <si>
    <t>Fungia fungites</t>
  </si>
  <si>
    <t>Coral plato</t>
  </si>
  <si>
    <t>Especie monotípica de pólipo discoidal de septos radiales, solitario y libre, no recifal, que en la madurez  se desplaza a 30 cm/dia. 7 cm de diámetro y 1,5 cm de espesor.</t>
  </si>
  <si>
    <t>Oceano Indo-Pacífico</t>
  </si>
  <si>
    <t>Ophiopsilla aranea</t>
  </si>
  <si>
    <t>Ofiura</t>
  </si>
  <si>
    <t>Ofiura con disco central pentagonal (no circular) y largos y afilados brazos articulados. En la parte superior presentan una estructura cubierta  de lentes microscópicas a modo de un gran ojo compuesto.</t>
  </si>
  <si>
    <t>1987</t>
  </si>
  <si>
    <t>2 brazos muy fracturados</t>
  </si>
  <si>
    <t>Pepino de mar, holoturia</t>
  </si>
  <si>
    <t>Stichopus (=Parastichopus)regalis</t>
  </si>
  <si>
    <t>2001</t>
  </si>
  <si>
    <t>Geo-World y Orbi-Fabbri-RBA</t>
  </si>
  <si>
    <t>Réplica exacta del T-rex más famoso del mundo: Sue FMNH PR2081del Museo Field de Historia Natural de Chicago. a escala 1:11,2, de110 cm de longitud y 49 cm de altura, elaborado en poliresina con pátina  a mano de resina de acrílico envejecida. Sobre peana de DM, actualmente suspendido bajo el dintel de acceso a la sala I. Este espécimen, conocido como "Sue", en honor de su descubridora, Susan Hendrickson del Instituto Black Hills, quién descubrió el Tyrannosaurus mejor preservado que se conoce, en la Formación Hell Creek cerca de Faith (Dakota del Sur), el 12 de agosto de 1990. Se estima que el animal completo medía 12,3 metros de longitud y pesaría entre 6,4 a 9,5 toneladas.</t>
  </si>
  <si>
    <t>Esqueleto del Thyrannosaurus rex Sue FMNH PR2081</t>
  </si>
  <si>
    <t>coral duro de color blanco, de la familia Poritidae; Los septos suelen tener 24 tabiques (24 tentáculos) en 3 ciclos. Colonia discoidal: 5 cm de diámetro y 4 cm de espesor.</t>
  </si>
  <si>
    <t>Fecha donación</t>
  </si>
  <si>
    <t>Dendrophyllia sp</t>
  </si>
  <si>
    <t>Coral en rama</t>
  </si>
  <si>
    <t>2019</t>
  </si>
  <si>
    <t>Coral ahermatípico (no arrecifal) ramificado 18x13x10</t>
  </si>
  <si>
    <t>Coral ahermatípico (no arrecifal) ramificado 17x11x8</t>
  </si>
  <si>
    <t>Coral en copa</t>
  </si>
  <si>
    <t>Coral hermatípico (algas simbiontes y  constructor de arrecifes), con esqueleto a modo de frondes u hojas plegadas en forma de copa, con coralitos redondeados.</t>
  </si>
  <si>
    <t>Turbinaria sp ¿reniformis?</t>
  </si>
  <si>
    <t>Cuerpo, de 7 cm. de longitud, cola prensil, rodeado de anillos óseos cutáneos, 11 en el tronco y entre 35 y 38 en la cola. Hocico corto (inf.e 1/3 longitud cabeza)</t>
  </si>
  <si>
    <t>Granadsa</t>
  </si>
  <si>
    <t>Amatista</t>
  </si>
  <si>
    <t>Variedad Rosa de Francia</t>
  </si>
  <si>
    <t>Cristales prismáticos trigonalesde cuarzo, con terminacion piramidal , de 8x5 cm, con las puntas mas oscuras (lila claro), degradandose hasta cuarzo incoloro.</t>
  </si>
  <si>
    <t>Ágata en placa pulimentada</t>
  </si>
  <si>
    <t>Año donación</t>
  </si>
  <si>
    <t>Minas de Wanda</t>
  </si>
  <si>
    <t>Misionato</t>
  </si>
  <si>
    <t>Placa pulimentada elipsoidal de 17x11x0,5 cm, color azul y beige</t>
  </si>
  <si>
    <t>Ágata azul</t>
  </si>
  <si>
    <t>Ágata en geoda pulimentada</t>
  </si>
  <si>
    <t>Geoda de vacuola volcánica pulimentada elipsoidal de 15x6x5 cm, color azul y beige</t>
  </si>
  <si>
    <t>Cinabrio con pirita</t>
  </si>
  <si>
    <t>Placa pulimentada de 25x18x1 cm de espesor, con cinabrio (en el centro un bello cristal) y pirita</t>
  </si>
  <si>
    <t>Año donació</t>
  </si>
  <si>
    <t>Minas de Almadén</t>
  </si>
  <si>
    <t>4x4 cm</t>
  </si>
  <si>
    <t>Sigüenza</t>
  </si>
  <si>
    <t xml:space="preserve">Aragonito  en maclas radiales    </t>
  </si>
  <si>
    <t>6x5 cm y 9x5x4 cm</t>
  </si>
  <si>
    <t xml:space="preserve">Aragonito  prismatorideo en macla de yuxtaposición    </t>
  </si>
  <si>
    <t>Aragonito en piña</t>
  </si>
  <si>
    <r>
      <t xml:space="preserve">Agregado de maclas múltiples de prisma pseudohexagonales, conocido como </t>
    </r>
    <r>
      <rPr>
        <i/>
        <sz val="8"/>
        <rFont val="Calibri"/>
        <family val="2"/>
      </rPr>
      <t>piña de aragonito</t>
    </r>
    <r>
      <rPr>
        <sz val="8"/>
        <rFont val="Calibri"/>
        <family val="2"/>
      </rPr>
      <t>. 3x2,2x2 cm.</t>
    </r>
  </si>
  <si>
    <r>
      <t xml:space="preserve">Agregado de maclas múltiples de prisma pseudohexagonales, en disposición bilateral, conocida como </t>
    </r>
    <r>
      <rPr>
        <i/>
        <sz val="8"/>
        <rFont val="Calibri"/>
        <family val="2"/>
      </rPr>
      <t>piña de aragonito</t>
    </r>
    <r>
      <rPr>
        <sz val="8"/>
        <rFont val="Calibri"/>
        <family val="2"/>
      </rPr>
      <t>. 4,5x3,5x2 cm.</t>
    </r>
  </si>
  <si>
    <t>Aragonito en macla radial multiple bilateral</t>
  </si>
  <si>
    <t>Formado por 4 prismatoides, de 6x5x3 cm</t>
  </si>
  <si>
    <t>Bomba volcánica basáltica</t>
  </si>
  <si>
    <t>Piroclasto basatico redondeado de 20x10 cm</t>
  </si>
  <si>
    <t>Teide</t>
  </si>
  <si>
    <t>Bomba volcánica riolítica vacuolar</t>
  </si>
  <si>
    <t>Piroclasto riolítico redondeado de 5x4x4 cm</t>
  </si>
  <si>
    <t>En trípode</t>
  </si>
  <si>
    <t>Piroclasto basatico redondeado de 23x20x12 cm</t>
  </si>
  <si>
    <t>La Restinga</t>
  </si>
  <si>
    <t>El Hierro</t>
  </si>
  <si>
    <t>Piroclasto basatico redondeado de 10x8x8 cm</t>
  </si>
  <si>
    <t>2016</t>
  </si>
  <si>
    <t>2011</t>
  </si>
  <si>
    <t>Lava cordada basatica</t>
  </si>
  <si>
    <t>Calenti de la Vega, Luis Manuel</t>
  </si>
  <si>
    <t>Colonia octocoralaria de pólipos tubulares mineralizados e incrustantes de color rojo, de 2 mm de diámetro, conectados mediante placas laterales formadas por estolones, dispuestos de forma vertical y paralela, en forma de tubos de órgano (de ah´su nombre científico). Tiene guasa que esté casi en peligro de extinción sobre todo por culpa de los coleccionistas y para adorno de acuarios. Apreciado en joyería y en la medicina oriental para curar la disentería, por lo que es una especie casi amenazada.</t>
  </si>
  <si>
    <t>Patella (=Cellana) testudinaria</t>
  </si>
  <si>
    <t xml:space="preserve">Cabeza ósea completa Cynocephalus sphynx </t>
  </si>
  <si>
    <t xml:space="preserve">Huesos extremidades Cynocephalus sphynx </t>
  </si>
  <si>
    <t>Guinea</t>
  </si>
  <si>
    <t>Cuerno recto</t>
  </si>
  <si>
    <t>Plancha de caliza gris, sin pulir, de 15x10x1 cm, que incluye secciones de varios Orthoceras, dos de ellas de gran tamaño. Fue donado como Belemnites.</t>
  </si>
  <si>
    <t>Morales López, José</t>
  </si>
  <si>
    <t>Wilhelmi, Berta y Gustavo</t>
  </si>
  <si>
    <t>Bisnietos de D. Fernando Wilhelmi</t>
  </si>
  <si>
    <t>Melilla (1976) y vive en Granada desde 1984. Licenciatura en Dirección y Administración de Empresas en la UGR, especializándose en marketing.Másteres: Diseño Publicitario, Informática o Diseño 3D. Diseñador gráfico. https://mi-curriculum-vitae.com/cv-online-luis-manuel-calenti-de-la-vega</t>
  </si>
  <si>
    <t>Último tercio s XX</t>
  </si>
  <si>
    <t>Anteriormente estuvo clasificado como Octopus vulgaris, pero se ve claramente que los tentáculos tienen una sola fila de ventosas, y no dos; para ser Eledone presenta un gran tamaño, pero reccordemos que "la talla de los pulpos se toma a partir de la medida del manto. Se mide la distancia entre los ojos y el margen posterior del manto.". En frasco de vidrio histórico del Lab de Química</t>
  </si>
  <si>
    <t>Pulpo almizclero o hediondo</t>
  </si>
  <si>
    <t>Calamar</t>
  </si>
  <si>
    <t>Sepia</t>
  </si>
  <si>
    <t>Turbante verde o jaspeado</t>
  </si>
  <si>
    <t>Sepia officinalis</t>
  </si>
  <si>
    <t>Cuando Linneo inventó para su su Systema Naturae el sistema binominal de nomenclatura (1735), le dio el nombre específico "officinalis" para plantas (y a veces animales) con un uso concreto en medicina (medicamento), culinario, o cualquier otro.</t>
  </si>
  <si>
    <t xml:space="preserve">Modelo clástico en papel maché más otros aglomerantes, policromado: 3 piezas; vascularización espectacular realizada con alambras pintados, cordón nervioso, ventosa bucal, intestino con divertículos, cloaca. </t>
  </si>
  <si>
    <t>FECHA DOCUMENTO</t>
  </si>
  <si>
    <t>Ríos Valverde, Mª Isabel</t>
  </si>
  <si>
    <t>Profesora agregada de Lengua Inglesa del I.E.S. “Aynadamar”, jubilada.</t>
  </si>
  <si>
    <t>Acuerdo de colaboracion en 2019</t>
  </si>
  <si>
    <t>Profesor de Informática del IES Padre Suárez</t>
  </si>
  <si>
    <t>Antiguo alumno</t>
  </si>
  <si>
    <t>Donacion de mobiliario de la antigua Facultad de Medicina</t>
  </si>
  <si>
    <t>Donación de elementos del Lab. De BG tras la supresion de los bachilleratos: se encontraban, literalmente, tirados en un aula.</t>
  </si>
  <si>
    <t>Geólogo, promocion XXII, CSIC</t>
  </si>
  <si>
    <t>Biologo, profesor de BG del IES Padre Suárez, jubilado en 2013?</t>
  </si>
  <si>
    <t>Colecionista de minerales, reside en el Realejo, de prof. cocinero, jubilado</t>
  </si>
  <si>
    <t>Quimico, profesor de Tecnologia en el IES Padre Suarez, responsable del Museo desde 2015</t>
  </si>
  <si>
    <t>Profesora de Inglés del IES Padre Suárez, jubilada en 2015?</t>
  </si>
  <si>
    <t>Profesor de Dibujo del IES Padre Suarez, jubilado en 2004</t>
  </si>
  <si>
    <t>Biologo, profesor no definitivo de BG del IES Padre Suárez, jubilado en 2018</t>
  </si>
  <si>
    <t>Profesor de Ingles del IES Padre Suarez, jubilado en 2021</t>
  </si>
  <si>
    <t xml:space="preserve">1995-2014: Desconocido (Alumnos-Becarios-Colaboradores-Profesores BG-CSL ,SPJ,RPMªA-)   </t>
  </si>
  <si>
    <t>Geólogo, profesor de BG del IES Padre Suarez, Jefe del Dpto., Director, Concejal MA, responsable del Museo desde 1995, jubilado en 2014</t>
  </si>
  <si>
    <t>Memoria 1877-1878: "Para el Gabinete de Historia Natural se han adquirido solamente
dos pieles de macho montes ya preparadas y ocho estalactitas
procedentes de los Infiernos de Loja en esta provincia"</t>
  </si>
  <si>
    <t>Longitud 42 cm, diámetro 6cm. El ejemplar no fue partido, se recogió del suelo, por lo que presenta abundantes inflorescencias en la mitad que estuvo expuesta.</t>
  </si>
  <si>
    <t>Caliza en crecimientos estalactíticos</t>
  </si>
  <si>
    <t>Caliza en crecimientos estalagmíticos</t>
  </si>
  <si>
    <t>Caliza en crecimientos estalactíticos de orillas</t>
  </si>
  <si>
    <t>Caliza en crecimiento estalactítico con inflorescencias laterales</t>
  </si>
  <si>
    <t>Longitud 18 cm, diámetro 7x4 cm.(sección eléptica). El ejemplar no fue partido, se recogió del suelo, por lo que presenta la zona de corte alterada y abundantes inflorescencias en la mitad que estuvo expuesta.</t>
  </si>
  <si>
    <t>1996</t>
  </si>
  <si>
    <t>Serrania de Ronda</t>
  </si>
  <si>
    <t>Malaga</t>
  </si>
  <si>
    <t>Río Jucar</t>
  </si>
  <si>
    <t>Río Guadalfeo</t>
  </si>
  <si>
    <t xml:space="preserve">Los infiernos, Loja, </t>
  </si>
  <si>
    <t>Padul</t>
  </si>
  <si>
    <t>Alhambra</t>
  </si>
  <si>
    <t>Dsuplí</t>
  </si>
  <si>
    <t xml:space="preserve">Longitud 19 cm, Estalactita con calcita recristalizada superficial a modo de “barniz”; diámetro 5x4 cm.(sección eléptica). El ejemplar, obsequio de un alumno, debió de ser fracturado recientemente, aunque el lo negó, afirmando que se recogió del suelo, por lo que presenta la zona de corte "fresca" y el conducto central de gran calibre. </t>
  </si>
  <si>
    <t>Eclogita</t>
  </si>
  <si>
    <r>
      <t>Roca</t>
    </r>
    <r>
      <rPr>
        <sz val="11"/>
        <rFont val="Calibri"/>
        <family val="2"/>
      </rPr>
      <t xml:space="preserve"> </t>
    </r>
    <r>
      <rPr>
        <sz val="8"/>
        <rFont val="Calibri"/>
        <family val="2"/>
      </rPr>
      <t>metamórfica máfica (granates, y piroxeno-onfacita), grano grueso, composición basáltica, muy interesante ya que: 1) se forma bajo la corteza; y 2) es muy densa: juega un papel importante en la isostasia y convección.</t>
    </r>
  </si>
  <si>
    <t>Srra. Nevada</t>
  </si>
  <si>
    <t>1989</t>
  </si>
  <si>
    <t>Calcita botroide</t>
  </si>
  <si>
    <t>Aspecto similar a "ubres" aunque de tamaño menor se forman en aguas supersaturadas con carbonato cálcico por debajo del nivel freático.</t>
  </si>
  <si>
    <t>Asterias  (=Marthasterias) glacialis (=aranciaca)</t>
  </si>
  <si>
    <t>8 cm de diametro</t>
  </si>
  <si>
    <t>Estrella  de mar común</t>
  </si>
  <si>
    <t>Playa Tubalitas</t>
  </si>
  <si>
    <t>Subesférica, de 15x10x6 cm</t>
  </si>
  <si>
    <t>2004</t>
  </si>
  <si>
    <t>La Palma</t>
  </si>
  <si>
    <t>San Antonio</t>
  </si>
  <si>
    <t>Recibe su nombre de la población de Pozzuoli, en las faldas del Vesubio, donde ya en tiempos romanos era explotada para la fabricación de cemento puzolánico.el constituyente amorfo es vidrio producido por enfriamiento brusco de la lava. Por ejemplo las cenizas volcánicas, las tobas, la escoria y obsidiana.</t>
  </si>
  <si>
    <t>Subesférico, de  9x6x6 cm</t>
  </si>
  <si>
    <t>2008</t>
  </si>
  <si>
    <t>Volcán placa de Scotia</t>
  </si>
  <si>
    <t>2007</t>
  </si>
  <si>
    <t>Fragmento de fractura vacuolar de 8x5x4 cm. Regalo personal de un exalumno de JLR-CB: Valenzuela López, que tambien dono otrpo ejemplar al Museo. Fue traído de un volcán en Sudamerica, en la placa de Scottia, por su tio…, investigador del CSIC</t>
  </si>
  <si>
    <t>Trap</t>
  </si>
  <si>
    <r>
      <t xml:space="preserve">del sueco </t>
    </r>
    <r>
      <rPr>
        <i/>
        <sz val="10"/>
        <rFont val="Arial"/>
        <family val="2"/>
      </rPr>
      <t>trappa</t>
    </r>
    <r>
      <rPr>
        <sz val="10"/>
        <rFont val="Arial"/>
        <family val="2"/>
      </rPr>
      <t>, escalera: es una denominación internacional para describir las formaciones de basalto que han fluido como resultado de erupciones volcánicas que inundaron grandes superficies de tierras o fondos oceánicos con lava</t>
    </r>
  </si>
  <si>
    <t>Basalto en trapp verdoso</t>
  </si>
  <si>
    <t>Basalto en columnas de diyunción</t>
  </si>
  <si>
    <t>Telescopium (=Cerithium) telescopium</t>
  </si>
  <si>
    <t>2002</t>
  </si>
  <si>
    <r>
      <t xml:space="preserve">Raro gasterópodo marrón -rojizo, de concha cónica alargada de lados rectos,  </t>
    </r>
    <r>
      <rPr>
        <b/>
        <sz val="8"/>
        <rFont val="Calibri"/>
        <family val="2"/>
      </rPr>
      <t>con la columella plegad</t>
    </r>
    <r>
      <rPr>
        <sz val="8"/>
        <rFont val="Calibri"/>
        <family val="2"/>
      </rPr>
      <t>a (único en la familia Potamidiae).A diferencia del resto de gasterópodos, tiene un 0,18% de Mag. 6x3,5 cm</t>
    </r>
  </si>
  <si>
    <t>Ágatas en masas pulimentadas</t>
  </si>
  <si>
    <t>Ágata acaramelada</t>
  </si>
  <si>
    <t>Jaspe sardo</t>
  </si>
  <si>
    <t>Jaspe sardo en canto rodado sin cortar</t>
  </si>
  <si>
    <t>Los Escullos (Cabo de Gata)</t>
  </si>
  <si>
    <t>Calcita en drusa estalactítica</t>
  </si>
  <si>
    <t>Cristales de calcita, inferiores al mm, sobre masa de caliza esparítica cilindrica crema, de 5x1,5 cm</t>
  </si>
  <si>
    <t>Inusual cuarzo microcristalino=calcedonia, opaca y de color sardo (negro+rojo) con un 20% de lementos accesorios. 8x7x4 cm</t>
  </si>
  <si>
    <r>
      <t>Concha con última vuelta grande (más de 1/2 del total de la longitud). Ornamentación de fuertes nódulos, Labro engrosado y expandido, con escotaduras en ambos extremos y una muesca cerca de la terminación inferior.</t>
    </r>
    <r>
      <rPr>
        <b/>
        <sz val="8"/>
        <rFont val="Calibri"/>
        <family val="2"/>
      </rPr>
      <t xml:space="preserve"> </t>
    </r>
    <r>
      <rPr>
        <sz val="8"/>
        <rFont val="Calibri"/>
        <family val="2"/>
      </rPr>
      <t>Pleistoceno. 9x6,4x5 cm.</t>
    </r>
  </si>
  <si>
    <t>Conus sp.</t>
  </si>
  <si>
    <t>Exp. 7.0</t>
  </si>
  <si>
    <t>Liásico, 5x3x1,5 cm. Presenta solo una valva</t>
  </si>
  <si>
    <t>Concha cónica muy grande pero de apertura estrecha, sin ornamentación (solo estrías de crecimiento). Completada la ultima vuelta con escayola. ¿Mioceno? 10x5 cm</t>
  </si>
  <si>
    <t>Neseuretus avus</t>
  </si>
  <si>
    <t>Exp. 1.3</t>
  </si>
  <si>
    <t>Trilobites en pizarras grises, duras y de grano fino. En este yacimiento son raros los ejemplares grandes y completos. Caparazón tipo illaeniforme: forma parabólica y superficie lisa con cefalón, tórax y pigidio de dimensiones iguales. Del Cámbrico inf. 8 x 5 cm.</t>
  </si>
  <si>
    <t>Trilobites con tórax y pigidio (triangular) bien segmentados, sin espina caudal, una glabela abultada, ojos pedunculados y borde preglabelar poco arqueado. Ordovícido medio. enrollado, subesferico, de 3 cm de diámetro</t>
  </si>
  <si>
    <t>Caliza con Poliperos</t>
  </si>
  <si>
    <t>Zaphrentis sp.</t>
  </si>
  <si>
    <t>Favosites sp.</t>
  </si>
  <si>
    <t>Tetracoralario aislado, no recifal, del Devónico. Con sujforma de cuerno caracteristica. Parte superior seccionada y pulida. 4,3x3 cm</t>
  </si>
  <si>
    <t>Tetracoralario</t>
  </si>
  <si>
    <t>1985</t>
  </si>
  <si>
    <t>Algas rojas (rodolitos)</t>
  </si>
  <si>
    <t xml:space="preserve">Neritina sp.                  </t>
  </si>
  <si>
    <t>Limos y areniscas bioclásticas del Mioceno. 8x7x5 cm. 3-4 ejemplares</t>
  </si>
  <si>
    <t>Dentalium sexangulare (=sexagulum striolatissismum)</t>
  </si>
  <si>
    <t>Escafopodo en limos del Plioceno. 6,5 y 6,7 cm</t>
  </si>
  <si>
    <t>Dentalium costatum</t>
  </si>
  <si>
    <t>Bellota de mar</t>
  </si>
  <si>
    <t>Balanus concavus</t>
  </si>
  <si>
    <t>Hemimandíbula (maxilar inferior) de carnívoro mustelido</t>
  </si>
  <si>
    <t>"Abogado y propietario de Caniles"</t>
  </si>
  <si>
    <t>Lanceta automática metálica, para punciones</t>
  </si>
  <si>
    <t>1900</t>
  </si>
  <si>
    <t xml:space="preserve">vidrio topacio </t>
  </si>
  <si>
    <t>ultimo tercio s XX</t>
  </si>
  <si>
    <t xml:space="preserve">en frasco vidrio  soplado, con tapón esmerilado, </t>
  </si>
  <si>
    <t>1er tercio s XX</t>
  </si>
  <si>
    <t>0mo tercio s XX</t>
  </si>
  <si>
    <t>Uno de los ejemplares se encuentra pulido. Es un molde interno de Orthoceras ¿regulare? (orden Michelinoceratida), posiblemente del Devónico;  ¿solo presenta el fragmocono tabicado (parcialmente se le ve el sifón central por la mitad) y le falta la cámara de habitación?</t>
  </si>
  <si>
    <t>Orthoceras ¿regulare?</t>
  </si>
  <si>
    <t>El Caracolar, Alfacar</t>
  </si>
  <si>
    <t>Vitrina dcha. inf.</t>
  </si>
  <si>
    <t>Herbario personal, pendiente de clasificación, pliegos de 45x30 cm, recolectado por el Dr. en farmacia y bioquímico investigador del CSIC en la Estación Experimental del Zaidín, Granada. Ejemplares procedentes de Granada, Sierra Nevada y Andalucía Oriental. Herbario donación personal de su viuda, la también Dr. Ana Checa Sancho, al profesor JLR-CB. El herbario está pendiente de ordenar, clasificar y catalogar.</t>
  </si>
  <si>
    <t>Alfaguara</t>
  </si>
  <si>
    <t>Herbario Dr. Julio Lopez-Gorgé I: Srra. Nevada y Lagunas de la Virgen 1</t>
  </si>
  <si>
    <t>Herbario Dr. Julio Lopez-Gorgé II: Srra. Nevada y Lagunas de la Virgen 2</t>
  </si>
  <si>
    <t>Herbario Dr. Julio Lopez-Gorgé III: Srra. Nevada 3</t>
  </si>
  <si>
    <t>Herbario Dr. Julio Lopez-Gorgé IV: Srra. Nevada 4</t>
  </si>
  <si>
    <t>Herbario Dr. Julio Lopez-Gorgé V: Srra. Nevada, Dornajo, Cadiar</t>
  </si>
  <si>
    <t>Herbario Dr. Julio Lopez-Gorgé VI: Alfaguara</t>
  </si>
  <si>
    <t>Herbario Dr. Julio Lopez-Gorgé VII: Hotel del Duque, Chile</t>
  </si>
  <si>
    <t>Hotel del Duque</t>
  </si>
  <si>
    <t>Herbario Dr. Julio Lopez-Gorgé VIII: Cubillas, La Herradura, La Caldera</t>
  </si>
  <si>
    <t>Varios</t>
  </si>
  <si>
    <t>Herbario Dr. Julio Lopez-Gorgé IX: varios 1</t>
  </si>
  <si>
    <t>Herbario Dr. Julio Lopez-Gorgé X: Varios 2</t>
  </si>
  <si>
    <t>Herbario Dr. Julio Lopez-Gorgé XI: Varios 3</t>
  </si>
  <si>
    <t>Herbario Dr. Julio Lopez-Gorgé XII: Varios 4</t>
  </si>
  <si>
    <t>Herbario de 2º de la licenciatura de CC. Biologicas, pliegos de 45x30 cm. en portalegajos, recolectado por Mª Rosario Alonso Alonso como trabajo para 2º de carrera. Ejemplares procedentes de Granada.</t>
  </si>
  <si>
    <t>Alonso Alonso, Mª Rosario</t>
  </si>
  <si>
    <t>Biologa</t>
  </si>
  <si>
    <t>Herbario Mª Rosario Alonso Alonso: Critogamas</t>
  </si>
  <si>
    <t>Sanz de Diego, Maximiliano</t>
  </si>
  <si>
    <t>Taxidermista MNCN Madrid (s XIX y XX), naturalista, suministrados de colecciones de CCNN</t>
  </si>
  <si>
    <t>Caja de insectos pendiente clasificar, y nº aproximado …</t>
  </si>
  <si>
    <t>1879-1880</t>
  </si>
  <si>
    <t>En 1880  el naturalista D. Maxiliano Sanz de Diego, dona una colección de 200 insectos, deteriorada en la segunda mitad del s XX</t>
  </si>
  <si>
    <t>Sobre peana con cúpula de metacrilato</t>
  </si>
  <si>
    <t>Gineta o gato almizclero</t>
  </si>
  <si>
    <t>1745</t>
  </si>
  <si>
    <t>Inscripción en la base de la peana</t>
  </si>
  <si>
    <t>Mamut o elefante lanudo, o de la tundra</t>
  </si>
  <si>
    <t>Mammuthus (=Elephas) primigenius (=boreus); mandíbula inferior izda.</t>
  </si>
  <si>
    <t>Geologo y estadistico, profesor de BG del IES Padre Suarez, Jefe Dpto., corresponsable del Museo desde 2015, jubilado en 2019.</t>
  </si>
  <si>
    <t>Convenio de colaboracion con el Instituto</t>
  </si>
  <si>
    <t>Antiguo alumno de Geologia con el prof. R-Campra Berbel</t>
  </si>
  <si>
    <t>Coronel del Regimiento de lanceros de Villaviciosa</t>
  </si>
  <si>
    <t>Geólogo, profesor de BG del IES Padre Suarez, jubilado en 2007?</t>
  </si>
  <si>
    <t>Geóloga, conyuge de José Luis R-Campra Berbel, profesor del IES Padre Suárez</t>
  </si>
  <si>
    <t>Geóloga, profesora de BG del IES Padre Suarez desde 2019 y colaboradora del Museo desde 2020</t>
  </si>
  <si>
    <t>Enmarcada en vidrio clip. Dedicatoria: "Al eminente fisiólogo granadino Dr. J. Blasco Reta su amigo afectísimo Jaime Ferrán". Sin fecha. Jose Blasco Reta, profesor auxiliar de la F. de Medicina de la UGR, antiguo alumno del Instituto.</t>
  </si>
  <si>
    <t>Fotografía dedicada del Dr. Jaime Ferrán dedicada al Dr. Blasco Reta</t>
  </si>
  <si>
    <t>Placa metálica "Sala de Estudio"</t>
  </si>
  <si>
    <t>En una tarea rurinaria de limpieza por parte de JLR-CB, se encontro en el interior del estuche de un microscopio, en una hoquedad ; fue usado como envoltorio para muestras de hojas de plantas.</t>
  </si>
  <si>
    <t>Reloj de pared electrico</t>
  </si>
  <si>
    <t>Catálogo Siemens. Fuew usada por última vez en Conserjería.</t>
  </si>
  <si>
    <t>Atril de altar de Iglesia, regulable en altura, de latón dorado, de mesa, para Misal, Biblia y Textos Sagrados , 27x21x10 cm.; base con arcos góticos lobulados y soporte con la letras MA (María Auxiliadora)</t>
  </si>
  <si>
    <t xml:space="preserve"> …x…, para el pez guitarr (antes usada para incisivo de Mammuthus)</t>
  </si>
  <si>
    <t>En madera de ¿roble o nogal?, barnizada</t>
  </si>
  <si>
    <t>No se incliyen los soportes y peanas que están unidos al elemento que soportan, p.e. aves o mamíferos. 86-87: 100 soportes de madera torneada 87-88: 200 peanas de madera de olivo torneadas</t>
  </si>
  <si>
    <t>En madera de olivo. Dimensiones:…, orificio en la base para albergar la puntilla de sujeción a la peana o soporte del animal.</t>
  </si>
  <si>
    <t>Mecanografiados, tema de Ecología.</t>
  </si>
  <si>
    <t>Madera, 19x14 cm, anillas de acero atornilladas, con ranura portalápices</t>
  </si>
  <si>
    <t>Ejemplar desecado sobre peana de madera elaborada por JLR-CB</t>
  </si>
  <si>
    <t>Tocadicos manual Bettor Dual</t>
  </si>
  <si>
    <r>
      <t>Pletina giradiscos</t>
    </r>
    <r>
      <rPr>
        <sz val="10"/>
        <rFont val="Arial"/>
        <family val="2"/>
      </rPr>
      <t xml:space="preserve">, </t>
    </r>
    <r>
      <rPr>
        <b/>
        <sz val="10"/>
        <rFont val="Arial"/>
        <family val="2"/>
      </rPr>
      <t>plato</t>
    </r>
    <r>
      <rPr>
        <sz val="10"/>
        <rFont val="Arial"/>
        <family val="2"/>
      </rPr>
      <t xml:space="preserve"> o </t>
    </r>
    <r>
      <rPr>
        <b/>
        <sz val="10"/>
        <rFont val="Arial"/>
        <family val="2"/>
      </rPr>
      <t>pick-up</t>
    </r>
  </si>
  <si>
    <t>Reprodutor sonido</t>
  </si>
  <si>
    <t>Almacenes</t>
  </si>
  <si>
    <t>Modelo E-300 960 de Luxe Diamante, nº serie 000703, 110/125 y 220/240 v; fonochasis en forma de maleta, con giradiscos de 16-33-45-78 RPM, sin ajuste de pitch; brazo manual, control de volumen, graves y agudos; altavoz incorporado al fonochasis.</t>
  </si>
  <si>
    <t>Sistema de reproducción de sonido electromecánico analógico, sucesor del gramófono, que utiliza el mismo tipo de tecnología, pero 1.- sustituye el cilindro de fonógrafo por un disco (microsurco, LP a 33⅓ rpm y  sencillo a 45 rpm), y2.- incorpora un motor electrico permite obtener una velocidad de giro uniforme, y 3.- brazo de poco peso que desgasta menos el disco; todo ello redunda en una mayor calidad en el sonido. Ha sido el sistema de sonido que más ha perdurado en el tiempo (1925 a comienzos del s XIX), de hecho hoy día vuelven a fabricarse.</t>
  </si>
  <si>
    <t>1950</t>
  </si>
  <si>
    <t>web</t>
  </si>
  <si>
    <t>Bettor Dual</t>
  </si>
  <si>
    <t>Falta cable</t>
  </si>
  <si>
    <t>No existe</t>
  </si>
  <si>
    <t>https://es.wikipedia.org/wiki/Dual_(marca)</t>
  </si>
  <si>
    <t>100-300 €</t>
  </si>
  <si>
    <t>Limpieza intensa, pegado brazo roto, reforzado bisabras, tornillos caja</t>
  </si>
  <si>
    <t>Tocadiscos manual Faro</t>
  </si>
  <si>
    <t>Lo dejo en el almacén</t>
  </si>
  <si>
    <t>Mapa Físico de la Península Ibérica 1:400.000</t>
  </si>
  <si>
    <t>1959</t>
  </si>
  <si>
    <t>Leyenda grabada en el mapa</t>
  </si>
  <si>
    <t>Pared, acceso despacho</t>
  </si>
  <si>
    <t>Lda. L. Delgado</t>
  </si>
  <si>
    <t>Moldura lateral derecha incompleta</t>
  </si>
  <si>
    <t xml:space="preserve">Mapa en relieve, de 103x78 cm, con realzado del 10% y curvas de nivel con equidistancia de 100 m, y con rosa de los vientos;  realizado en escayola, pintado y enmarcado en madera (121x97 cm). Por  la Lda. L. Delgado. </t>
  </si>
  <si>
    <t>189x100x30 cm., con 3 baldas de madera</t>
  </si>
  <si>
    <t>A una le falta la cornisa.</t>
  </si>
  <si>
    <t>Zaguán</t>
  </si>
  <si>
    <t>Tablón de anuncios con puerta de vidrio correderas</t>
  </si>
  <si>
    <t>Marco de madera, 201,5x91,5x10 cm., y 4,5 cm de espesor, con dos hojas de vidrio correderas.</t>
  </si>
  <si>
    <t>Para expositor libros</t>
  </si>
  <si>
    <t>Tablón de anuncios con puerta abatible</t>
  </si>
  <si>
    <t>Marco de madera,80x50x8,5 cm., y 4 cm de espesor, con una hoja de vidrio enmarcada, con bisabra superior y cerradura inferior.</t>
  </si>
  <si>
    <t>BOTÁNICA</t>
  </si>
  <si>
    <t>Prensa de madera para herborizar</t>
  </si>
  <si>
    <t>Usada para formar el herbario con el que preparar las oposiciones de JLR-BC</t>
  </si>
  <si>
    <t>José Luis R-Campra Berbel</t>
  </si>
  <si>
    <t>Prensa en madera de pino, para presar muestras de plantas; integrada por dos tablas de 50x30 cm, y 2 cm de espesor, y 4 tornillos con palometillas.</t>
  </si>
  <si>
    <t>Urna de metacrilato para reloj de torreón</t>
  </si>
  <si>
    <t>Medidas ….x....x…. . Cuatro puertas (2 delanteras y 2 traseras) con cerradura</t>
  </si>
  <si>
    <t>Expositor plinto para ammmonites gran formato</t>
  </si>
  <si>
    <t>Base prismática de acero esmaltado en negro, con ruedas.</t>
  </si>
  <si>
    <t>Cojines rectangulares de terciopelo rojo granate</t>
  </si>
  <si>
    <t xml:space="preserve">Bancos </t>
  </si>
  <si>
    <t>Para bancos de sala II</t>
  </si>
  <si>
    <t>Anas (=Spatula) querquedula</t>
  </si>
  <si>
    <t>Cerceta común</t>
  </si>
  <si>
    <t>Otis tarda ♂</t>
  </si>
  <si>
    <t>Otis tarda ♀</t>
  </si>
  <si>
    <t>Buitre leonado o común</t>
  </si>
  <si>
    <t>Los ojos de cristal fueron mal restaurados: son de color azul</t>
  </si>
  <si>
    <t>Francisco Ayala, autor cervantino</t>
  </si>
  <si>
    <t xml:space="preserve">Expositor libros </t>
  </si>
  <si>
    <t xml:space="preserve">Libro sobre la conferencia homónima pronunciada por el profesor de Lengua y Literatuta del Instituto Padre Suárez, D. Juan Santaella López, con motivo de la designación de la biblioteca del Instituto con el nombre de “Francisco Ayala”. 12 pág. Incluye dedicatoria el prof. de B/G D. José Luis R-Campra Berbel </t>
  </si>
  <si>
    <t>Imprenta Ed. Ave María</t>
  </si>
  <si>
    <t xml:space="preserve">Huevo Strutio camellus </t>
  </si>
  <si>
    <t>2022</t>
  </si>
  <si>
    <t xml:space="preserve">Donado por Félix Urrutia Bedmar, en 1976, alumno de 1º BUP, grupo... Natural de Melilla, procedente del Colegio de los PP Salesianos. </t>
  </si>
  <si>
    <t>Embriología-Teratología</t>
  </si>
  <si>
    <t xml:space="preserve"> Gran superfície procedente de una grieta cubierta de cristales tabulares perfectos de baritina/barita, perfectos y preciosos. </t>
  </si>
  <si>
    <t>Color violáceo es debido al Co. 5,5,x5,2,5 cm</t>
  </si>
  <si>
    <t>Baritina</t>
  </si>
  <si>
    <t>Barita</t>
  </si>
  <si>
    <r>
      <t>Aragonito en</t>
    </r>
    <r>
      <rPr>
        <b/>
        <sz val="12"/>
        <rFont val="Arial"/>
        <family val="2"/>
      </rPr>
      <t xml:space="preserve"> </t>
    </r>
    <r>
      <rPr>
        <sz val="12"/>
        <rFont val="Arial"/>
        <family val="2"/>
      </rPr>
      <t>macla radial</t>
    </r>
  </si>
  <si>
    <t>Imprenta Ave María</t>
  </si>
  <si>
    <t>Geólogo, PES, Inspector Educación</t>
  </si>
  <si>
    <t>Puentes Molina, Antonio Fco.</t>
  </si>
  <si>
    <t>1:500.000. D. Luis Funoll y D. Vicente Zumárraga (Comandantes de Estado Mayor); ancho 250x227 cm alto; papel entelado, "cañas" de madera, posiblemente de castaño, de 7x263 la superior, y 3,5x263 la inferior. Incluye norte de África y sur de Francia.</t>
  </si>
  <si>
    <t>Luis Funoll y Vicente Zumárraga</t>
  </si>
  <si>
    <t>Presenta muchísimas grietas, zonas despegatas, muy sucio, y unas 26 pintadas y firmas de los años 70.</t>
  </si>
  <si>
    <t>Manchas oscuras en su superficie. 14,5 long. X 41 cm de circunferencia ecuatorial, uno, y el otro 15x 43</t>
  </si>
  <si>
    <t>Superficie blanca cérea, sin manchas.Ubicado junto a los alimoches, en la vitrina 20.2. 14 cm de altura por 38 cm de circunferencia ecuatorial.</t>
  </si>
  <si>
    <t>1:2.000.000; 247x215; 1ª edición 372</t>
  </si>
  <si>
    <t>1:2.000.000; 247x215, 1ª edición 372</t>
  </si>
  <si>
    <t>1:2.275.000; 200x12022/02/2022 1ª edición 372</t>
  </si>
  <si>
    <t>1:500.000; 220x21022/02/2022 1ª edición 372</t>
  </si>
  <si>
    <t>1:2.000.000; 259x18522/02/2022 1ª edición 372</t>
  </si>
  <si>
    <t>Nº Edición</t>
  </si>
  <si>
    <t xml:space="preserve">Mapa Justus Perthes Darmstadt: Político Europa 1871-1914 </t>
  </si>
  <si>
    <t>LÁMINAS Y MAPAS MURALES:</t>
  </si>
  <si>
    <t>Láminas y Mapas Murales</t>
  </si>
  <si>
    <t>Láminas</t>
  </si>
  <si>
    <t>Ammonites grigante, pendiente clasificación</t>
  </si>
  <si>
    <t>Sobre peana</t>
  </si>
  <si>
    <t>42 x 37 cm.</t>
  </si>
  <si>
    <t>Última vuelta fracturada</t>
  </si>
  <si>
    <t>Manzano Herrero, Paloma</t>
  </si>
  <si>
    <t xml:space="preserve">Profesora  IES Padre Suárez (Dpto. Informatica, CF) </t>
  </si>
  <si>
    <t>Martínez Trujillo, Mª Victoria</t>
  </si>
  <si>
    <t>Maestra CEIP Los Cármenes</t>
  </si>
  <si>
    <t>1940-50</t>
  </si>
  <si>
    <t>Fascímil. Original de la Imprenta de Indalecio Ventura, sobre el Transformismo. 44 pág. 28x18 cm.</t>
  </si>
  <si>
    <t>Sisón común hembra</t>
  </si>
  <si>
    <t>Alauda tatarica (=Chersophilus duponti)</t>
  </si>
  <si>
    <t>Alondra esteparia, ricotí o de Duponti</t>
  </si>
  <si>
    <t>Piña de mar</t>
  </si>
  <si>
    <t>Es una ascidia que se encontraba inventariada en 2015 como "limón de mar", que hace referencia a la babosa de mar Archidoris pseudoargus o tuberata, o a Cythia microcosmus</t>
  </si>
  <si>
    <t>Ministerio de Educación Nacional</t>
  </si>
  <si>
    <t>Imágenes tomadas de las principales obras maestras del arte pictórico universal. Seleccionadas y explicadas por Luis Ortiz Muñoz, Catedrático y Director del Instituto Nacional de Enseñanza Media "Ramiro de Maezto" de Madrid. 6 estuches de carón ligero, de 5x5,5x3,5 cm, con diapositivas de celuloide y marquito de cartón, y un libro explicativo de 246 pág. y 18x11 cm, en rústica, que incluye un índice de los pintores seleccionados. Todo guardado en un estuche entretelado en azul, de 17,5x12x5 cm, ilustrado por una lámina de una vidriera de la crucifixión de Cristo. Institución de Formación del Profesorado de Enseñanza Laboral.</t>
  </si>
  <si>
    <t>Muñoz  Muñoz, Adolfo</t>
  </si>
  <si>
    <t>Profesor de F/Q del IES Padre Suárez, jubilado en 2019, aprox.</t>
  </si>
  <si>
    <t>Lupa de mano,  x2,5</t>
  </si>
  <si>
    <t>Jalones metálicos</t>
  </si>
  <si>
    <t>Tubos metálicos, diámetro de 2.5 cm y  longitud que varía de ... metros, pintados con franjas alternas rojas y blancas de unos 30 cm, y  punta de acero tyerminal. Se usa como instrumento auxiliar en la medida de distancias, localizando puntos y trazando alineaciones.</t>
  </si>
  <si>
    <t>Importado por Recarte hijo</t>
  </si>
  <si>
    <t>Graselli y Zambra ; ópticos de S.M., C/ Montera 5</t>
  </si>
  <si>
    <t>Rozaduras por el uso</t>
  </si>
  <si>
    <t>Clisímetro o nivel de Abney escolar para prácticas de alumnos</t>
  </si>
  <si>
    <t>Con un círculos horizontal y vertical, utilizado para medir ángulos verticales, para determinación de las alturas de los árboles, desniveles, horizontalizar la cinta, medir ángulos verticales y pendientes, calcular alturas y lanzar visuales con una pendiente dada,... mediante relaciones trigonométricas. En alumnio con diales serigrafiados, sobre trípode de madera.</t>
  </si>
  <si>
    <t xml:space="preserve"> nº serie 239675 150 x, selector de 4 voltajes. Mando a distancia por cable. Lente interna deformada por calor</t>
  </si>
  <si>
    <t>Reflecta</t>
  </si>
  <si>
    <t>Cargador circular para 80 diapositivas 5x5 ,para proyector Kodak Carousel</t>
  </si>
  <si>
    <t>Proyector de diapositivas  Carousel Kodak</t>
  </si>
  <si>
    <t>Proyector de diapositivas automático Cabin 1000A</t>
  </si>
  <si>
    <t>Proyector de diapositivas automático Cabin 2000</t>
  </si>
  <si>
    <t>Cabin</t>
  </si>
  <si>
    <t>Proyector diapositivas manual ENOSA mod. Granada</t>
  </si>
  <si>
    <t>Proyector diapositivas manual ENOSA 300</t>
  </si>
  <si>
    <t>Accesorio para proyector diapositivas ENOSA 300</t>
  </si>
  <si>
    <t>Proyector cine Technicolor, mod. 250</t>
  </si>
  <si>
    <t>Technicolor</t>
  </si>
  <si>
    <t>Accesorio proyector diapositivas ENOSA 300: montura para diapositivas en carrete</t>
  </si>
  <si>
    <t>Accesorio proyector diapositivas ENOSA 300: montura para miniacuario o sólidos translucidos</t>
  </si>
  <si>
    <t>Proyector diapositivas  automático Prestinox Mod. 680</t>
  </si>
  <si>
    <t>Proyector diapositivas  automático Prestinox Mod. 680 FF</t>
  </si>
  <si>
    <t>Prestinox</t>
  </si>
  <si>
    <t>3M</t>
  </si>
  <si>
    <t>Proyector cine Chinon</t>
  </si>
  <si>
    <t>Chinon</t>
  </si>
  <si>
    <t>Proyector diapositivas automático Reflecta Diamator AF</t>
  </si>
  <si>
    <t>Epidiascopio o episcopio</t>
  </si>
  <si>
    <t>Mandos a distancia inalámbricos Reflecta</t>
  </si>
  <si>
    <t>Mandos a distancia para proyector de diapositivas, en plástico negro y un solo pulsador, paralepidédicos de 11x6x3 cm, a infrarrojos, 4 pilas AA.</t>
  </si>
  <si>
    <t>Mando a distancia inalámbrico (IR) para proyector de diapositivas, con inscripción "Remote Control", sin marca conocida. Plástico negro, dos pulsadores, para avanzar y retroceder. 2 pilas AA</t>
  </si>
  <si>
    <t>Mando a distancia inalámbrico proy. Diapositivas</t>
  </si>
  <si>
    <t>Pilas AA Phillips "Long Life"</t>
  </si>
  <si>
    <t>Descargadas, procedentes de mandos a distancia</t>
  </si>
  <si>
    <t>Pilas AA Varta "Super Life"</t>
  </si>
  <si>
    <t>Phillips</t>
  </si>
  <si>
    <t>Varta</t>
  </si>
  <si>
    <t>Sello automático autotamponado "Juan Carlos Aguilera"</t>
  </si>
  <si>
    <t>11x5x5 cm, base cuadrada, plástico gris y negro, Tradat mod. Printy 4924. Con firma del antiguo director del IES Padre Suárez Juan Carlos Aguilera Rabaneda</t>
  </si>
  <si>
    <t>Cargador recto gris para 40 diapositivas 5x5, formato compacto</t>
  </si>
  <si>
    <t>Carros rectos grises para 38 diapositivas</t>
  </si>
  <si>
    <t>Carro recto negro para 40 diapositivas. Sistama corredera compacto</t>
  </si>
  <si>
    <t>Bote de tinta china roja bermellón</t>
  </si>
  <si>
    <t>Mollet</t>
  </si>
  <si>
    <t>Vidrio, tapón rosca y etiqueta. Con tinta</t>
  </si>
  <si>
    <t>Vidrio, tapón rosca y etiqueta.Sin tinta</t>
  </si>
  <si>
    <t>Colores desvaidos</t>
  </si>
  <si>
    <t>Colección 137 diapositivas "Vida de Cristo"</t>
  </si>
  <si>
    <t>Institución de Formación del Profesorado de Enseñanza Laboral</t>
  </si>
  <si>
    <t>Comisaría de Extensión Cultural</t>
  </si>
  <si>
    <t>Marquitos de cartón de 5x5,5x3,5 cm, con diapositivas de celuloide, de una colección de 33 diapositivas (faltan las nº 1, 2 y 3) Expuestas en estuche metálico Martele gris, de 37x19x6 cm, junto a otras colecciones.</t>
  </si>
  <si>
    <t>Colección 28 diapositivas "Los animales voladores" EM-3/CN Z-8</t>
  </si>
  <si>
    <t>Marquitos de cartón de 5x5,5x3,5 cm, con diapositivas de celuloide, de una colección de 33 diapositivas (faltan las nº 1, 2, 3 y 32). Expuestas en estuche metálico Martele gris, de 37x19x6 cm, junto a otras colecciones.</t>
  </si>
  <si>
    <t>Colección 22 diapositivas "Plancton"</t>
  </si>
  <si>
    <t>Colección 11 diapositivas "Pelos, plumas y fibras"</t>
  </si>
  <si>
    <t>Marquitos de cartón de 5x5,5x3,5 cm, con diapositivas de celuloide, colección  completa de 22 diapositivas. Expuestas en estuche metálico Martele gris, de 37x19x6 cm, junto a otras colecciones.</t>
  </si>
  <si>
    <t>Placas de vidrio tipo "holandés", realizadas en 2018, a partir de vidrio de comienzos del s. XX, de 2 mm de espesor, procedente de las antiguas vitrinas del Gabinete de Hª Natural, cortado a 45 x 107 mm (estándar de la época), como siporte para placas estereoscópicas.</t>
  </si>
  <si>
    <t>comienzos s. XX</t>
  </si>
  <si>
    <t>Marquitos de cartón de 5x5,5x3,5 cm, con diapositivas de celuloide, colección  incompleta (de 22 diapositivas, solo están los nº 1 al 6, 11 al 13, y del 18 al 21). En cada una se indica el nº, título de la diapositiva, nº de aumentos y el punto de referencia para la orientación en el proyector. Expuestas en estuche metálico Martele gris, de 37x19x6 cm, junto a otras colecciones.</t>
  </si>
  <si>
    <t>Marquitos de cartón de 5x5,5x3,5 cm, con diapositivas de celuloide, de una colección  incompleta de 25 diapositivas numeradas a mano (solo se encuentras las nº 3 a 6, 8, 21 y 25. En cada una se indica el nº, título de la diapositiva, nº de aumentos y el punto de referencia para la orientación en el proyector. Presentan grabada la inscripción "marquito=print=patentado"Expuestas en estuche metálico Martele gris, de 37x19x6 cm, junto a otras colecciones.</t>
  </si>
  <si>
    <t>Marquitos de cartón de 5x5,5x3,5 cm, con diapositivas de celuloide, de elaboración propia. Expuestas en estuche metálico Martele gris, de 37x19x6 cm, junto a otras colecciones.</t>
  </si>
  <si>
    <t xml:space="preserve">Archivador de diapositivas metálico, pintado en gris Martele, de 37x19x6 cm, con tapa abatible y desmontable (estuvo forrada en gomaespuma), con dos cierres. Interior con estructura plástica para el archivo de diapositivas., </t>
  </si>
  <si>
    <t>Islas canarias</t>
  </si>
  <si>
    <t>Molusco sin concha necrófago (peces), de muy mal olor; ante el peligro proyecta  tinta azul oscuro.</t>
  </si>
  <si>
    <t>Esqueleto de condropterigio Scyliorhinus (=Scualus) canicula</t>
  </si>
  <si>
    <t>Pez condropterigio (cartilaginoso) Sobre peana rectangular de madera, y cartela sobre peana también de madera. Se encontraba fracturado en tres trozos y  las aletas muy deterioradas. Fue restaurado por Alberto Michelon</t>
  </si>
  <si>
    <t>Eloffê y Cia.</t>
  </si>
  <si>
    <t>Solo un fragmento</t>
  </si>
  <si>
    <t>Estaban inventariados 4 ejemplares, pero solo es uno. Molusco cefalópodo del orden spirulidea, su único representante actual, con concha interna, endogástrica, planoespiral, de 35-45 mm de longitud, provista de cámaras llenas de aire, que utiliza como órgano de flotación; único cefalópodo actual con concha interna enrollada, como en el Mesozoico los ammonites pero por dentro; diez brazos provistos de ventosas, dos más largos. Tiene un órgano  luminiscente en el ápice corporal; pelágico, viven a gran profundidad.</t>
  </si>
  <si>
    <t>Hasta el 28-3-2022 se encontraba inventariada como originaria del O. Índico, y procedente del Fondo Histórico; no obstante su cartela indicaba lo contrario. Y no era un ejemplar si no tres.</t>
  </si>
  <si>
    <t>Volcán Margarida, Olot, Parque Natural e la Garrocha,</t>
  </si>
  <si>
    <t>25-11-2021</t>
  </si>
  <si>
    <t>Ceniza volcánica</t>
  </si>
  <si>
    <t>Volcán Cumbre Vieja</t>
  </si>
  <si>
    <t>Lapilli basáltico fino</t>
  </si>
  <si>
    <t>14-11-2021</t>
  </si>
  <si>
    <t xml:space="preserve">Las Manchas, Los Llanos de Ariadne-El Paso </t>
  </si>
  <si>
    <t>Zona de exclusión de Jedey</t>
  </si>
  <si>
    <t>Escoria volcánica basáltica</t>
  </si>
  <si>
    <t>Fragmento de basalto negro de 20 cm de longitud, de forma muy irregular, áspera y vesiculada.</t>
  </si>
  <si>
    <t>Fragmento de basalto negro, de forma muy irregular, áspera y vesiculada.</t>
  </si>
  <si>
    <t>Cuestionarios y programas de la enseñanza media</t>
  </si>
  <si>
    <t>Revista de la Enseñanza Media</t>
  </si>
  <si>
    <t>Libro de texto oficial del IES Padre Suárez, 5º de Bachillerato plan 1957, 431 pág., perteneció al alumno Jose Luis Cortés Calonge, 5º bachillerato-A</t>
  </si>
  <si>
    <t>Bustinza Lachiondo, Florencio y Mascaró Carrillo, Fernando</t>
  </si>
  <si>
    <t>Doctora en geología, investigadora IGME (CSIC), madre de 3 alumnos del Suárez, hija de profesora del Suárez.</t>
  </si>
  <si>
    <t>Elementos de Historia Natural</t>
  </si>
  <si>
    <t>Lapilli de obsidiana "arco iris", grueso</t>
  </si>
  <si>
    <t>Biología para el Curso de Orientación Universitaria. Dr. Vicente Dualde Pérez. Libro de texto oficial en el Padre Suárez en el curso 1975-76. 704 pág., 22x16</t>
  </si>
  <si>
    <t>Convenio Fundación Unicaja. Con 2 puertas delateras y traseras.</t>
  </si>
  <si>
    <t>Convenio Fundación Unicaja. Con puerta en lateral estrecho</t>
  </si>
  <si>
    <t>Convenio Fundación Unicaja. Con 2 puerta en el frontal.</t>
  </si>
  <si>
    <t>Elaborados por J.E. Padilla y J.L. R-Campra, a partir de los antiguos expositores de rocas que se ubicaban, hasta 2021, en la sala IV</t>
  </si>
  <si>
    <t>Desde final del s. XX hasta 2018 fueron usadas para ubicar las colecciones de especímenes en alcohol en la sala IV, sobre los exporitores de minerales, con grave riesgo de caída sobre estos. Los recipientes de vidrio se trasladaron a la sala II, Biodiversidad, en vitrinas cerradas, en lo que es su lugar natural.</t>
  </si>
  <si>
    <t>Vitrinas verticales en madera de pino</t>
  </si>
  <si>
    <t>Expositores horizontales con urnas de vidrio</t>
  </si>
  <si>
    <t>Archivador de diapositivas metálico, pintado en gris Martele, de 28x18,55,5 cm, con tapa abatible y desmontable, con asa metálica. Interior con estructura plástica para el archivo de 150 diapositivas, numerado.</t>
  </si>
  <si>
    <t>GAMA</t>
  </si>
  <si>
    <t xml:space="preserve">Estuche-archivador deslizante, para diapositivas </t>
  </si>
  <si>
    <t>Estuche-archivador abatible, para diapositivase, marca Reflecta</t>
  </si>
  <si>
    <t>Estuche-archivador de metal, para 150 diapositivas 5x5</t>
  </si>
  <si>
    <t>Estuche-archivador de metal, para diapositivas 5x5</t>
  </si>
  <si>
    <t>Estuche-archivador de cartón, para placas fotográficas de vidrio 12x9</t>
  </si>
  <si>
    <t>Paterna del Río</t>
  </si>
  <si>
    <t>Biología Curso Preuniversitario. Ed Summa</t>
  </si>
  <si>
    <t>Biología para el Curso de Orientación Universitaria. M. García, L. Franco, J. Furió, M.A. García, J. Reig, R. Sendra. 518 pág.Libro de texto ofiacial en el Instituto Padre Suárez. Fue propiedad de "Paco" Aneas García, nº 3, COU B</t>
  </si>
  <si>
    <t>Ed. Marfil</t>
  </si>
  <si>
    <t>Alcoy</t>
  </si>
  <si>
    <t>Alicante</t>
  </si>
  <si>
    <t xml:space="preserve">Libro de texto oficial del IES Padre Suárez para 3º de BUP. A.M. Caballero, F. Esteve, J.M. Rodríguez. </t>
  </si>
  <si>
    <t>Ed. ECIR</t>
  </si>
  <si>
    <t>Valenia</t>
  </si>
  <si>
    <t>Libro de texto oficial del IES Padre Suárez para 1º de BUP. Autores: V. Dualde y J. Lillo. 536 pág., ilustraciones negro y color, 23x18 cm.</t>
  </si>
  <si>
    <t>Ed. Anaya</t>
  </si>
  <si>
    <t>Dos Hermanas</t>
  </si>
  <si>
    <t>Libro de texto oficial del IES Padre Suárez para 1º de BUP. D. Fernández y E. Ramírez</t>
  </si>
  <si>
    <t>Libro de texto oficial del IES Padre Suárez para 3º de BUP. D. Fernández y E. Ramírez. Perteneció a "J. Cobo"</t>
  </si>
  <si>
    <t>Libro de texto oficial del IES Padre Suárez para 3º de BUP. Autores: V. Dualde, J. Lillo y L.F. Redonet. Plan 1977;  ... pág., ilustraciones negro y color, ..x.. cm. Perteneció a Esteban Pérez</t>
  </si>
  <si>
    <t>Ciencias Naturales 6º Bachillerato superior, Ed. ECIR</t>
  </si>
  <si>
    <t>Sin portada</t>
  </si>
  <si>
    <t>Ruiz Guzman, Mercedes</t>
  </si>
  <si>
    <t>Profesora de Inglés del Instituto Padre Suárez</t>
  </si>
  <si>
    <t>Libro de texto oficial del IES Padre Suárez ; autores: R. Verdu, E. Nagore y E. López Mezquida. 2ª edición. Perteneció a R. Sabatel Bueno y Mª P. Guzman, madre de la donante.</t>
  </si>
  <si>
    <t>LIBROS DE TEXTO Y COMPLEMENTARIOS:</t>
  </si>
  <si>
    <t>Tratado de la Técnica de las Medidas Físico-Químicas, de José María Clñavera Armenteros</t>
  </si>
  <si>
    <t>Geología, Zoología y Botánica  para  CCNN 5º  Bachillerato sup., Plan 1957</t>
  </si>
  <si>
    <t>Libros complementarios</t>
  </si>
  <si>
    <t>Ed. Luis Vives S.A.</t>
  </si>
  <si>
    <t>Zaragoza</t>
  </si>
  <si>
    <t>Ciencias FísicoNaturales 2º Grado</t>
  </si>
  <si>
    <t>120 pág., rústica, Ilustraciones en el texto.</t>
  </si>
  <si>
    <t>Autores: R. Verdú, E. Nacore, E.L. Mezquida. Perteneció a Mº P. Guzmán, madre de la donante.</t>
  </si>
  <si>
    <t>Lapilli basáltico "croscat"</t>
  </si>
  <si>
    <t>Piroclastos, color marrón oscuro, tipo "croscat": el Croscat es un volcán de estromboliano que se encuentra en el noroeste del municipio de Santa Pau, en la comarca de La Garrocha, Cataluña, en el Parque Natural de la Zona Volcánica de la Garrocha. Expuesto en cristalizador.</t>
  </si>
  <si>
    <t>Piroclastos negros de menos de 2 mm de diámetro, procedentes de la erupción del volcán Cumbre Vieja, LA Palma, en 2021. Expuesto en cristalizador.</t>
  </si>
  <si>
    <t>Piroclastos  negros de 2 a 10 mm, procedentes de la erupción del volcán Cumbre Vieja, LA Palma, en 2021. Expuesto en cristalizador</t>
  </si>
  <si>
    <t>Piroclastos de 10 a 30 mm, con brillo iridiscente azul violáceo, característico de la obsidiana (¿inclusiones de nanopartículas de magnetita?), procedentes de la erupción del volcán Cumbre Vieja, LA Palma, en 2021. Expuesto en cristalizador.</t>
  </si>
  <si>
    <t>Traité Encyclopédique de Photographie, tomo X: Phototypes Negaties</t>
  </si>
  <si>
    <t>Gauthier-Villars &amp; Fils Editeurs</t>
  </si>
  <si>
    <t>Desencuadernado y sin pastas</t>
  </si>
  <si>
    <t>Autor: Charles Fabre (Doctor en Ciencias en la Universidad de Touluse. 400 pág.; probablemente su propietario fue Martínez Aguirre (anotación en la primera pág.)</t>
  </si>
  <si>
    <t>Vitrina 7.4</t>
  </si>
  <si>
    <t>Formulación para la elaboración de placas fotográficas de grano fino</t>
  </si>
  <si>
    <t>1ª mitad s XX</t>
  </si>
  <si>
    <t>Desconocido.</t>
  </si>
  <si>
    <t>Documento manuscrito. Reactivos (gelatina, ClNa, ClH, H2O y NO3Ag) y procedimiento. Al final parece escrito "New York". El documento se encontró en el interior del Tratado de fotografía francés. Autor: ¿Taboada, Martínez Aguirre?</t>
  </si>
  <si>
    <t>Archivador de plástico azul, con cierres en clip, de 27x19x6 cm. Marquitos de plástico serigrafiados. 8 archivadores de cartón en cuadríptico, con guía didáctica y plastificadores para 24 diapositivas cada uno. La célula, aparato locomotor, anatomía y fisiología de la nutrición, la reproducción animal y humana, órganos de relación, el mundo de los microbios, los insectos y las fanerógamas. Autor: Carlos Porras Pasamontes. Elaborado por Gráficas Metbar.</t>
  </si>
  <si>
    <t>Falta una diapositiva en la carpeta de los insectos</t>
  </si>
  <si>
    <t>Hacia la Naturaleza 1: 1º de B.U.P., ed. Alhambra</t>
  </si>
  <si>
    <t>Ciencias Naturales 1º de B.U.P., ed. ECIR</t>
  </si>
  <si>
    <t>Ciencias Naturales 1º de B.U.P., ed. Anaya</t>
  </si>
  <si>
    <t>Ciencias Naturales 3º de B.U.P., ed. ECIR</t>
  </si>
  <si>
    <t>Ciencias Naturales 3º de B.U.P., ed. Marfil</t>
  </si>
  <si>
    <t>Ciencias Naturales 3º de B.U.P., ed. Anaya</t>
  </si>
  <si>
    <t>Proyecto MT 62: serie A. Autores: H. Alonso-Vega, J.M. González Donoso, K. Miralles y A. Roca. 417 pág., 26x19 cm, rústica. Ed. Alhambra fue adquirida en 1990 por la ed. británica Longman; aquella ed. Alhambra Longman, perteneció al grupo financiero británico Pearson, dueño de The Economist, The Financial Times y de la ed. Penguin. Adquirido por JLR-CB</t>
  </si>
  <si>
    <t>Proyecto MT 62: serie A. Autora Kiralyna Miralles; 26x19 cm, 6 cuadernos en rústica grapados, de 19 a 57 pág. de 6 unid. temáticas: 1-El mundo en que vivimos, 2-El escenario de la vida, 3-Biología celular, 4-El mundo de las plantas y los animales, 5-El mundo de los microbios, 6-La continuidad de los seres vivos. Adquiridos por JLR-CB</t>
  </si>
  <si>
    <t>E. Alhambra</t>
  </si>
  <si>
    <t>Hacia la Naturaleza 1: Cuadernos  actividades de 1º de B.U.P. ed. Alhambra</t>
  </si>
  <si>
    <t>Hacia la Naturaleza 2: 3º de B.U.P., ed. Alhambra</t>
  </si>
  <si>
    <t>Proyecto MT 62: serie A. Autores: H. Alonso-Vega, J.M. González Donoso, K. Miralles y A. Roca. 512 pág., 26x19 cm, rústica. Ed. Alhambra fue adquirida en 1990 por la ed. británica Longman; aquella ed. Alhambra Longman, perteneció al grupo financiero británico Pearson, dueño de The Economist, The Financial Times y de la ed. Penguin. Adquirido por JLR-CB</t>
  </si>
  <si>
    <t>Ciencias Cosmológicas II, ed. ECIR</t>
  </si>
  <si>
    <t>Compañía Bibliográfica Española.</t>
  </si>
  <si>
    <t>Libro de texto oficial del IES Padre Suárez para "Preu". Encuadernación rústica, 24x17 cm, 456 pág. Autor: Amadeo Sañudo. Perteneció al alumno Jose Luis Cortés Calonge.</t>
  </si>
  <si>
    <t>Libro de texto oficial del IES Padre Suárez para Geología de COU. Autor: Castellón Serrano, Luis. Encuadernación rústica, 24x17 cm, 483 pág. Ilustrado en b/n</t>
  </si>
  <si>
    <t>Ed. Alhambra</t>
  </si>
  <si>
    <t>Ed. Gredos</t>
  </si>
  <si>
    <t>Libro de texto oficial del IES Padre Suárez ; fueron 4 partes independientes, cada una con su numeración: Geología (158 pág.), Biología general (41 pág.), Zoología (163 pág.) y Botánica (90 pág.)</t>
  </si>
  <si>
    <t>Ciencias Naturales 5º Bachillerato sup.: Biología gral. Plan 1957</t>
  </si>
  <si>
    <r>
      <t>Biología moderna, "</t>
    </r>
    <r>
      <rPr>
        <i/>
        <sz val="12"/>
        <rFont val="Arial"/>
        <family val="2"/>
      </rPr>
      <t>con elementos de genética humana</t>
    </r>
    <r>
      <rPr>
        <sz val="12"/>
        <rFont val="Arial"/>
        <family val="2"/>
      </rPr>
      <t>": Preu-A; Compañía Bibliográfica Española.</t>
    </r>
  </si>
  <si>
    <t>1984-2000</t>
  </si>
  <si>
    <t>León Fotocolor</t>
  </si>
  <si>
    <t>Colección 22 diapositivas Geología (elaboración propia)</t>
  </si>
  <si>
    <t>CS Sistem</t>
  </si>
  <si>
    <t>No documentada</t>
  </si>
  <si>
    <t>Colección 38 diapositivas Zoología (elaboración propia)</t>
  </si>
  <si>
    <t>Marquito de plástico gris, en caja-archivador metálico. Temas: Geomorfología (15), Tectónica (4), Petrografía  (1), varias (2).</t>
  </si>
  <si>
    <t>Marquito de plástico, en caja-archivador metálico. Temas: zoología-peces (28), zoología-insectos (4), zoología-arácnidos (3), excursión del prof. Luis Castellón Serrano (3), él aparece en una. León Fotocolor existe desde 1984</t>
  </si>
  <si>
    <t>Marquito de plástico, en caja-archivador metálico. Son algunas de las aves expuestas en el Museo, naturalizadas por taxidermia.</t>
  </si>
  <si>
    <t>Kodachrome</t>
  </si>
  <si>
    <t>Colección 17 diapositivas Aves Museo Ciencias Suárez (elaboración propia)</t>
  </si>
  <si>
    <t>Colección 15 diapositivas sin identificar (elaboración propia)</t>
  </si>
  <si>
    <t>Marquito de plástico, en caja-archivador metálico. Temática sin identificar</t>
  </si>
  <si>
    <t>Colección 8 diapositivas Britidh Birds Estuary</t>
  </si>
  <si>
    <t>Ed. Woodman Steme</t>
  </si>
  <si>
    <t>Gran Bretaña</t>
  </si>
  <si>
    <t>Claves Mineralógicas de Gallegos</t>
  </si>
  <si>
    <t>Maracena</t>
  </si>
  <si>
    <t>Talleres Arte</t>
  </si>
  <si>
    <t>Autor: Jose Antonio Gallegos Díaz, profesor de CCNN del Instituto Padre Suárez. Estas clave fueron toto un hito en la clasificación mineral. 21x 15 cm, 273 pág., rústica, 96 fotos color, la mayoría de ellas de ejemplares del Museo de Ciencias</t>
  </si>
  <si>
    <t>CATÁLOGOS, INVENTARIOS, MEMORIAS Y DISCURSOS:</t>
  </si>
  <si>
    <t>Probablemente elaborado por el prof. L. Castellón Serrano. Relación incompleta de los microscopios existentes en el laboratorio de CCNN, algún acta, algunos libros.</t>
  </si>
  <si>
    <t>No se encuentran en enero/2015</t>
  </si>
  <si>
    <t>Librería pasillo</t>
  </si>
  <si>
    <t xml:space="preserve">Colección de estereoscopías de monumentos y paisajes de Almería, </t>
  </si>
  <si>
    <t>Litografia original de Luis Curiel: Instituto Padre Suárez</t>
  </si>
  <si>
    <t xml:space="preserve">En ella se reproduce en comienzo de la Avda. de la Constitución con el final de la Gran Vía, el Instituto Pdre Suárez, acompañado de la bandera de España. Enmarcada, 46x38 cm, b/n, numerada 35/50, firma autor </t>
  </si>
  <si>
    <t>Lámina original de Francisco Martín Morales, “Martínmorales” en homenaje a estudiantes de Geología.</t>
  </si>
  <si>
    <t>Pinturas y dibujos</t>
  </si>
  <si>
    <t>Vitrina Minerales</t>
  </si>
  <si>
    <t>Firmada al dorso</t>
  </si>
  <si>
    <t>Francisco Martín Morales</t>
  </si>
  <si>
    <t>Lámina en formato A4, enmarcada, dibujada por Martínmorales, tras un encuentro, en la Alpujarra, con un grupo de estudiantes de Geología que se encontraban de campamento de Petrología, en el que se encontraba JLR-CB. El dibujo fue regalado por la esposa del autor, Magdalena de los Heros, a JLR-CB en 2018, quién lo donó al museo.</t>
  </si>
  <si>
    <t>Santaella López, Juan</t>
  </si>
  <si>
    <t>Lic. En Hispánicas, catedrático de Lengua y Literatura del IES Padre Suarez, Jefe Dpto., Delegado de Educacion, jubilado en 2012?</t>
  </si>
  <si>
    <r>
      <t>PINTURAS, DIBUJOS, PLACAS, FOTOGRAFÍAS HISTÓRICAS</t>
    </r>
    <r>
      <rPr>
        <b/>
        <sz val="8"/>
        <color theme="9" tint="-0.249977111117893"/>
        <rFont val="Arial"/>
        <family val="2"/>
      </rPr>
      <t xml:space="preserve"> (solo se exponen algunas: copias, originales archivados)</t>
    </r>
  </si>
  <si>
    <t>Sin datar</t>
  </si>
  <si>
    <t xml:space="preserve">Biología: C.O.U., ed. ECIR- V. Dualde </t>
  </si>
  <si>
    <t xml:space="preserve">Biología: C.O.U., ed. ECIR </t>
  </si>
  <si>
    <t>Elementos de Geología: C.O.U.</t>
  </si>
  <si>
    <t>Introducción a la Geología: C.O.U. ed. Alhambra</t>
  </si>
  <si>
    <t>Libro de texto oficial del IES Padre Suárez para la Geología de C.O.U. Autores: H. H. Read y J. Watson. 24,5x16x4,5 cm. 684 pág. en papel cuché; ilustraciones y fotografía en b/n. Encuadernación rígida en tela. Fue propiedad de JLR-CB</t>
  </si>
  <si>
    <t>Valvas derechas. Lamelibranquio de concha fina y de hasta unos 6 cm de longitud con valvas desiguales, casi circulares: la izquierda convexa, con tres impresiones musculares (una del músculo aductor y 2 de la unión del biso), casi centrales, y en la zona externa costillas concéntricas que a veces tienen expansiones escamosas. La valva derecha es plana o irregularmente cóncava, con una cicatriz correspondiente al músculo aductor y una abertura redondeada u ovalada en la zona dorsal por donde pasa el biso para sujetar al animal al sustrato. Color blanco, amarillento, con tintes azulados. En costas rocosas poco profundas.</t>
  </si>
  <si>
    <t>Pteria (=Avicola) hirundo</t>
  </si>
  <si>
    <t>Valva izquierda. Lamelibranquio de valvas nacaradas, muy finas, y de forma muy irregular.</t>
  </si>
  <si>
    <t>Hasta 2022 había inventariado solo un elemento</t>
  </si>
  <si>
    <t>Hasta 2022 solo había inventariado 1 objeto, cuando en realidad son tres animales.</t>
  </si>
  <si>
    <t>Rupicapra rupicapra</t>
  </si>
  <si>
    <t>Club Internacional del Libro</t>
  </si>
  <si>
    <t>Variod sin desprecintar</t>
  </si>
  <si>
    <t>objetivo anastigmático, 127 v, portadiapositivas giratorio de dos unidades; caja metálica y asa transporte. lämpara 300 w (falta), cable red 290 cm, obj. ENOSAR 1:3,5, espejo reflector concentrador metálico, condensador de 3 lentes (2 plano convexas - en el de FQ falta una-, 1 biconvexa) más vidrio acalórico.</t>
  </si>
  <si>
    <t>Colección 253  diapositivas "Diccionario Visual de Términos Geográficos"</t>
  </si>
  <si>
    <t>1997</t>
  </si>
  <si>
    <t>San Sebastían de los Reyes</t>
  </si>
  <si>
    <t>Colección 408 diapositivas "Geografía de España"</t>
  </si>
  <si>
    <t>Colección 72 diapositivas "Geografía del Mundo"</t>
  </si>
  <si>
    <t>Colección 240 diapositivas "Geografía General"</t>
  </si>
  <si>
    <t>Las Matas</t>
  </si>
  <si>
    <t>Colección 240 diapositivas "Geografía"</t>
  </si>
  <si>
    <t>Archivador-estuche de 4 anillas-carpeta cierres clip, en plástico burdeos. 32,5x27,5x4,5 cm. Autor: Sergio Jiménez Suárez. Incluye la guía didáctica con descripción de todos los términos. Diuapositivas con marquitos de plástico, con descripción, nº y flecha de orientación impresos. Diapositivas en 13 fundas de plástico de 20 diapositivas cada uno.</t>
  </si>
  <si>
    <t>Colección 158 diapositivas "Was möchfen Si wissen?"</t>
  </si>
  <si>
    <t>Archivador de plástico verde, con 11 fundas clasificadoras de plástico con 158 diapositivas marquito plástico, cinta casette (falta una) y gruía didáctica</t>
  </si>
  <si>
    <t>Estuche sin anillas y con cierres clip, en plástico rojo, de 27,5x19x6 cm, con 10 carpetas de cartón, incluyendo cada una la Guía Didáctica (8 con cuadernillo de 6 páginas y 2 utlilizando la contraportada a modo de cuadríptico) así como 2 fundas clasificadoras de plástico para 12 diapositivas. 1- Europa: geografía física. 2- Europa, geografía humana. 3- Antigua URSS: geografía descriptiva. 4- Asia: geografía física. 5- Asia: geografía humana. 6- África: geografía física. 7- África: geografía humana. 8- América: geografía física. 9- América: geografía humana. 10- Oceanía y los Polos.</t>
  </si>
  <si>
    <t xml:space="preserve">Archivador de 4 anillas, en plástico verde oscuro, de 32,5x26x6,5 cm, con 24 ffundas clasificadoras de plástico para 12 diapositivas cada una, incluyendo  la gúia didáctica en formato A5, en cartulina gris (falta la primera). </t>
  </si>
  <si>
    <t xml:space="preserve">Archivador de 4 anillas, en plástico rojo burdeos, de 32,5x26x6,5 cm, con 20 fundas clasificadoras de plástico para 12 diapositivas cada una;  gúia didáctica desaparecida. </t>
  </si>
  <si>
    <t xml:space="preserve">Archivador de 4 anillas, en plástico verde oscuro, de 32,5x26x6,5 cm, con 34 fundas clasificadoras de plástico para 12 diapositivas cada una, incluyendo  la gúia didáctica en formato A5, en cartulina beige. Colección original de     pero faltan 108, que fueron, literalment, tiradas a la basura en torno a 2015... </t>
  </si>
  <si>
    <t>Colección 180 diapositivas "Geografía Descriptiva"</t>
  </si>
  <si>
    <t>Ancora audiovisual S.A.</t>
  </si>
  <si>
    <t>Colección 145 diapositivas "Historia del Arte Español"</t>
  </si>
  <si>
    <t>Archivador en plástico blanco, con dos anillas, de 24x24x5,5 cm, cuadernillo de guía didácticas ausente, y 15 fundas clasificadores de plástico, de 12 diapositivas cada una.</t>
  </si>
  <si>
    <t>Archivador en plástico blanco, con dos anillas, de 24x24x5,5 cm, con cuadernillo de guía didácticas de 18 pág., y 20 fundas clasificadores de plástico, una por tema, de 12 diapositivas cada una, pero faltan 95 diapositivas.</t>
  </si>
  <si>
    <t>Colección 140 diapositivas "Historia del Arte Universal I"</t>
  </si>
  <si>
    <t>Colección 153 diapositivas "Historia del Arte Universal II"</t>
  </si>
  <si>
    <t>Archivador en plástico blanco, con dos anillas, de 24x24x5,5 cm, con cuadernillo de guía didáctica, y 15 fundas clasificadoras de plástico, de 12 diapositivas cada una, pero faltan 95 diapositivas.</t>
  </si>
  <si>
    <t>Archivador en plástico blanco, con dos anillas, de 24x24x5,5 cm, sin el cuadernillo de guía didácticas, y 17 fundas clasificadoras de plástico de 12 diapositivas cada una, pero faltan 64 diapositivas.</t>
  </si>
  <si>
    <t>Archivador en plástico blanco, con dos anillas, de 24x24x5,5 cm, con cuadernillo de guía didáctica, y 13 fundas clasificadoras de plástico, de 12 diapositivas cada una, pero faltan 15 diapositivas.</t>
  </si>
  <si>
    <t>Colección 141 diapositivas "Historia del Arte Universal II"</t>
  </si>
  <si>
    <t>Entrada 1 y 2</t>
  </si>
  <si>
    <t>Meles meles (= taxus)</t>
  </si>
  <si>
    <t>Lutra  lutra (= vulgaris)</t>
  </si>
  <si>
    <t>Hyaena hyaena (= striata, = vulgaris)</t>
  </si>
  <si>
    <t>Genetta genetta (= G. vulgaris)</t>
  </si>
  <si>
    <t>Capra ibex (= C. pyraenaica, hispanicus) hispanicus; (=Ibex hispanicus)</t>
  </si>
  <si>
    <t>Felis (= Panthera) tigris</t>
  </si>
  <si>
    <t>Lemur mongor (= L. mongos)</t>
  </si>
  <si>
    <t>Bradypus tridactilus (= B. torquatus)</t>
  </si>
  <si>
    <t>Reichert-Wien</t>
  </si>
  <si>
    <t>Microscopio adquirido por el catedrático Ochoa MonzónMod. 1885, Nº 3446, con inscripción Reichert-Wien. Latón, pie esmaltado negro, basculante, espejo, condensador con difragma de cortinilla, portafiltros, macroenfoque mediante sistema de piñón y cremallera, y microenfoque mediante el tornillo micrométrico en la parte superior del brazo, platina circular con ajuste lateral, revolver 3 objetivos + 3 intercambiables, 5 oculares, 2 cajas portaoculares, 6 recipientes de latón para las ópticas intercambiables, caja-estuche de madera con, llave. 4ª, importado y vendido por “Baldomero Martín”, c/ Reyes Católicos, 18, Granada,</t>
  </si>
  <si>
    <t>Con gancho y regulable en altura, pie redondo, 18x52, Secretan 1862, nº 2161, fig 196, reutilizado para exposición del modelo clástico de mariposa de la seda</t>
  </si>
  <si>
    <t xml:space="preserve">  (Vanadato de Pb) Cedido por Miguel A. a través de José Morales</t>
  </si>
  <si>
    <t>Tronco vegetal fósil. Se puede apreciar en su parte superior, la presencia de una hoja: simple, aovada, puntiaguda, con el borde serrado, no se observa la característica asimetría basal de los olmos.</t>
  </si>
  <si>
    <t>Pinctata (=Pinctada) maxima</t>
  </si>
  <si>
    <t>Expositor malacología grandes formas</t>
  </si>
  <si>
    <t>Colección 12 diapositivas "El Mercado común Europeo"</t>
  </si>
  <si>
    <t>Marquitos de plástico serigrafiado, en cuadernillo rústica de 24,5x17 cm, con guía didáctica de 4 pág.,Perteneciente a la colección series temáticas de geofrafía del mundo, nº 31.115</t>
  </si>
  <si>
    <t>San Sebastián de los Reyes</t>
  </si>
  <si>
    <t>Colección 36 diapositivas "Geografía de Andalucía" Carpeta I</t>
  </si>
  <si>
    <t>Colección 36 diapositivas "Geografía de Andalucía" Carpeta II</t>
  </si>
  <si>
    <t>"Clima, agricultrura, ganadería, pesca, minería e industria". Marquitos de plástico serigrafiado, en carpeta de plástico rojo, de 25,5x18x2 cm, con cuadernillo, en rústica, de guía didáctica, de 4 pág.</t>
  </si>
  <si>
    <t>"Situación, Límites, orografía e hidrografía". Marquitos de plástico serigrafiado, en carpeta de plástico rojo, de 25,5x18x2 cm, con cuadernillo, en rústica, de guía didáctica, de 4 pág.</t>
  </si>
  <si>
    <t>Colección 36 diapositivas "Geografía de Andalucía" Carpeta III</t>
  </si>
  <si>
    <t>"Comercio, turismo, población, fiestas y tradiciones". Marquitos de plástico serigrafiado, en carpeta de plástico rojo, de 25,5x18x2 cm, con cuadernillo, en rústica, de guía didáctica, de 4 pág.</t>
  </si>
  <si>
    <t>Colección 470 diapositivas "Geografía humana y económica"</t>
  </si>
  <si>
    <t>MEC Servicio de Publicaciones</t>
  </si>
  <si>
    <t>40 hojas-archivador de plástico, con dispositivo para colgar en cajón archivador; marquitos en cartón; cada hoja incluye tarjetón con guía descriptiva (faltan 2). Colección de 480 pero falta 10.</t>
  </si>
  <si>
    <t>Libro "El Francés por la Imagen" para 2º de Bachillerato</t>
  </si>
  <si>
    <t>1968</t>
  </si>
  <si>
    <t>Ediciones Daimon</t>
  </si>
  <si>
    <t>Autores: Miguel Azara y Ramiro de Sas-Morias. Rústica, 192 pág., 21,5x16x1 cm, Manuel Tamayo editor. Incluye el programa de ña Lengua Francesa, de 8 pág.</t>
  </si>
  <si>
    <t>Jennifer Cornish Media</t>
  </si>
  <si>
    <t>Vídeo "Australia a través del arrecife"</t>
  </si>
  <si>
    <t>Vídeo "Los volcanes de Europa"</t>
  </si>
  <si>
    <t>2000</t>
  </si>
  <si>
    <t>Ed. S.A.V.</t>
  </si>
  <si>
    <t>Perteneciente a la colección "Maravillas de Europa" (nº 3). Con estuche y carátula originales</t>
  </si>
  <si>
    <t>Papel de examen del "Instituto Bachillerato Padre Suárez"</t>
  </si>
  <si>
    <t>Con logo de la Junta de Andalucía (anterior LOGSE), encabezamiento para datos personales y margen a la izda.</t>
  </si>
  <si>
    <t>Caja 26 diapositivas "P.N. Sierra de Ándujar"</t>
  </si>
  <si>
    <t>Caja 29 diapositivas "P.N. Doñana"</t>
  </si>
  <si>
    <t>Elaboradas en el ámbito de un Seminario Permanete de Medioambiente. Película Kodak con marquitos de plástico.</t>
  </si>
  <si>
    <t>Elaboradas en el ámbito de un Seminario Permanete de Medioambiente. Película Agfachrome con marquitos de plástico.</t>
  </si>
  <si>
    <t>Colección 8 diapositivas "Fotosíntesis", sin marca</t>
  </si>
  <si>
    <t>Cuadernillo colección  diapositivas "Anatomía y Organografía animal y vegetal"</t>
  </si>
  <si>
    <t>Cuadernillos de dos colecciones de diapositivas</t>
  </si>
  <si>
    <t>Cuadernillo de 6 páginas, mecanografiadas, de 15,5x10,5, grapadas. Editado por la Comisaróa de Extensión Cultural del Ministerio de Educación</t>
  </si>
  <si>
    <t>Dimensiones: 13,5x10 cm, en rústica grapada. Pertenecientes a "El vuelo de las aves" y "Los animales voladores"</t>
  </si>
  <si>
    <t>Colección 3 diapositivas "Paisaje urbano", Kodachrome Transparency</t>
  </si>
  <si>
    <t>Colección 9 diapositivas "Tejidos animales" 1ª y 2ª series</t>
  </si>
  <si>
    <t>Marquito de plástico, en caja archivador metálico</t>
  </si>
  <si>
    <t>Colección 170 diapositivas "Histología animal y vegetal"</t>
  </si>
  <si>
    <t>Colección 20 diapositivas "Petrología microscópica"</t>
  </si>
  <si>
    <t>Marquitos de plástico b/n, sin serigrafiar, con etiquetas adhesivas, en caja archivador de plástico con tapa, de 18,5x11x5,5 cm. 10 diapositivas más 10 repetidas.</t>
  </si>
  <si>
    <t>Colección 7 diapositivas "Citología" (elaboración propia)</t>
  </si>
  <si>
    <t>Marquito de plástico marrón/blanco, en caja-archivador metálico.</t>
  </si>
  <si>
    <t>Colección 74 diapositivas "Citología"</t>
  </si>
  <si>
    <t>Marquitos de cartón de 5x5,5x3,5 cm, con diapositivas de celuloide, colección  incompleta de 74 diapositivas (originariamente 100). Sin serigrafias ni etiquetar, solo numeradas a mano. Expuestas en estuche metálico Martele gris, de 37x19x6 cm, junto a otras colecciones.</t>
  </si>
  <si>
    <t>Cuadernillos Colecciones diapositivas "Microfotografías"</t>
  </si>
  <si>
    <t>Dimensiones: 15x10 cm, de 10 a 21 pág.; en rústica grapada. Títulos: "Plumas, pelos y fibras", "Plancton", "Tejidos animales, 1ª y 2ª serie",  "Tejidos vegetales 1ª y 2ª serie", "Insectos" e "Invertebrados no insectos". Solo de los 3 primeros títulos hay diapositivas.</t>
  </si>
  <si>
    <t>Marquitos de cartón de 5x5,5x3,5 cm, con diapositivas de celuloide, 2 diapositivas pertenecen a la 1ª serie y las 7 restantes a la 2ª serie.  Expuestas en estuche metálico Martele gris, de 37x19x6 cm, junto a otras colecciones.</t>
  </si>
  <si>
    <t>1966</t>
  </si>
  <si>
    <t>Fotografía alumnos 6º Bachilletaro con sus profesores</t>
  </si>
  <si>
    <t>Fotografía con paspartú, con los alumnos de 6º de Bachillerato en 1954, con sus profesores y, en el centro de ellos, el director D. Fernando Mascaró</t>
  </si>
  <si>
    <t>Román Roldán, Ramón</t>
  </si>
  <si>
    <t>Antiguo alumno de 6º de bachillerato en 1954 (636968083)</t>
  </si>
  <si>
    <t>Fotografía Claustro de profesores</t>
  </si>
  <si>
    <t>Fotografía con paspartú, del Claustro de profesrores y, en el centro de ellos, el director D. Fernando Mascaró</t>
  </si>
  <si>
    <t>En un portadocumentos de plástico, en el despacho</t>
  </si>
  <si>
    <t>¿Dónde está el original?</t>
  </si>
  <si>
    <t>Autora: Mª Teresa Beato; en archivador de plástico azul, con 4 anillas, de 23,5x21,5x3,5 cm, con 15 hojas de plástico de 12 diapositivas cada una, con marquitos de plástico. Sin guía didáctica.</t>
  </si>
  <si>
    <t>Ed. La Muralla S.A.</t>
  </si>
  <si>
    <t xml:space="preserve">Colección 180 diapositivas "Elementos de Biología 1" </t>
  </si>
  <si>
    <t xml:space="preserve">Colección 180 diapositivas "Elementos de Biología 2" </t>
  </si>
  <si>
    <t xml:space="preserve">Colección 276 diapositivas "Ciencias de la Naturaleza 2" </t>
  </si>
  <si>
    <t xml:space="preserve">Colección 276 diapositivas "Ciencias de la Naturaleza 1" </t>
  </si>
  <si>
    <t>Faltan 32</t>
  </si>
  <si>
    <t>En archivador de plástico blanco con 2 anillas, de 23,5x24x5 cm, con 23 hojas de plástico de 12 diapositivas cada una, con marquitos de plástico. Guía didáctica, de 40 pág., en rústica grapada.</t>
  </si>
  <si>
    <t>Colección 250 diapositivas "Ciencias Naturales 2: Biología"</t>
  </si>
  <si>
    <t>Faltan 34</t>
  </si>
  <si>
    <t>Temas: Geología, Zoología, Anatomía animal, Anatomía Humana y Botánica. En archivador de plástico azul  con 4 anillas, de 28,5x26,5x4,5 cm, con 27 hojas de plástico (faltan 2 de equinodermos) de 10 diapositivas cada una, con marquitos de plástico. Cada hoja archivador incluye su guía didáctica.</t>
  </si>
  <si>
    <t>Autor: Carlos Porras Pasamontes; 8 carpetas de cartulina en archivador de plástico, con tapa de solapas y clip, de 27x19x6 cm.de plástico de 12 diapositivas cada una, con marquitos de plástico: Ap. Locomotor humano, anatomía y fisiología de la nutrición, reproduccion animal y humana, órganos de relación humanos, las fanerógamas, la célula, los microbios, los insectos. Diapositivas con marquito de plástico blanco serigrafiado.24 diapositivas por carpeta.</t>
  </si>
  <si>
    <t>Madris</t>
  </si>
  <si>
    <t>Colección 192 diapositivas "Biología" EGB.</t>
  </si>
  <si>
    <t>Autor: Dimas Fernández Galiano; en archivador de plástico, con 4 anillas, de 31x28x6 cm., incluye 20 hojas-archivo de plástico, de 20 diapositivas cada una plástico de 12 diapositivas cada una, con marquitos de cartón serigrafiados. Acompañado de guía didáctica de 52 pág. en rústica.</t>
  </si>
  <si>
    <t>Falta 1</t>
  </si>
  <si>
    <t xml:space="preserve">Colección 400 diapositivas "Ciencias Naturales 1º BUP" </t>
  </si>
  <si>
    <t xml:space="preserve">Colección 40 diapositivas "Microscopia" </t>
  </si>
  <si>
    <t>Autor: Laboratorio de Microscopia de Nublat (Caen, Francia); en archivador de plástico blanco, con 4 anillas, de 32x24,5x2 cm., incluye 2 hojas-archivo de plástico, de 20 diapositivas de plástico cada una, con etiquetas. Acompañado de guía didáctica de 48 pág. en rústica, de 21x15 cm., con fotos a color.</t>
  </si>
  <si>
    <t>Eurociencia</t>
  </si>
  <si>
    <t>Colección 40 diapositivas con microfotografías</t>
  </si>
  <si>
    <t xml:space="preserve">Colección 120 diapositivas "Microfotografías" </t>
  </si>
  <si>
    <t>Faltan 27</t>
  </si>
  <si>
    <t>Colección 24 diapositivas , "Las rocas", EGB</t>
  </si>
  <si>
    <t>De la colección Series Temáticas. Autor: Carlos Porras Pasamontes; carpetas de cartulina tetríptico, con hoja de plástico-para el archivo de 24 diapositivas con marquitos de plástico.. Se acompañla de guía didáctica en las solapas plegables de la carpeta.</t>
  </si>
  <si>
    <t>Colección 191 diapositivas para 2ª etapa de EGB</t>
  </si>
  <si>
    <t xml:space="preserve">Colección 420 diapositivas "Anatomía y fisiología, socorrismo y 1ª auxilios"         </t>
  </si>
  <si>
    <t>Colección Documentos temáticos BUP. Autor: desconocido; en archivador de plástico marrón, de 4 anillas, de 35,5x26x6 cm, con 23 hojas-archivo de plástico, para 420doapositivas de marquito de cartón serigrafiado. Con hojas intercaladas a modo de guía didáctica.</t>
  </si>
  <si>
    <t>Faltan 7</t>
  </si>
  <si>
    <t>Colección 24 diapositivas  "Energías 2: Las nuevas Energías en España"</t>
  </si>
  <si>
    <t>De la colección Energías. Autor: Centro de Estudios de la Energía; carpeta de cartulina, con hoja-archivador de plástico para 24 diapositivas con marquitos de plástico blanco. Se acompañla de guía didáctica de 28 pág. en rústica.</t>
  </si>
  <si>
    <t>Minist. Ind. y Energía, y MEC,</t>
  </si>
  <si>
    <t xml:space="preserve">Marquitos de cartón; anatomía extremidades vertebrados, en caja de cartón </t>
  </si>
  <si>
    <t>Colección 24 diapositivas  "Energías 1: El ahorro de energía en España"</t>
  </si>
  <si>
    <t>Colección 24 diapositivas  "Energías 3: El problema energético en España"</t>
  </si>
  <si>
    <t>Colección 36 diapositivas "nº 48: Mineralogía I - Cristalografía"</t>
  </si>
  <si>
    <t>Colección 36 diapositivas "nº 49: Mineralogía I - Clases 1 a 5"</t>
  </si>
  <si>
    <t>Colección 36 diapositivas "nº 50: Mineralogía I - Clases 6 a 9"</t>
  </si>
  <si>
    <t>Colección 36 diapositivas "nº 51: Petrología I - Rocas Endógenas"</t>
  </si>
  <si>
    <t>Colección 36 diapositivas "nº 52: Petrología II - Rocas Sedimentarias y Metamórficas"</t>
  </si>
  <si>
    <t>Colección 36 diapositivas "nº 53: Geodinámica externa"</t>
  </si>
  <si>
    <t>Colección 36 diapositivas "nº 54: Geodinámica interna"</t>
  </si>
  <si>
    <t>Colección 36 diapositivas "nº 55: Geología Histórica I - Arcaico y era 1ª"</t>
  </si>
  <si>
    <t>Colección 36 diapositivas "nº 56: Geología Histórica II - Era 2ª"</t>
  </si>
  <si>
    <t>Colección 36 diapositivas "nº 57: Geología Histórica II - Eras 3ª y 4ª"</t>
  </si>
  <si>
    <t>Colección 10 transparencias-acetato  B 2-01.01</t>
  </si>
  <si>
    <t xml:space="preserve">Colección 10 transparencias-acetato  B 1-01.01 </t>
  </si>
  <si>
    <t>Colección 10 transparencias-acetato  Z 1-01.05</t>
  </si>
  <si>
    <t xml:space="preserve">Colección 10 transparencias-acetato  B 2-01.03 </t>
  </si>
  <si>
    <t>Colección 10 transparencias-acetato  B 2-01.02</t>
  </si>
  <si>
    <t>Colección 10 transparencias-acetato  A2389+A2384</t>
  </si>
  <si>
    <t xml:space="preserve">Colección 10 transparencias-acetato  F 2-01.02 </t>
  </si>
  <si>
    <t>Mesa Visuales</t>
  </si>
  <si>
    <t>Mesa visuales</t>
  </si>
  <si>
    <t>Instrumento de dibujo para el encerado, de madera de haya, con semicírculo metálico, de latón, con escala de gradiación, longitud brazo:… para tizas prismáticas (cuadradas) antiguas</t>
  </si>
  <si>
    <t>Colección ... diapositivas Geología y Biología de J.A. Gallegos</t>
  </si>
  <si>
    <t>Colección 7 placas fotográficas (negativos contacto): escenas urbanas y antiguo Instituto Provincial</t>
  </si>
  <si>
    <t>Curso radiofónico-casetes, de alemán "Auf Deutsch gesagt"</t>
  </si>
  <si>
    <t>Tres estuches, con guía didáctica, para 5 casetes cada uno</t>
  </si>
  <si>
    <t>Vídeos VHS en sus estuches correspondientes: nº 2: La célula viva: ADN; nº 4: Introducción a la célula viva; nº 12: El ciclo de las rocas; nº 13: Rocas que se originan bajo la tierra.</t>
  </si>
  <si>
    <t>En acetato. Carpeta, medidas…</t>
  </si>
  <si>
    <t>Colección CCNN-Geología. Autor: Luis Fdo. Aparicio Martínez. En carpeta de plástico beige de 25x18x2 cm, con 3 hojas-archivo de plástico de 12 diapositivas cada una. Incluye guía didáctica de 28 pág. en rústica.</t>
  </si>
  <si>
    <t>Colección 15 negativos de contacto: escenas urbanas y familiares</t>
  </si>
  <si>
    <t>Faltan 2 diapositivas</t>
  </si>
  <si>
    <t>Diapositivas en vidrio de 8,2 x 8,2  cm, en 12 en cajas-estuches de cartón.</t>
  </si>
  <si>
    <t>Estuches-cajas de cartón para diapositivas de vidrio</t>
  </si>
  <si>
    <t>Estuches-cajas de cartón de color…, de …x…x… cm</t>
  </si>
  <si>
    <t>Con tapa abisagrada y llave, para guardar las cajas de diapositivas de 8,2x8,2 cm</t>
  </si>
  <si>
    <t>Esteva Marata, Barcelona; E. Mazo, París; Keystone view company, London.</t>
  </si>
  <si>
    <t>1890-1905</t>
  </si>
  <si>
    <t>Diapositivas en vidrio 8,5 x 10. Diversos temas naturales</t>
  </si>
  <si>
    <t>Colección 101 Placas Epidoscópicas-Diapositivas en vidrio</t>
  </si>
  <si>
    <t>Colección 40 Placas Epidoscópicas-Diapositivas de vidrio ¿temática?</t>
  </si>
  <si>
    <t>Colección 30 Placas Epidoscópicas-Diapositivas “Le jardín del plantes” (zoologico)</t>
  </si>
  <si>
    <t>Colección 96 Placas Epidoscópicas-Diapositivas de vidrio ¿desglosar por temática?</t>
  </si>
  <si>
    <t>Colgados en la pared, para exposición 101 Placas Epidoscópicas-Diapositivas de vidrio 8,5 x 10 cm</t>
  </si>
  <si>
    <t>Estuches-cajas de cartón de color…, de …x…x… cm, para 8 diapositivas de vidrio de …x… cm cada uno.</t>
  </si>
  <si>
    <t>Tamaño …x…; en cajas-estuches de cartón</t>
  </si>
  <si>
    <r>
      <t xml:space="preserve">Colección 8 filminas en rollos </t>
    </r>
    <r>
      <rPr>
        <sz val="12"/>
        <color rgb="FFFF0000"/>
        <rFont val="Arial"/>
        <family val="2"/>
      </rPr>
      <t xml:space="preserve"> ¿cuántos rollos?</t>
    </r>
  </si>
  <si>
    <r>
      <t xml:space="preserve">Colección 10 filminas en rollos  </t>
    </r>
    <r>
      <rPr>
        <sz val="12"/>
        <color rgb="FFFF0000"/>
        <rFont val="Arial"/>
        <family val="2"/>
      </rPr>
      <t>¿cuántos rollos?</t>
    </r>
  </si>
  <si>
    <r>
      <t xml:space="preserve">ESTUCHES, CAJAS Y MALETINES ACCESORIOS: </t>
    </r>
    <r>
      <rPr>
        <b/>
        <sz val="12"/>
        <color rgb="FFFF0000"/>
        <rFont val="Arial"/>
        <family val="2"/>
      </rPr>
      <t>¡TRASLADAR AQUÍ TODAS LAS CAJAS DIAPOSITIVAS…!</t>
    </r>
  </si>
  <si>
    <t>Lepidóptero</t>
  </si>
  <si>
    <t>García Barroso, Antonio José</t>
  </si>
  <si>
    <t>Pte. Asoc. Vecinos "Los Neveros" 636144428</t>
  </si>
  <si>
    <t>Graphium doson</t>
  </si>
  <si>
    <t>Entre vitrinas antiguas. Muy extendida y común: India, Sri Lanka, Myanmar, Loas, Camboya, China, Taiwán, Corea, Vietman, Japón, Filipinas, Malasia occidental, Sumatra, Borneo, Sulawesi y Java.</t>
  </si>
  <si>
    <t>Danaus genutia</t>
  </si>
  <si>
    <t>Tigre común</t>
  </si>
  <si>
    <t>Graphium sarpedum</t>
  </si>
  <si>
    <t>Botella o triándulo azul</t>
  </si>
  <si>
    <r>
      <rPr>
        <i/>
        <sz val="10"/>
        <rFont val="Arial"/>
        <family val="2"/>
      </rPr>
      <t>Arrendajo</t>
    </r>
    <r>
      <rPr>
        <sz val="10"/>
        <rFont val="Arial"/>
        <family val="2"/>
      </rPr>
      <t xml:space="preserve"> común</t>
    </r>
  </si>
  <si>
    <t>Papilo demoleus</t>
  </si>
  <si>
    <t>Cola de golondrina común</t>
  </si>
  <si>
    <t>Vindula arsinoe</t>
  </si>
  <si>
    <t>Graphium agamemnon</t>
  </si>
  <si>
    <t>Crucero</t>
  </si>
  <si>
    <r>
      <rPr>
        <i/>
        <sz val="10"/>
        <rFont val="Arial"/>
        <family val="2"/>
      </rPr>
      <t>Arrendajo</t>
    </r>
    <r>
      <rPr>
        <sz val="10"/>
        <rFont val="Arial"/>
        <family val="2"/>
      </rPr>
      <t xml:space="preserve"> de cola</t>
    </r>
  </si>
  <si>
    <t>Pachliopta aristolochiae</t>
  </si>
  <si>
    <t>Rosa común</t>
  </si>
  <si>
    <t>Arácnido</t>
  </si>
  <si>
    <t>Miriápodo</t>
  </si>
  <si>
    <t>Plamnaeus fulvipes</t>
  </si>
  <si>
    <t>Escorpión gigante del bosque</t>
  </si>
  <si>
    <t>Vitrina antigua dcha.</t>
  </si>
  <si>
    <t xml:space="preserve">Expuesto en cuadro de 17,5x14,5 cm, con marco de madera negra. Se distribuye en selvas tropicales del Sudeste de Asia. Los síntomas de envenenamiento son bastante leves (dolores e inflamación con una duración de horas) y no se conocen víctimas humanas. Las plantas medicinales tailandesas se utilizan como antídotos para calmar las picaduras de este escorpión. </t>
  </si>
  <si>
    <t>Expuesta en cuadro de 53x15 cm, con marco de madera negro. Es una de las especies orientales más extendidas y comunes: India, Sri Lanka, Myanmar, Loas, Camboya, China, Taiwán, Corea, Vietman, Japón, Filipinas, Malasia occidental, Sumatra, Borneo, Sulawesi y Java.</t>
  </si>
  <si>
    <t>Expuesta en cuadro de 53x15 cm, con marco de madera negro. Se distribuye por toda la India, Sri Lanka , Myanmar y hasta el sudeste asiático y Australia (excepto Nueva Guinea )</t>
  </si>
  <si>
    <t>Expuesta en cuadro de 53x15 cm, con marco de madera negro. Nativa del sur y sureste de Asia, así como el este de Australia.</t>
  </si>
  <si>
    <t>Expuesta en cuadro de 53x15 cm, con marco de madera negro.  Es quizás la cola de golondrina más ampliamente distribuida en el mundo: toda Asia y Oriente Medio</t>
  </si>
  <si>
    <t>Expuesta en cuadro de 53x15 cm, con marco de madera negro.Sudeste asiático hasta Australia</t>
  </si>
  <si>
    <t>Expuesta en cuadro de 53x15 cm, con marco de madera negro. Toda Asia hasta Australia</t>
  </si>
  <si>
    <t>Expuesta en cuadro de 53x15 cm, con marco de madera negro. Muy extendida en el sur y sudeste asiático</t>
  </si>
  <si>
    <t>Vídeos  "Desafíos de la Vida"; BBC Enterpries</t>
  </si>
  <si>
    <t>Vídeos VHS, con sus estuches y carátulas originales; guía didáctica no disponibles. Originales de la BBC Wurld Wide Publishing. Narrados y presentados por David Attenborough. Volúmenes existente:  1-El primer desafío, nacer. 2- La aventura de crecer. 6- Los arquitectos de la Naturaleza. 7- Son distintos, pero conviven. 8- La lucha por la vida. 9- Amigos y rivales. 10- El secreto de la comunicación. 12- Perpetuar la especie. 13- Una variedad infinita. 14- La evolución de la voda. 15- Los primeros bosques. 16- Un ejército invencible. 17- La conquista de las aguas. 18- Los conquistadores de la Tierra. 20- Los reyes del aire. 21- La conquista de los mamíferos. 22- Temas y variaciones. 24- La vida en los árboles. 26- El planeta vivo. 28- Las selvas del norte. 29- La selva tropical. 30- Mares de hierba. 31- El desierto ardiente. 34- Mundos de barro y arena. 35- Los últimos paraísos. 36- El reino de los océanos.</t>
  </si>
  <si>
    <t>Vídeo "Grandes curiosidades naturales I y II"</t>
  </si>
  <si>
    <t>Vídeo VHS con su estuche y carátula original</t>
  </si>
  <si>
    <t>Ediciones s.a.u.</t>
  </si>
  <si>
    <t>Vídeo VHS con su estuche y carátula original. Duración 55 min. Nacionalidad: Francia</t>
  </si>
  <si>
    <t>Vídeo "Archipiélagos de ensueño"</t>
  </si>
  <si>
    <t>Vídeos "El Planeta Milagroso"</t>
  </si>
  <si>
    <t>Ed. Video Color 48</t>
  </si>
  <si>
    <t>Vídeo VHS con su estuche y carátula original. Duración 60 min. Coproducción TVE-NHK. 12 capítulos. 1- Al principio el tercer planeta. 2- El enfriamiento de la Tierra. 3- El origen del oxígeno. 4- La aparición de la vida. 5- La formación de los continentes. 6- Los bosques. 7- La desaparicion de los dinosaurios.- 8 Los glaciares. 9- Los desiertos. 10- Los volcanes. 11- La atmósfera. 12- La Tierra se queja.</t>
  </si>
  <si>
    <t>Vídeo "Maga Geológico de España: MAGNA 1971-2003"</t>
  </si>
  <si>
    <t>Ministerio Ciencia y Tecnología</t>
  </si>
  <si>
    <t>Vídeo VHS con su estuche y carátula original. Duración 20 min.Autor: IGME. Escala 1:50.000</t>
  </si>
  <si>
    <t>Vídeo "Las proteinas"</t>
  </si>
  <si>
    <t>Vídeo VHS con su estuche y carátula original. Duración 20 min. Títulño original: "Cycles of life: Proteins building blocks af life"</t>
  </si>
  <si>
    <t>Ed. San Pablo Video</t>
  </si>
  <si>
    <t>Vídeo VHS con estuche y carátula original; promocional de Argentaria, duración: 60 min., autor: Davod Hannan, con estuche y carátula original.</t>
  </si>
  <si>
    <t>Vídeo "El tubo inteligente"</t>
  </si>
  <si>
    <t>Janssen Farmacéutica</t>
  </si>
  <si>
    <t>Vídeo "El cortafuegos: el fuego rompe el ciclo de la vida"</t>
  </si>
  <si>
    <t>Vídeo VHS con su estuche (de cartón 21,5x15,5x3 cm) y carátula original. En él se describe la patología de la motilidad intestinal.</t>
  </si>
  <si>
    <t>Ministerio Medio Ambiente</t>
  </si>
  <si>
    <t>Vídeo VHS con su estuche y carátula original. Parte de una campaña escolar de prevención de incendios forestales y las bases e intruccionmes del juego "El cortafuegos"</t>
  </si>
  <si>
    <t>Vídeos "Curso de videofarmacia sobre quimioterapia e infección"</t>
  </si>
  <si>
    <t>Ed. Roussel</t>
  </si>
  <si>
    <t>Vídeos VHS con su estuche y carátula original. Autor: Soc. Española de Quimioterapia. 8 capítulos (falta el nº 2): 1- Infecciones y antimicrobianos. 2- Ausente. 3- Mecanismos de acción de antibióticos. 4- Infecciones respiratorias. 5- Infecciones del aparato urinario. 6- Infecciones del S.N.C. 7- Bacterias y sepsis. 8- Infecciones gastrointestinales.</t>
  </si>
  <si>
    <t>Vídeo "Programa de lucha contra los roedores"</t>
  </si>
  <si>
    <t>ATHISA</t>
  </si>
  <si>
    <t>. Autor: Andaluza de Tratamientos de Higiene S.A.Vídeo VHS con su estuche y carátula original. Parte de una campaña de prevención de plagas</t>
  </si>
  <si>
    <t>Vídeo "Programa de control contra los roedores"</t>
  </si>
  <si>
    <t>Diploma y medalla de oro, Exposición Universal de Barcelona de 1988</t>
  </si>
  <si>
    <t>125 v, objetivo 80 mm, dos interruptores: luz y ventilación. Marca Droll, mod. 68</t>
  </si>
  <si>
    <t>Droll</t>
  </si>
  <si>
    <t>Autor: desconocido; en archivador de plástico negro, con 4 anillas, de 34x26x4 cm., incluye 6 hojas-archivo de plástico, de 20 diapositivas de plástico b/n  cada una, con etiquetas redondas con la numeración. 82 diapositivas de BG (numeradas del 1 al 82, pero la nº 48 está la a y la b), y 10 diapositivas de petrología. Sin guía didáctica.</t>
  </si>
  <si>
    <t>Marquitos de plástico b/n, sin serigrafiar, con etiquetas adhesivas, en caja archivador de plástico con tapa, de 18,5x11x5,5 cm. 100 diapositivas más 70 repetidas. Nº reg. 2066/4251</t>
  </si>
  <si>
    <t>Guía didáctica de la "Colección de diapositivas de microfotografías" Phywe</t>
  </si>
  <si>
    <t>En rústica, de 226 pág. sin numerar, impresas a una cara: las 99 primeras diapositivas descritas corresponden a Histología Vegetal y Animal, y las últimas 10 son de petrología. Textos explicativos originales de Lieder</t>
  </si>
  <si>
    <t>PHYWE España S.A.</t>
  </si>
  <si>
    <t>En estuche de madera. Suministrado por Didacciencia S.A., Madrid. Incluye dos pág. A4, plastificadas, con el manual de uso (en archivador de plástico negro de 4 anillas).</t>
  </si>
  <si>
    <t>Estuche con 13 preparaciones microbiológicas</t>
  </si>
  <si>
    <t>Estuche con 10 preparaciones  de histología animal y vegetal</t>
  </si>
  <si>
    <t>Estuche con 9 preparaciones de histología animal y vegetal</t>
  </si>
  <si>
    <t>Estuche con 7 preparaciones diversas, del lab. De BG del Instituto</t>
  </si>
  <si>
    <t>Estuche con 19 preparaciones biológicas vegetal</t>
  </si>
  <si>
    <t>Estuche con 21 preparaciones microscopicas de F. Mascaró, botánica y zoología</t>
  </si>
  <si>
    <t>Estuche con 5 preparaciones microscópicas de microbilología,</t>
  </si>
  <si>
    <t>Estuche con 10 preparaciones  de  frotis de sangre.</t>
  </si>
  <si>
    <t>Estuche con 20 preparaciones microscópicas varias</t>
  </si>
  <si>
    <t>Estuche con 11 (¡no 15, la caja tiene capacidad para 12!) preparaciones de anatomía comparada.</t>
  </si>
  <si>
    <t>Estuche con 12 (¡no 15, la caja tiene capacidad para 12!) preparaciones de morfología vegetal.</t>
  </si>
  <si>
    <t>Estuche con 6 preparaciones anatomía animal, de García Sola y González Castro</t>
  </si>
  <si>
    <t>Estuche con 24  preparaciones microscópicas biológicas.</t>
  </si>
  <si>
    <t xml:space="preserve">Estuche con 1 preparación microscópica de Philloxera vast(r)atrix, individuos jóvenes. </t>
  </si>
  <si>
    <t>Estuche con 30 preparaciones microscópicas de histología animal</t>
  </si>
  <si>
    <t>Estuche con 15 preparaciones microscópicas de histología vegetal</t>
  </si>
  <si>
    <t>Estuche con 18 preparaciones microscópicas de histología animal</t>
  </si>
  <si>
    <t>Estuche colección 8 preparaciones microscópicas de animales pequeños</t>
  </si>
  <si>
    <t>Estuches colección 12 preparaciones microscópicas de órganos de insectos</t>
  </si>
  <si>
    <t>Estuches colección 9 preparaciones microscópicas de microorganismos</t>
  </si>
  <si>
    <t>Dos preparaciones antiguas sin identificar</t>
  </si>
  <si>
    <t>Estuche de 12 preparaciones microbiológicas diversas</t>
  </si>
  <si>
    <t>Manual del "Equipo Experimental de Microscopía"</t>
  </si>
  <si>
    <t>Archivador de plástico negro y 4 anillas, con 22 A4, plastificados) que recogen la descripción de 41 ejemplos de preparaciones microscópicas.</t>
  </si>
  <si>
    <t>Didacciencia S.A.</t>
  </si>
  <si>
    <t>Microfotografías en b/n</t>
  </si>
  <si>
    <t>Archivador de plástico marrón, de 4 anillas, con17 microfotografías en b/n impresas en 16 páginas de papel cuché. Autor: Jesús Vázquez.</t>
  </si>
  <si>
    <t>Ed. Universidad Navarra (EUNSA)</t>
  </si>
  <si>
    <t>Navarra</t>
  </si>
  <si>
    <t>Pamponla</t>
  </si>
  <si>
    <t>Autor: desconocido; sin archivador, solo 2 hojas-archivo en un portadocumentos, ambos de plástico, de 20 diapositivas de plástico, b/n, cada una, con etiquetas rectangulares  (nº y descripción). Sin guía didáctica.</t>
  </si>
  <si>
    <t xml:space="preserve">Neverita (=Polinices) duplicata </t>
  </si>
  <si>
    <t>Canarium (=Strombus) urceus</t>
  </si>
  <si>
    <t>Tritia (=Nassarius) reticulatus (=reticulata)</t>
  </si>
  <si>
    <t>Cristales rómbicos</t>
  </si>
  <si>
    <t>Heterobránquio</t>
  </si>
  <si>
    <t>Trivia monacha (=Trivia europaea)</t>
  </si>
  <si>
    <t>Spirula spirula (=Spirula laevis)</t>
  </si>
  <si>
    <t>Hysteroconcha diones (=Pitar dione)</t>
  </si>
  <si>
    <t>Flexopecten flexuosus (=Chlamys flexuosa)</t>
  </si>
  <si>
    <t>Ed. Hiares S.A.</t>
  </si>
  <si>
    <t>Faltan 23 diapositivas</t>
  </si>
  <si>
    <t>Colección 36 diapositivas "Egipto" de la Historia Universal del Arte y la Cultura, nº 3</t>
  </si>
  <si>
    <t>Colección 36 diapositivas "Mesopotamia, Persia y Asia Menor" de la Historia Universal del Arte y la Cultura, nº 4</t>
  </si>
  <si>
    <t>Faltan 12 diapositivas</t>
  </si>
  <si>
    <t>Colección 36 diapositivas "Los Habitantes del Mediterráneo OrientalMesopotamia, Persia y Asia Menor" de la Historia Universal del Arte y la Cultura, nº 5</t>
  </si>
  <si>
    <t>Colección 36 diapositivas "Los Helenos y su cultura" de la Historia Universal del Arte y la Cultura, nº 6</t>
  </si>
  <si>
    <t>Completo</t>
  </si>
  <si>
    <t>Faltan 10 diapositivas</t>
  </si>
  <si>
    <t>Colección 36 diapositivas "Clasicismo griego" de la Historia Universal del Arte y la Cultura, nº 7</t>
  </si>
  <si>
    <t>Faltan 11 diapositivas</t>
  </si>
  <si>
    <t>Colección 36 diapositivas "Helenismo" de la Historia Universal del Arte y la Cultura, nº 8</t>
  </si>
  <si>
    <t>Faltan 15 diapositivas</t>
  </si>
  <si>
    <t>Colección 36 diapositivas "La República Romana" de la Historia Universal del Arte y la Cultura, nº 9</t>
  </si>
  <si>
    <t>Faltan 9 diapositivas</t>
  </si>
  <si>
    <t>Colección 36 diapositivas "El Imperio Romano" de la Historia Universal del Arte y la Cultura, nº 10</t>
  </si>
  <si>
    <t>Faltan 6 diapositivas</t>
  </si>
  <si>
    <t>Colección 36 diapositivas "El Cristianismo y el Imperio Cristiano" de la Historia Universal del Arte y la Cultura, nº 11</t>
  </si>
  <si>
    <t>Faltan 14 diapositivas</t>
  </si>
  <si>
    <t>Colección 36 diapositivas "Europa desde el s. V al VIII" de la Historia Universal del Arte y la Cultura, nº 12</t>
  </si>
  <si>
    <t>Colección 36 diapositivas "La cultura bizantina" de la Historia Universal del Arte y la Cultura, nº 13</t>
  </si>
  <si>
    <t>Colección 36 diapositivas "Cultura y arte islámicos hasta el s.XIII" de la Historia Universal del Arte y la Cultura, nº 14</t>
  </si>
  <si>
    <t>Colección 36 diapositivas "La expansión del Islam desde el s XIII" de la Historia Universal del Arte y la Cultura, nº 15</t>
  </si>
  <si>
    <t>Colección 36 diapositivas "El feudalismo y la vida monástica" de la Historia Universal del Arte y la Cultura, nº 17</t>
  </si>
  <si>
    <t>Colección 36 diapositivas "La arquitectura románica" de la Historia Universal del Arte y la Cultura, nº 18</t>
  </si>
  <si>
    <t>Faltan 16 diapositivas</t>
  </si>
  <si>
    <t>Colección 36 diapositivas "Escultura y pintura románicas" de la Historia Universal del Arte y la Cultura, nº 18 b</t>
  </si>
  <si>
    <t>Faltan 5 diapositivas</t>
  </si>
  <si>
    <t>Colección 36 diapositivas "Las catedrales y el estilo gótico" de la Historia Universal del Arte y la Cultura, nº 20</t>
  </si>
  <si>
    <t>Colección 36 diapositivas "Formación de las ciudades. Las Universidades" de la Historia Universal del Arte y la Cultura, nº 19</t>
  </si>
  <si>
    <t>Faltan 35 diapositivas</t>
  </si>
  <si>
    <t>Colección 36 diapositivas "La escultura y la pintura góticas" de la Historia Universal del Arte y la Cultura, nº 21</t>
  </si>
  <si>
    <t>Faltan 19 diapositivas</t>
  </si>
  <si>
    <t>Colección 36 diapositivas "El ocaso de la Edad Media" de la Historia Universal del Arte y la Cultura, nº 22</t>
  </si>
  <si>
    <t>Colección 36 diapositivas "Los primitivos Italianos" de la Historia Universal del Arte y la Cultura, nº 23</t>
  </si>
  <si>
    <t>Faltan 7 diapositivas</t>
  </si>
  <si>
    <t>Colección 36 diapositivas "Los primitivos flamencos" de la Historia Universal del Arte y la Cultura, nº 24</t>
  </si>
  <si>
    <t>Faltan 17 diapositivas</t>
  </si>
  <si>
    <t>Colección 36 diapositivas "El Renacimiento" de la Historia Universal del Arte y la Cultura, nº 25</t>
  </si>
  <si>
    <t>Colección 36 diapositivas "El Quatroccento italiano" de la Historia Universal del Arte y la Cultura, nº 26</t>
  </si>
  <si>
    <t>Colección 36 diapositivas "Arte italiano del siglo XVI" de la Historia Universal del Arte y la Cultura, nº 27</t>
  </si>
  <si>
    <t>Faltan 30 diapositivas y carpeta rota</t>
  </si>
  <si>
    <t>Colección 36 diapositivas "Arte flamento del Renacimiento" de la Historia Universal del Arte y la Cultura, nº 28</t>
  </si>
  <si>
    <t>Colección 36 diapositivas "El Barroco en Italia" de la Historia Universal del Arte y la Cultura, nº 32</t>
  </si>
  <si>
    <t>Colección 36 diapositivas "El Barroco en Flandes e Italias" de la Historia Universal del Arte y la Cultura, nº 33</t>
  </si>
  <si>
    <t>Faltan 1 diapositivas</t>
  </si>
  <si>
    <t>Colección 36 diapositivas "El Barroco en los Países Bajos y Europa Central" de la Historia Universal del Arte y la Cultura, nº 34</t>
  </si>
  <si>
    <t>Faltan 3 diapositivas</t>
  </si>
  <si>
    <t>Faltan 1 diapositiva</t>
  </si>
  <si>
    <t>Colección 36 diapositivas "La Ilustración en Europa" de la Historia Universal del Arte y la Cultura, nº 35</t>
  </si>
  <si>
    <t>Colección 36 diapositivas "Arte Rococó y Neoclásico" de la Historia Universal del Arte y la Cultura, nº 36</t>
  </si>
  <si>
    <t>Faltan 4 diapositivas</t>
  </si>
  <si>
    <t>Colección 36 diapositivas "Artye del siglo XIX" de la Historia Universal del Arte y la Cultura, nº 39</t>
  </si>
  <si>
    <t>Colección 36 diapositivas "El Impresionismo" de la Historia Universal del Arte y la Cultura, nº 40</t>
  </si>
  <si>
    <t>Colección 36 diapositivas "Vida y Cultura del siglo XX" de la Historia Universal del Arte y la Cultura, nº 41</t>
  </si>
  <si>
    <t>Colección 36 diapositivas "Arquitectura del siglo XX" de la Historia Universal del Arte y la Cultura, nº 42</t>
  </si>
  <si>
    <t>Faltan 31 diapositivas</t>
  </si>
  <si>
    <t>Colección 36 diapositivas "Escultura del siglo XX" de la Historia Universal del Arte y la Cultura, nº 43</t>
  </si>
  <si>
    <t>Colección 36 diapositivas "Pintura del siglo XX - 1ª parte" de la Historia Universal del Arte y la Cultura, nº 44</t>
  </si>
  <si>
    <t>Faltan 21 diapositivas</t>
  </si>
  <si>
    <t>Colección 36 diapositivas "Pintura del siglo XX" de la Historia Universal del Arte y la Cultura, nº 45</t>
  </si>
  <si>
    <t>Colección 32 diapositivas "El Greco" de Grandes Maestros de la Pintura nº 1</t>
  </si>
  <si>
    <t>Archivador-estuche de plástico 22,5x24,5x2 cm, numerados en el lomo, con 3 hojas para archivar, cada una,12 diapositivas de marquito de plástico blanco serigrafiado con nº tomo, nº diap., y descripción. Incluye guía didáctica: 19 pág., rústica (cartiluna grapada), de 21x23 cm. Autores C. Porras, E. Ballesteros y Fco. Jiménez</t>
  </si>
  <si>
    <t>Archivador-estuche en plástico rojo, de 22x14,4x1,5 cm, con 4 hojas de plástico para 8 diapositivas cada una, con marquitos de plástico blanco serigrafiados. Guía didáctica de 28 páginas en rústica. Autor: Ernesto Ballesteros</t>
  </si>
  <si>
    <t>Colección 32 diapositivas "Murillo" de Grandes Maestros de la Pintura nº 5</t>
  </si>
  <si>
    <t>Colección 32 diapositivas "Goya" de Grandes Maestros de la Pintura nº 6</t>
  </si>
  <si>
    <t>Faltan 24 diapositivas</t>
  </si>
  <si>
    <t>Mesa de madera integrando un tablero pintado sobre la superficie superior y un cajón de doble apertura  que permite guardar las 32 piezas cuando no se utilizan. Adquirido siendo director Sanchez Diana</t>
  </si>
  <si>
    <t>1973</t>
  </si>
  <si>
    <t>Ministerio de Educación y Ciencia</t>
  </si>
  <si>
    <t>Colección 12 diapositivas "Cerámica española I: del Neolítico al s. I" de la serie "Arte en imágenes, nº 16"</t>
  </si>
  <si>
    <t>Colección 12 diapositivas "Arquitectura asturiana" de la serie "Arte en imágenes nº 13"</t>
  </si>
  <si>
    <t>Colección 12 diapositivas "Escultura Románica I: Catedral de Santiago de Compostela" de la serie "Arte en imágenes nº 10"</t>
  </si>
  <si>
    <t>Colección 12 diapositivas "José Gutiérrez Solana" de la serie "Arte en imágenes, nº 19"</t>
  </si>
  <si>
    <t>Colección 12 diapositivas "Arquitectura Hispano-Musulmana I: Córdoba" de la serie "Arte en imágenes, nº 21"</t>
  </si>
  <si>
    <t>Ninguna diapositiva</t>
  </si>
  <si>
    <t>Colección 12 diapositivas "Arquitectura del Renacimiento I: Salamanca" de la serie "Arte en imágenes, nº 24"</t>
  </si>
  <si>
    <t>Colección 12 diapositivas "Arquitectura Románica I: El Camino de Santiago" de la serie "Arte en imágenes, nº 25"</t>
  </si>
  <si>
    <t>Colección 12 diapositivas "Arte romano en el Museo de Cuenca"</t>
  </si>
  <si>
    <t>Carpetilla de cartulina, de 18x12x0,5 cm, con tríptico descriptivo incluido, con una hoja-archivador de plástico para 12 diapositivas, con marquito de cartón y serigrafiadas. Autor: Manuel Osuna Ruiz</t>
  </si>
  <si>
    <t>Carpetilla de cartulina, de 18x12x0,5 cm, con tríptico descriptivo incluido, con una hoja-archivador de plástico para 12 diapositivas, con marquito de cartón y serigrafiadas. Autora: Natividad Seseña Díez</t>
  </si>
  <si>
    <t>Colección 8 diapositivas "Santillana del Mar"</t>
  </si>
  <si>
    <t>Ed. Luher</t>
  </si>
  <si>
    <t>Carpetilla de plástico azul de 18x12x0,5 cm, con una hoja-archivador de plástico para 8 diapositivas, con marquito de cartón y serigrafiadas. García Garabella y Cia, S.L.</t>
  </si>
  <si>
    <t>Colección 180 diapositivas "Tomo I: Prehistoria a paleocristiano", del "Repertorio Básico de Arte"</t>
  </si>
  <si>
    <t>Archivador de plástico, simil piel, de 4 anillas, e incripciones doradas, de 29x26x5 cm, con hojas -archivadoras de plástico para 12 diapositivas, incluyendo guía descrptiva en cad una de ellas. Selklados por la biblioteca del Instituto Español en Tánger.</t>
  </si>
  <si>
    <t>Faltan 92 diapositivas</t>
  </si>
  <si>
    <t>Colección 208 diapositivas "Tomo II: Arte visigodo a gótico", del "Repertorio Básico de Arte"</t>
  </si>
  <si>
    <t>Faltan 138 diapositivas</t>
  </si>
  <si>
    <t>Colección 144 diapositivas "Tomo III: Renacimiento", del "Repertorio Básico de Arte"</t>
  </si>
  <si>
    <t>Faltan 64 diapositivas</t>
  </si>
  <si>
    <t>Colección 240 diapositivas "Tomo IV: Barroco y arte colonial", del "Repertorio Básico de Arte"</t>
  </si>
  <si>
    <t>Faltan 98 diapositivas</t>
  </si>
  <si>
    <t>Colección 252 diapositivas "Tomo V: Neoclásico-contemporáneo", del "Repertorio Básico de Arte"</t>
  </si>
  <si>
    <t>Faltan 56 diapositivas</t>
  </si>
  <si>
    <t>Colección 11 diapositivas "Geomorfología y Geología", 1ª serie</t>
  </si>
  <si>
    <t>Marquitos de cartón de 5x5,5x3,5 cm, con diapositivas de celuloide, de una colección de ... diapositivas (faltan las nº ...). Expuestas en estuche metálico Martele gris, de 37x19x6 cm con asa, junto a otras colecciones.</t>
  </si>
  <si>
    <t>Colección 30 diapositivas "El vuelo de las aves" EM-3/CNZ-10</t>
  </si>
  <si>
    <t>Colección 28 diapositivas "Rocas"</t>
  </si>
  <si>
    <t>Marquitos de cartón de 5x5,5x3,5 cm, con diapositivas de celuloide, de una colección  incompleta de ... diapositivas. En cada una se indica el nº, título de la diapositiva, nº de aumentos y el punto de referencia para la orientación en el proyector.  Expuestas en estuche metálico Martele gris, de 37x19x6 cm, junto a otras colecciones.</t>
  </si>
  <si>
    <t>Naturalizada con la cola hacia abajo, con lo que no hace honor a su nombre</t>
  </si>
  <si>
    <t>subarquata=pico ligeramente curvado; ferruginea=pecho color óxido de hierro</t>
  </si>
  <si>
    <t>Guadix</t>
  </si>
  <si>
    <t>Salamanquesa común joven, conservada en alcohol, de 6 cm de longitud (3 cuerpo+3 cola).</t>
  </si>
  <si>
    <t>Clanculus pharaonis</t>
  </si>
  <si>
    <t>Callopoma (= Turbo ) fluctuosus</t>
  </si>
  <si>
    <t>Antes clasificado como C. fluctuatus</t>
  </si>
  <si>
    <t>Antes clasificado como Canculus</t>
  </si>
  <si>
    <t>Realmente son 2 las monstruosidades, blancas: dos cabeza pero un  tronco y 6 patas, comparten un cuerpo pero no así las cabezas ni las patas traseras.</t>
  </si>
  <si>
    <t>¿Separación tardía del disco embrionario, endogamia, heterosis o "vigor híbrido"?</t>
  </si>
  <si>
    <t>Realmente son 2 las monstruosidades, negros: una cabeza, dos trondos, 8 patas. ¿Separación tardía del disco embrionario, endogamia, heterosis o "vigor híbrido"?</t>
  </si>
  <si>
    <r>
      <t xml:space="preserve">En la parte inferior de la peana está la fecha de </t>
    </r>
    <r>
      <rPr>
        <b/>
        <sz val="10"/>
        <rFont val="Arial"/>
        <family val="2"/>
      </rPr>
      <t>1745: p</t>
    </r>
    <r>
      <rPr>
        <sz val="10"/>
        <rFont val="Arial"/>
        <family val="2"/>
      </rPr>
      <t>odemos considerarlo el elemento más antiguo del Museo; puede ser que proceda de colecciones antiguas del Colegio  San Bartolomé y Santiago, consecuencia de las desamortizaciones (Madoz o Mendizábal).</t>
    </r>
  </si>
  <si>
    <t>Gato vivérrido-mamóreo o leopado enano</t>
  </si>
  <si>
    <t>Felis mitis (= mytis)</t>
  </si>
  <si>
    <t>Sección del tórax de un trilobites de gran tamaño, unos 30-40 cm, del Cámbrico, con los  segmentos no fulcrados, que terminarían en sus espinas pleurales (aunque no están en el ejemplar), que dificultarían que el animal se enrollase.</t>
  </si>
  <si>
    <t>Hervás Sánchez, José Gregorio</t>
  </si>
  <si>
    <t>Médico nefrólogo, exalumno del IES Padre Suárez</t>
  </si>
  <si>
    <t>Tratado Elemental de Agricultura</t>
  </si>
  <si>
    <t>Ed. Voluntad S.A.</t>
  </si>
  <si>
    <t xml:space="preserve">Autor: Daniel Nagore Nagore (Ingeniero Agrónomo), libro de texto para institutos de 2ª enseñanza: año común del bachillerato universitario. Primer propietario JQS (iniciales en lomo):, último propietario: Antonio Salazar Tamargo (nombre en guardas posteriores y documentos insertados). Encuadernación holandesa con papel de aguas rojo y lomo en piel azul e inscripciones doradas, 20,5x13x5x3, 488 pág., numerosasa fotografías b/n e ilustraciones. Intercalados 3 manuscritos (resúmenes), y 4 estampitas San juan de Dios. En la 1ª pág adherido un sello de San Juan Bosco. </t>
  </si>
  <si>
    <t>Fernández Gutiérrez, Alberto</t>
  </si>
  <si>
    <t>Exalumno ilustre (2019), Catedrático de química UGR...</t>
  </si>
  <si>
    <t>¿1960?</t>
  </si>
  <si>
    <t xml:space="preserve">estructura metálica cromada, </t>
  </si>
  <si>
    <t>S. XX</t>
  </si>
  <si>
    <t>Hemómetro de doble vara de color</t>
  </si>
  <si>
    <t>Assistant</t>
  </si>
  <si>
    <t>2ª tercio s XX</t>
  </si>
  <si>
    <t>Hemoglobinómetro tipo Sahli</t>
  </si>
  <si>
    <t>Instrumento para la determinación colorimétrica de la cantidad de hemoglobina en sangre, según el reglamento de la Sociedad Alemana para la Medicina Interna. En estuche de 16x11x4,5 forrado en papel entelado azulón, e interior en terciopela azul con oquedades para los elementos. Tapa acolchada por el interior. Juego completo compuesto de: tubo para muestras (con tapón), tubito graduado para la muestra, pipeta capilar, pipeta gotero, varilla de agitación, soporte de plástico negro (¿baquelita?) con tubos de comparación, frasco con tapón a rosca, escobillón de limpieza, tubo de goma (reseco), folleto cuadríptico con instricciones en 8 idiomas.</t>
  </si>
  <si>
    <t>P. Legorburu y P. Zuazu</t>
  </si>
  <si>
    <t>Forrado en plástico transparente</t>
  </si>
  <si>
    <t>Ruiz Palomino, María</t>
  </si>
  <si>
    <t>Profesora LL del IES Padre Suárez, exdirectora</t>
  </si>
  <si>
    <t>Biología Curso Preuniversitario. Ed S.M.</t>
  </si>
  <si>
    <t>Libro de texto oficial del IES Padre Suárez para el "Preu". S.M. Madrid. 1970 292 p. (21x14,4  cm) Rustica. Profusamente ilustrado con  dibujos a dos tintas (bn y rojo). Fue propiedad del exalumno Ceferino Rivadeneira Navarro, consorte María Ruiz Palomino, exdirectora del Instituto</t>
  </si>
  <si>
    <r>
      <t>Marco de madera de sección redondeada, cubierto de lámina de metal dorado, y marialuisa o paspartú remarcado en dorado, con</t>
    </r>
    <r>
      <rPr>
        <i/>
        <sz val="11"/>
        <rFont val="Calibri"/>
        <family val="2"/>
      </rPr>
      <t xml:space="preserve"> </t>
    </r>
    <r>
      <rPr>
        <sz val="8"/>
        <rFont val="Calibri"/>
        <family val="2"/>
      </rPr>
      <t>vidrio 4 mm, 26x19</t>
    </r>
  </si>
  <si>
    <t>Enseres museísticos</t>
  </si>
  <si>
    <t>Cuadros marcos dorados</t>
  </si>
  <si>
    <t>Marco de madera de sección rectangular y cubierto de lámina de metal dorado, con vidrio 4 mm, 26x19</t>
  </si>
  <si>
    <t>Blenio vivíparo o anguila hocicuda</t>
  </si>
  <si>
    <r>
      <t xml:space="preserve">Rocas rojizas, sometidas a alteración física y química (redox) supergénica, más cementación, que ha transformado los abundantes sulfuros en óxidos de Fe y Cu. Antes catalogado como Gossen (fonética…). Históricamente han servido como guía de exploración de mineralizaciones. Sus lixiviados dan lugar a medios muy ácidos. </t>
    </r>
    <r>
      <rPr>
        <b/>
        <sz val="8"/>
        <rFont val="Arial"/>
        <family val="2"/>
      </rPr>
      <t>Gossan:</t>
    </r>
    <r>
      <rPr>
        <sz val="8"/>
        <rFont val="Arial"/>
        <family val="2"/>
      </rPr>
      <t xml:space="preserve"> Se trata de un neologismo minero procedente de </t>
    </r>
    <r>
      <rPr>
        <b/>
        <sz val="8"/>
        <rFont val="Arial"/>
        <family val="2"/>
      </rPr>
      <t>gold sand</t>
    </r>
    <r>
      <rPr>
        <sz val="8"/>
        <rFont val="Arial"/>
        <family val="2"/>
      </rPr>
      <t>, rocas auríferas «formadas por óxidos e hidróxidos de hierro, que pueden presentarse solos o mezclados con otras rocas, y que proceden de la meteorización de yacimientos de sulfuros», https://www.andalucia.org/es/nerva-espacios-naturales-montera-de-gossan</t>
    </r>
  </si>
  <si>
    <t>No se trata de un armadillo cualquiera ya que los comunes tienen múltiples articulaciones en el lomo desde el cuello hasta el rabo. Éste sólo tiene tres como es evidente en la foto. Es el Tolypentes tricintus. Se le dio por extinguido y hace pocos años salió la noticia de que se habían vuelto a encontrar unos pocos. El que es un mamífero es obvio; tiene pelos y labios.</t>
  </si>
  <si>
    <t>Su nomre científico responde a la ausencia de dedo pulgar. Dus largos brazos son una adaptación al movimiento por entre las copas de los ároles del bosque. Al ser un primate platirrino (tabique nasal plano y grueso)los orificios nasales se abren hacia direcciones opuestas (al contrario que los catarrinos, que con su taique delgado y corto, abren sus fosas nasales en la misma dirección)</t>
  </si>
  <si>
    <t>Disecado y mostrado en un cuadro de madera de marco verde, identificado con el nº 20. Muestra muy desarrolladas las aletas dorsal, la anal y la caudal, el resto son casi ineficaces para la función natatoria, debido a su tamaño pequeño.</t>
  </si>
  <si>
    <t>Hasta 2015 se encontraba colgado en la pared de acceso a la sala III, fuera de contexto (en plan adorno decorativo) y, por ende, muy expuesto a la suciedad. Se limpió concienzudamente y se uico en su lugar idóneo: la sala II en la vitrina dedicada a los peces óseos.</t>
  </si>
  <si>
    <t>Como la mayoría de las aves típicas de humedales, sus poblaciones van siendo muy reducidas, y, por consiguiente, su exposición museística alcanza gran valor.</t>
  </si>
  <si>
    <t>Regalado a LCS por un veterinario de Loja</t>
  </si>
  <si>
    <t>Ammonites heteromorfo (en el Cretáceo comenzaron a desenrollarse)</t>
  </si>
  <si>
    <t>En madetra, con dos cajones</t>
  </si>
  <si>
    <t>Mesa de centro-auxiliar, de estilo ¿barroco?</t>
  </si>
  <si>
    <t>Mesa de centro-auxiliar, de madera tallada y dorada, oval, con dos patas tipo trípode. Medidas: largo 151 x ancho 51 x alto 49.</t>
  </si>
  <si>
    <t xml:space="preserve">Le falta la tapa de piedra ornamental. </t>
  </si>
  <si>
    <t>Mesita rectangular de cuatro patas torneadas</t>
  </si>
  <si>
    <t xml:space="preserve"> para juego escribanía piel</t>
  </si>
  <si>
    <t>Se encontraba en el despacho de dirección, hasta que fue trasladada al Museo. Medidas: lados: ….x …... cm, ... cm altura, madera.</t>
  </si>
  <si>
    <t>Dirección</t>
  </si>
  <si>
    <t>Juego de escribanía formado por 4 elementos: tinteros, secante, …., ….  Medidas;……... Se encontró, durante el s. xx, en el despacho de dirección</t>
  </si>
  <si>
    <t>Juego de escritorio</t>
  </si>
  <si>
    <t>Juego de escribanía en piel repujada</t>
  </si>
  <si>
    <t>Junto libros de texto</t>
  </si>
  <si>
    <t>2023</t>
  </si>
  <si>
    <t>Castro Viaene, Martina</t>
  </si>
  <si>
    <t>Alumna del IES Padre Suárez</t>
  </si>
  <si>
    <t>Zona anal deteriorada</t>
  </si>
  <si>
    <t>Erizo melón</t>
  </si>
  <si>
    <r>
      <t>Medidas: diámetro: 12 cm, altura: 10,5. Echinus melo</t>
    </r>
    <r>
      <rPr>
        <sz val="10"/>
        <rFont val="Arial"/>
        <family val="2"/>
      </rPr>
      <t xml:space="preserve"> y </t>
    </r>
    <r>
      <rPr>
        <i/>
        <sz val="10"/>
        <rFont val="Arial"/>
        <family val="2"/>
      </rPr>
      <t>Gracilechinus acutus </t>
    </r>
    <r>
      <rPr>
        <sz val="10"/>
        <rFont val="Arial"/>
        <family val="2"/>
      </rPr>
      <t>son dos especies muy similares y que a simple vista se pueden diferenciar por los tubérculos primarios de las áreas interambulacrales: En cada placa de Gracilechinus acutus hay un tubérculo primario, mientras que en Echinus melo se disponen de forma alterna.</t>
    </r>
  </si>
  <si>
    <t>Perforacion en un lateral</t>
  </si>
  <si>
    <t>Feto de cerdo</t>
  </si>
  <si>
    <t>En alcohol. Se trata de un feto en el periodo terminal de la gestación, es decir, próximo al día 114 (3 meses, 3 semanas, 3 días, +/- 2 días)</t>
  </si>
  <si>
    <t>Hiena rayada</t>
  </si>
  <si>
    <t>Anas penelope anadón (joven)</t>
  </si>
  <si>
    <t>Anas platyrhynchos ♂ ♀ y anadón</t>
  </si>
  <si>
    <t>Ánade real o pato común</t>
  </si>
  <si>
    <t>Fluorita indiana</t>
  </si>
  <si>
    <t>Arpa</t>
  </si>
  <si>
    <t>Guarda gran parecido con un arpa: costillas longitudinales a favor del enrollamiento, decrecen de la boca al vértice.</t>
  </si>
  <si>
    <t>Se encontraba muy deteriorado, pero ha sido restaurado</t>
  </si>
  <si>
    <t>4 x 2 cm. Transparente y tallado según las caras del pinacoide  0001 orientación según el eje óptico no birrefringente) 2 cm lado, en estuche de cartón. Existió otro de 4 cm de lado. Presenta birrefringencia en todas sus oriuentaciones, a excepción de los vértices tallados según las caras del mencionado pinacoide.</t>
  </si>
  <si>
    <t>Erizo corazóm</t>
  </si>
  <si>
    <t>Se trata de un erizo espatángido, de cuerpo ovalado o elíptico con la parte anterior abombada y la posterior aplanada y se estrecha en el lado posterior,es decir, no es esférico, asimétricos, y cuyas espinaslargas, finas y afiladas con los ápices en forma de espátula, no son totalmente rígidas. Es una especie muy difícil de observar debido a su forma de vida.</t>
  </si>
  <si>
    <t>Capitán Vallvey, Javier</t>
  </si>
  <si>
    <t>Antiguo alumno, geólogo XXI promoción, consultor.</t>
  </si>
  <si>
    <t>Dufrenoya (=Dufrenoyia) furcata</t>
  </si>
  <si>
    <t>Exp.5.1</t>
  </si>
  <si>
    <t>Guane</t>
  </si>
  <si>
    <t>En caliza gris-crema. Dos ejemplares, con pátina de óxidos, uno fracturadso, de 2 x 1 cm</t>
  </si>
  <si>
    <t>Aptiense (Cretácico inferior, -110 m.a.) Con pátina brillante. Diámetro: 5 cm, espesor: 1,5 cm con molde en fragmento de 10x8x3 cm. Caliza micrítica negra, con posible alta concentración de C orgánico, y de origen biogénico asociado a plataforma marina carbonatada de elevada productividad.</t>
  </si>
  <si>
    <t>Stones unlimited</t>
  </si>
  <si>
    <t>Molar selenodonto (surcos en forma de media luna); realmente se trataba de dos molares que al crecer se fusionaron, lo cual ocurre a partir de los 2 años de edad, por lo que debia tener 2-3 años.</t>
  </si>
  <si>
    <t>Cristal formado por un pinacoide y dos prismas.</t>
  </si>
  <si>
    <t>Geólogo. Compañero de LCS</t>
  </si>
  <si>
    <t>Helecho arborescente del Paleozoico.</t>
  </si>
  <si>
    <t>Sólo cabeza (casi sin la "barbilla" característica), torso, garras y rémiges. Es una pésima restauración: el ejemplar estaba disecado con las alas extendidas para mostrar su envergadura, pero estas debían ser restauradas., lo cual era del todo posible en opinión del restaurador Diego Serrano., pero unos incompetentes lo dejaron así de horrible.</t>
  </si>
  <si>
    <t>Pesada 5 kg., hierro fundición, sin pesas (probablemente en FQ; repintado en verde y dorado; solo un platillo de latón original. Dos platillos actuales envejecidos. Largo 39, ancho 10, alto 23.</t>
  </si>
  <si>
    <t>Latón, 20 cm diámetro, 3,5 cm altura</t>
  </si>
  <si>
    <t>Balanza Roberval</t>
  </si>
  <si>
    <t>Lynx (=Felis) pardinus (= lynx), adulto</t>
  </si>
  <si>
    <t xml:space="preserve">Estereoscopio de mano, modelo Holmes </t>
  </si>
  <si>
    <t>Estereoscopio de mano, modelo Holmes.</t>
  </si>
  <si>
    <t>Estereoscopio con pie, modelo Rellev (¿o Relly?)</t>
  </si>
  <si>
    <t>Con asa abatible, más cómodo: Fabricado en madera, visor revestido de chapa; deslizamos el par hasta ver los nº nítidos. Diseñado por el médico estadounidense Oliver Wendel Holmes</t>
  </si>
  <si>
    <t>Modelo clástico nº 8: estuche con el desarrollo del germen (embrión) de los mamíferos y el aparato reproductor femenino humano</t>
  </si>
  <si>
    <t>Modelo clástico nº 28 o 29: lengua, faringe y laringe humanas</t>
  </si>
  <si>
    <r>
      <t>Modelo clástico nº 63:</t>
    </r>
    <r>
      <rPr>
        <i/>
        <sz val="12"/>
        <rFont val="Arial"/>
        <family val="2"/>
      </rPr>
      <t xml:space="preserve"> Gorilla troglodytes (=Troglodytes gorilla</t>
    </r>
    <r>
      <rPr>
        <sz val="12"/>
        <rFont val="Arial"/>
        <family val="2"/>
      </rPr>
      <t>) adulto: cráneo, cara y encéfalo</t>
    </r>
  </si>
  <si>
    <r>
      <t xml:space="preserve">Modelo clástico nº 64: </t>
    </r>
    <r>
      <rPr>
        <i/>
        <sz val="12"/>
        <rFont val="Arial"/>
        <family val="2"/>
      </rPr>
      <t>Gorilla troglodytes (=Troglodytes gorilla</t>
    </r>
    <r>
      <rPr>
        <sz val="12"/>
        <rFont val="Arial"/>
        <family val="2"/>
      </rPr>
      <t>) joven:</t>
    </r>
    <r>
      <rPr>
        <sz val="11"/>
        <rFont val="Arial"/>
        <family val="2"/>
      </rPr>
      <t xml:space="preserve"> cráneo superior u encéfalo</t>
    </r>
  </si>
  <si>
    <t>Modelo clástico nº 82-6: esporocarpo de basidiomiceto: Agaricus pseudoaurantiacus</t>
  </si>
  <si>
    <t>Modelo clástico: sección de riñón humano</t>
  </si>
  <si>
    <t>Modelo clástico nº 87: frutos múltiples en eterio de Fragaria vesca</t>
  </si>
  <si>
    <t>Modelo clástico nº 82-1b: esporocarpo de basidiomiceto: Agaricus colubrinus</t>
  </si>
  <si>
    <r>
      <t xml:space="preserve">Modelo clástico nº 60: panal de </t>
    </r>
    <r>
      <rPr>
        <i/>
        <sz val="12"/>
        <rFont val="Arial"/>
        <family val="2"/>
      </rPr>
      <t>Apis mellifica</t>
    </r>
  </si>
  <si>
    <t>Modelo clástico en papel maché más otros aglomerantes, policromado: muy incompleto , tiene 1 pieza, el panal, con larvas y ninfas en diferentes etapas de desarrolla. Incluía 6 abejas (se perdieron en la reforma): reina, zángano, obrera, obrera con propolis, obrera con polen, obrera con polen.</t>
  </si>
  <si>
    <t>Modelo clástico nº 57: Hirudo officinalis (H. medicinalis)</t>
  </si>
  <si>
    <t>Modelo clástico nº 53: cabeza de víbora</t>
  </si>
  <si>
    <t>Modelo clástico nº 51: Sciaena aquila, Cuvier 1817 (= Argyrosomus regius, Also 1801)</t>
  </si>
  <si>
    <t>Modelo clástico nº 56: Helix pomatia</t>
  </si>
  <si>
    <t>Modelo clástico nº 47 o 51: Meleagris pavo</t>
  </si>
  <si>
    <t>Ajedrez de marquetería en mesa</t>
  </si>
  <si>
    <t>Feto humano de 8 semanas</t>
  </si>
  <si>
    <t>Feto humano de 25 semanas</t>
  </si>
  <si>
    <t>Botella López, Miguel C.</t>
  </si>
  <si>
    <t>Catedrático de Medicina Forense</t>
  </si>
  <si>
    <t>En alcohol. Dimensiones: 85 mm, 65 mm. Masa: 18 g</t>
  </si>
  <si>
    <t>No fueron donadas como se contaba y aparece en anteriores inventarios, si no adquiridas: así, en la memoria 1874-75 se cita textualmente: "Una colección de Mármoles de esta Provincia, la cual consta de 52 ejemplares diferentes, que desde el año anterior estaba encargada y se venía preparando, y que atendido lo escaso de su importe, en nada podía influir en la situación actual del Establecimiento". La mayoría son de Granada, pero alguna es de Málaga o Córdoba. Son todas sedimentarias a excepción de 3 mármoles..
"</t>
  </si>
  <si>
    <t>Especie de gacela cuya cabeza estaba separada del tronco y fue restaurada por Alberto MIchelon.</t>
  </si>
  <si>
    <t xml:space="preserve">En la taxidermia clásica el armazón era el esqueleto del propio animal, reforzado por alambres; actualmente el armazon sonfiguras de poliuretano forradas con la piel; como se encontraba en muy mal estado, se retiro todo el tejido superficial, con avanzada poodredumbre, rescatando el esqueleto. El rinocéfalo, mal llamado «lemur volador», ni es un lemur ni vuela. Unlemur tendría un tabique nasal grueso, y este es un catarrino, tabique profundo y delgado; y no vuela sino que da unos saltos enormes de rama a rama. </t>
  </si>
  <si>
    <t>Mono nariz de perro o "lumur volador" o mono esfinge</t>
  </si>
  <si>
    <t>2+2 extrmidades y 2+2 manos. El elemento original se encontraba en muy mal estado (ausencia de pelo, podredumbre...) pero como en la taxidermia antigua se usaba como soporte interno el propio esqueleto, se eliminó todo lo exterior, en muy mal estado,  y se dejó la osamenta. Falta un fémur.</t>
  </si>
  <si>
    <r>
      <t xml:space="preserve"> La cuerna izda. se encuentra expuesta en la vitrina 1.2. El </t>
    </r>
    <r>
      <rPr>
        <b/>
        <sz val="8"/>
        <rFont val="Arial"/>
        <family val="2"/>
      </rPr>
      <t>bucráneo</t>
    </r>
    <r>
      <rPr>
        <sz val="8"/>
        <rFont val="Arial"/>
        <family val="2"/>
      </rPr>
      <t xml:space="preserve"> es el más antiguo. Su etimología viene del griego, formado por la unión de las palabras buey y cráneo. Aunque su origen es muy anterior, aparece en la arquitectura de Mesopotamia hace ya cuatro mil años. No es otra cosa que la cabeza de un buey descarnada, el frontal de su calavera que mantiene el hueso de su cornamenta. Es un elemento asociado a prácticas religiosas muy antiguas, al sacrificio de animales para pedir el favor de los dioses: buenas cosechas, salud para la tribu, prosperidad social, etc. De hecho, todavía algunas culturas orientales lo continúan practicando. Una vez sacrificado el animal y descarnado su cráneo, la testud resultante solía colgarse sobre puertas de murallas, entradas a palacios o las casas del que ofrecía el sacrificio. Era una especie de tótem que reclamaba en el futuro el favor de sus dioses. Es una costumbre ancestral que incluso es recogida por textos bíblicos. Muy extendida por las poblaciones orientales y próximas al Mediterráneo. Aparecen en pinturas funerarias egipcias, en el Ara Pacis de Roma, en Éfeso, Samotracia, ect. Las culturas clásicas griegas y romanas adoptaron este uso social-religioso, practicaron el ofrecimiento de sangre a los dioses y lo elevaron a sus pinturas y arquitecturas. El imperio romano hizo bastante uso del bucráneo en fachadas, frisos y enterramientos. Y los extendió por sus dominios a partir de su expansión desde el siglo II antes de Cristo. La cabeza ósea del buey se hacía acompañar de guirnaldas y otros arreglos florales que pendían de su cornamenta. Incluso follajes y frutas ensartadas en cintas, como si se tratara de un cuerno de la abundancia.</t>
    </r>
  </si>
  <si>
    <r>
      <rPr>
        <i/>
        <sz val="10"/>
        <rFont val="Arial"/>
        <family val="2"/>
      </rPr>
      <t>Bucráneo</t>
    </r>
    <r>
      <rPr>
        <sz val="10"/>
        <rFont val="Arial"/>
        <family val="2"/>
      </rPr>
      <t xml:space="preserve"> de Toro de lidia</t>
    </r>
  </si>
  <si>
    <t>Ejemplar del inusual de tres dedos. Restaurado por Alberto MIchelon</t>
  </si>
  <si>
    <t>Tierras para la agricultura adquiridas por el catedrático de agricultura D. Benito Ventué y Peralta</t>
  </si>
  <si>
    <t>Ernst Leitz Wetzlar, Nº587237. Importador M. Álvarez., adquirido por el catedrático D. José Taboada Tundidor; lacado negro, solo macrométrico???, no basculante???, espejo doble: plano y concavo, condensador y portafiltros, revolver 4 objetivos (falta 1), ocular 10x. Estuche de madera</t>
  </si>
  <si>
    <t>Adquirido por el catedrático D. José Taboada Tundidor. Estativo con pie en U metálico lacado en negro, columna de latón, con macrométrico, platina rectangular con base vidrio y dos pinzas, iluminación mediante espejo, diafragma circular, ocular de 8x sobre brazo articulado.</t>
  </si>
  <si>
    <t xml:space="preserve">Adquirido por el catedrático D. José Taboada Tundidor en 1928, 2,5 Atm. </t>
  </si>
  <si>
    <t>Adquirido por el catedrático D. José Taboada Tundidor. Estuche de cartón de ….x….. con tapa y … elementos. Leyenda explicativa en el interior de la tapa.</t>
  </si>
  <si>
    <t>Adquirido por el catedrático D. José Taboada Tundidor.Estuche de cartón de ….x….. con tapa y … elementos. Leyenda explicativa en el interior de la tapa.</t>
  </si>
  <si>
    <t>Canis azarae (=Lycalopex vetutus) (= L. griseus) (=Dusicyon gymnocercus)</t>
  </si>
  <si>
    <t xml:space="preserve">Chilla, zorro de Azara, perro de las pampas, zorro gris patagónico, aguacharay </t>
  </si>
  <si>
    <r>
      <t xml:space="preserve">En honor de Félix de Azara, gran ilustrado, naturalista, militar y explorador que, junto a Humboldt y Darwin suponen los grandes aportes a las bases evolutivas. Solo se conoce un ejemplar de "zorro" perteneciente a la colección de Wied, se conserva en el Museo de Leiden y fue seleccionado como lectotipo de Canis azarae por Avila Pires en 1965. Este ejemplar sin embargo no concuerda, con la descripción original de Wied y es un "zorro de campo" (género Dusicyon). El nombre científico, </t>
    </r>
    <r>
      <rPr>
        <b/>
        <sz val="8"/>
        <rFont val="Arial"/>
        <family val="2"/>
      </rPr>
      <t>Canis azarae</t>
    </r>
    <r>
      <rPr>
        <sz val="8"/>
        <rFont val="Arial"/>
        <family val="2"/>
      </rPr>
      <t>, Waterch (ver https://books.google.es/books?id=AqTN8--G3uEC&amp;pg=PA62&amp;lpg=PA62&amp;dq=%22canis+azara%22&amp;source=bl&amp;ots=O2UzQRgU6S&amp;sig=ACfU3U2Tayh9gpyaBa9hA9PRmuKalEfw3A&amp;hl=es&amp;sa=X&amp;ved=2ahUKEwjj45L0p6LpAhXN7eAKHRgYD_IQ6AEwBnoECAoQAQ#v=onepage&amp;q=%22canis%20azara%22&amp;f=false y https://books.google.es/books?id=NgBtDwAAQBAJ&amp;pg=PA44&amp;lpg=PA44&amp;dq=%22canis+azara%22&amp;source=bl&amp;ots=UgE41LqhZA&amp;sig=ACfU3U1nDGfpPE0WLYv8wW1_ZxCkDS75HQ&amp;hl=es&amp;sa=X&amp;ved=2ahUKEwjj45L0p6LpAhXN7eAKHRgYD_IQ6AEwAHoECAIQAQ#v=onepage&amp;q=%22canis%20azara%22&amp;f=false), que no es oficial; es en honor del explorador-científico-militar-geógrafo español Félix de Azara, que lo describió por primera vez por  Félix de Azara, cuyos textos y experiencias valoró Darwin haciéndolo constar: Félix de Azara se planteó la posibilidad de la evolución de las especies, antes que el propio Charles Darwin, quien conoció sus estudios antes de publicar su conocida obra e incluso lo menciona en "El origen de las especies". Varios historiadores han investigado la figura del militar y coinciden en la creencia de que Darwin viajaba con un ejemplar de Viajes por la América Meridional que el oscense había publicado a principios del siglo XIX a su regreso de América, tras dos décadas de observación. Todos ellos parten del hecho de que Darwin citara infinidad de veces al aragonés en su obra, especialmente en Diario de viaje de un naturalista alrededor del mundo.  No obstante, varias especies le fueron dedicadas: el pájaro Synallaxis azarae por Alcide Dessalines d'Orbigny (1806-1876) en 1835 y los roedores Dasyprocta azarae por Martin Lichtenstein (1780-1857) en 1823, Akodon azarae Johann Fischer von Waldheim (1771-1853) en 1829 y Ctenomys azarae por Michael Rogers Oldfield Thomas (1858-1929) en 1903. También la "comadreja overa", una zarigüeya americana, recibió el nombre Didelphis azarae por Hershkovitz en 1969.</t>
    </r>
  </si>
  <si>
    <t>Pythia (=Helix) (=Auricula) scarabeus</t>
  </si>
  <si>
    <t>Gasterópodo pulmonado, ya que al ser de marisma es de aguas salobres. Destacan los dientes que rodean el labio interno y el externo de la apertura.</t>
  </si>
  <si>
    <r>
      <t xml:space="preserve">La situación de su población es preocupante en la provincia de Granada: para 2021 se estima en 272 machos. Pero se ha producido "un descenso alarmante" del 57% desde 2016, una caída que "está siendo exponencial desde 2010", dice el informe de la Junta. </t>
    </r>
    <r>
      <rPr>
        <b/>
        <sz val="9"/>
        <rFont val="Arial"/>
        <family val="2"/>
      </rPr>
      <t>De los 639 ejemplares estimados en 2016 se ha pasado a 272 en 2021</t>
    </r>
    <r>
      <rPr>
        <sz val="9"/>
        <rFont val="Arial"/>
        <family val="2"/>
      </rPr>
      <t>. Pero el ave abandona sus zonas tradicionales "como consecuencia de trasformaciones drásticas del hábitat que se vienen produciendo en la provincia en la última década. De esta manera, el incremento exacerbado del cultivo de almendro y horticolas</t>
    </r>
  </si>
  <si>
    <t>El bivalvo más grande de Europa y uno de los moluscos más grandes del mundo, pudiendo alcanzar un metro de longitud. Es una especie típicamente mediterránea que vive en fondos arenosos, asociada normalmente a las praderas de Posidonia oceánica</t>
  </si>
  <si>
    <t>Modelo clástico nº 18: ojo humano sección sagital 1:10</t>
  </si>
  <si>
    <t>López Ramos, Amparo</t>
  </si>
  <si>
    <t>Geoda (fragmento) de amatista</t>
  </si>
  <si>
    <t>Dimensiones: 20,5x17x12 cm</t>
  </si>
  <si>
    <t>Fragmento</t>
  </si>
  <si>
    <t>Maestra de 80 años del CEIP Sierra Nevada</t>
  </si>
  <si>
    <t>Adquirida en Madrid</t>
  </si>
  <si>
    <t>Nesosilicato</t>
  </si>
  <si>
    <t>Sorosilicato</t>
  </si>
  <si>
    <t>Uraniifosfato radiactivo</t>
  </si>
  <si>
    <t>Radiactivo</t>
  </si>
  <si>
    <t xml:space="preserve">Antimoniosulfuro Fe-Cu+ tennantita, azurita, tirolita, conicalcita y goethita     </t>
  </si>
  <si>
    <t>Fluoruro de Ca</t>
  </si>
  <si>
    <t>Cristalizada</t>
  </si>
  <si>
    <t xml:space="preserve">Manganeso peroxidado </t>
  </si>
  <si>
    <t>Mediano. Se encontraba anteriormente en un recipiente paralelipédico de dudosa estética</t>
  </si>
  <si>
    <t>XIX</t>
  </si>
  <si>
    <t>Rape común</t>
  </si>
  <si>
    <t>Meteorito: Aerolito agrisado nodulífero</t>
  </si>
  <si>
    <t>200,3 y 89,7 g. LCS tenía inventariado 1, pero son 2 los ejemplares</t>
  </si>
  <si>
    <t>438 y 577 g. Solo hay 2, pero había inventariados 3 (LCS). Cartela original: "Terolito agrisado nodulífero; caído en Montrejeau (Alto Garona). En anteriores inventarios aparecia como donado por LCS, pero tiene cartela del s XIX…</t>
  </si>
  <si>
    <t>La cola es de forma ovalada y aplanada, y se encuentra conformada por pequeñas escamas de forma hexagonal y de color negro, que se encuentran yuxtapuestas y no imbricadas, es decir, no se superponen unas sobre otras. Su piel se utiliza en los sombreros de los picados taurinos, por lo que estos se denominan «castoreñas».</t>
  </si>
  <si>
    <t>Revista Agricultura,</t>
  </si>
  <si>
    <t>Sal de bronce</t>
  </si>
  <si>
    <t>11x5x5,3 y 7x4,5x2</t>
  </si>
  <si>
    <t>Minas de sal de Wieliczka</t>
  </si>
  <si>
    <t>Cracovia</t>
  </si>
  <si>
    <t>Polonia</t>
  </si>
  <si>
    <t>Benítez Gómez, Gerardo</t>
  </si>
  <si>
    <t>Conyuge Mª Adelaida Adarve Torres, prof. Instituto</t>
  </si>
  <si>
    <t>Halita opaca gris obscura</t>
  </si>
  <si>
    <t>Halita anaranjada cárstica</t>
  </si>
  <si>
    <t>Forma cárstica</t>
  </si>
  <si>
    <t>Halita hialina en cubos</t>
  </si>
  <si>
    <t>Halita opaca anaranjada cárstica</t>
  </si>
  <si>
    <t>Sal gema</t>
  </si>
  <si>
    <t>Raja (=Raia) clavata</t>
  </si>
  <si>
    <t>Raya común o de clavos</t>
  </si>
  <si>
    <t>¿Depísito de LCS?</t>
  </si>
  <si>
    <t>Modelo clástico en papel maché más otros aglomerantes, policromado: escala natural, con 4 facetas de las diferentes. fases de incubación: la primera es la del huevo recién puesto con su yema, su clara y sus fárfaras (las membranas o telillas entre clara y cáscara), la cámara de aire y la chalaza o ligamento que sostiene a la yema. Igualmente es la propia textura rugosa de la superficie de la cáscara. Presenta un error conceptual: ubica el origen del embrión en el propio centro de la yema, no teniendo en cuenta la mancha discoidal germinativa. Las otras tres facetas representan fases del desarrollo: 12, 18 y 21 días.  El trípode fue un montaje que hizo JLR-CB en 2018, coincidiendo con la instalación de la sala III de Auzoux: tomó una base antigua de un soporte universal que había por allí, le puso un alambre grueso que sirviera de eje giratorio para el huevo, y posteriormente le insertó un cilindro de madera torneado que tomó de algún resto, y lo envejeció con betún de Judea . Pensó que ese soporte debía de haber existido, cuando se percató del orificio que tiene el huevo según su eje mayor, que sólo podía tener una finalidad: la de permitir la rotación del huevo. La idea de cómo debió ser este soporte original la obtuvo de un catálogo de Auzoux en el que venía un soporte similar, que, se imaginó, pudo haberlo tenido el instituto cuando compraron el modelo, pero que, al encargar el de madera de palo santo , se "deshicieron" del original; el de madera es mucho más bonito y artístico, pero el que hizo JLR-CB, a imitación del original, es muchísimo más práctico, ya que permite girar al huevo sin dificultad.</t>
  </si>
  <si>
    <t>Modelo de huevo de gallina</t>
  </si>
  <si>
    <t>Vitrina 3.7</t>
  </si>
  <si>
    <t>Modelo de gallina, no desmontable, en goma. Se muestra junto al huevo de Aepyornix, a modo de escala comparativa.</t>
  </si>
  <si>
    <t>Peana-soporte vertical de madera torneada, con gancho. Elaborado a partir de materiales antiguos preexistentes</t>
  </si>
  <si>
    <t>Soporte alpaca y acero cromado, elaborado, a partir de materiales antigupos, por JLR-CB</t>
  </si>
  <si>
    <t>Peana de madera rectangular, con marco de madera insertado, reutilizado por JLR-CB para modelo de Auxoux de panal de abejas.</t>
  </si>
  <si>
    <t>Disecada y montada sobre una base de maderapintada en blanco, por su parte superior, de 62,5 x 44 x 7,5 cm , con etiqueta ovalada adherida de "Maison Tramond, Paris"</t>
  </si>
  <si>
    <t>Incorporar el nº de elementos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</si>
</sst>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
    <numFmt numFmtId="165" formatCode="dd\-mm\-yy;@"/>
  </numFmts>
  <fonts count="79" x14ac:knownFonts="1">
    <font>
      <sz val="10"/>
      <name val="Arial"/>
    </font>
    <font>
      <sz val="10"/>
      <name val="Arial"/>
      <family val="2"/>
    </font>
    <font>
      <sz val="12"/>
      <name val="Times New Roman"/>
      <family val="1"/>
    </font>
    <font>
      <b/>
      <sz val="12"/>
      <name val="Times New Roman"/>
      <family val="1"/>
    </font>
    <font>
      <sz val="12"/>
      <color indexed="60"/>
      <name val="Times New Roman"/>
      <family val="1"/>
    </font>
    <font>
      <sz val="10"/>
      <name val="Arial"/>
      <family val="2"/>
    </font>
    <font>
      <b/>
      <sz val="14"/>
      <name val="Arial"/>
      <family val="2"/>
    </font>
    <font>
      <sz val="12"/>
      <name val="Arial"/>
      <family val="2"/>
    </font>
    <font>
      <b/>
      <sz val="10"/>
      <name val="Arial"/>
      <family val="2"/>
    </font>
    <font>
      <sz val="10"/>
      <name val="Arial"/>
      <family val="2"/>
    </font>
    <font>
      <b/>
      <sz val="14"/>
      <color rgb="FFFF0000"/>
      <name val="Arial"/>
      <family val="2"/>
    </font>
    <font>
      <b/>
      <sz val="10"/>
      <color rgb="FFFF0000"/>
      <name val="Arial"/>
      <family val="2"/>
    </font>
    <font>
      <b/>
      <sz val="12"/>
      <color rgb="FFFF0000"/>
      <name val="Arial"/>
      <family val="2"/>
    </font>
    <font>
      <b/>
      <sz val="14"/>
      <color rgb="FF0070C0"/>
      <name val="Arial"/>
      <family val="2"/>
    </font>
    <font>
      <b/>
      <sz val="10"/>
      <color rgb="FF0070C0"/>
      <name val="Arial"/>
      <family val="2"/>
    </font>
    <font>
      <b/>
      <sz val="12"/>
      <color rgb="FF0070C0"/>
      <name val="Arial"/>
      <family val="2"/>
    </font>
    <font>
      <sz val="8"/>
      <name val="Times New Roman"/>
      <family val="1"/>
    </font>
    <font>
      <sz val="8"/>
      <name val="Arial"/>
      <family val="2"/>
    </font>
    <font>
      <sz val="8"/>
      <color theme="9" tint="-0.249977111117893"/>
      <name val="Arial"/>
      <family val="2"/>
    </font>
    <font>
      <sz val="8"/>
      <color rgb="FFFF6600"/>
      <name val="Arial"/>
      <family val="2"/>
    </font>
    <font>
      <sz val="8"/>
      <color indexed="8"/>
      <name val="Arial"/>
      <family val="2"/>
    </font>
    <font>
      <sz val="8"/>
      <color rgb="FFFF0000"/>
      <name val="Arial"/>
      <family val="2"/>
    </font>
    <font>
      <sz val="8"/>
      <color theme="1"/>
      <name val="Arial"/>
      <family val="2"/>
    </font>
    <font>
      <sz val="8"/>
      <color indexed="60"/>
      <name val="Arial"/>
      <family val="2"/>
    </font>
    <font>
      <b/>
      <sz val="14"/>
      <color theme="9" tint="-0.249977111117893"/>
      <name val="Arial"/>
      <family val="2"/>
    </font>
    <font>
      <sz val="14"/>
      <name val="Arial"/>
      <family val="2"/>
    </font>
    <font>
      <b/>
      <sz val="12"/>
      <name val="Arial"/>
      <family val="2"/>
    </font>
    <font>
      <b/>
      <sz val="12"/>
      <color theme="9" tint="-0.249977111117893"/>
      <name val="Arial"/>
      <family val="2"/>
    </font>
    <font>
      <b/>
      <sz val="12"/>
      <color rgb="FFFF6600"/>
      <name val="Arial"/>
      <family val="2"/>
    </font>
    <font>
      <b/>
      <sz val="12"/>
      <color indexed="12"/>
      <name val="Arial"/>
      <family val="2"/>
    </font>
    <font>
      <sz val="12"/>
      <color indexed="8"/>
      <name val="Arial"/>
      <family val="2"/>
    </font>
    <font>
      <sz val="12"/>
      <color indexed="12"/>
      <name val="Arial"/>
      <family val="2"/>
    </font>
    <font>
      <sz val="12"/>
      <color theme="1"/>
      <name val="Arial"/>
      <family val="2"/>
    </font>
    <font>
      <b/>
      <sz val="12"/>
      <color indexed="60"/>
      <name val="Arial"/>
      <family val="2"/>
    </font>
    <font>
      <i/>
      <sz val="12"/>
      <color theme="9" tint="-0.249977111117893"/>
      <name val="Arial"/>
      <family val="2"/>
    </font>
    <font>
      <i/>
      <sz val="12"/>
      <name val="Arial"/>
      <family val="2"/>
    </font>
    <font>
      <sz val="12"/>
      <color rgb="FF0070C0"/>
      <name val="Arial"/>
      <family val="2"/>
    </font>
    <font>
      <b/>
      <sz val="12"/>
      <color theme="9" tint="-0.499984740745262"/>
      <name val="Arial"/>
      <family val="2"/>
    </font>
    <font>
      <sz val="9"/>
      <name val="Arial"/>
      <family val="2"/>
    </font>
    <font>
      <b/>
      <sz val="8"/>
      <name val="Arial"/>
      <family val="2"/>
    </font>
    <font>
      <b/>
      <sz val="12"/>
      <color indexed="18"/>
      <name val="Arial"/>
      <family val="2"/>
    </font>
    <font>
      <sz val="10"/>
      <color theme="9" tint="-0.24994659260841701"/>
      <name val="Arial"/>
      <family val="2"/>
    </font>
    <font>
      <b/>
      <sz val="9"/>
      <color theme="9" tint="-0.24994659260841701"/>
      <name val="Arial"/>
      <family val="2"/>
    </font>
    <font>
      <b/>
      <sz val="10"/>
      <color theme="9" tint="-0.24994659260841701"/>
      <name val="Arial"/>
      <family val="2"/>
    </font>
    <font>
      <sz val="8"/>
      <color theme="9" tint="-0.24994659260841701"/>
      <name val="Arial"/>
      <family val="2"/>
    </font>
    <font>
      <sz val="9"/>
      <name val="Calibri"/>
      <family val="2"/>
      <scheme val="minor"/>
    </font>
    <font>
      <b/>
      <sz val="9"/>
      <name val="Calibri"/>
      <family val="2"/>
      <scheme val="minor"/>
    </font>
    <font>
      <b/>
      <sz val="10"/>
      <color theme="9" tint="-0.24994659260841701"/>
      <name val="Calibri"/>
      <family val="2"/>
      <scheme val="minor"/>
    </font>
    <font>
      <b/>
      <sz val="8"/>
      <name val="Times New Roman"/>
      <family val="1"/>
    </font>
    <font>
      <b/>
      <sz val="8"/>
      <color theme="9" tint="-0.24994659260841701"/>
      <name val="Arial"/>
      <family val="2"/>
    </font>
    <font>
      <sz val="5"/>
      <name val="Times New Roman"/>
      <family val="1"/>
    </font>
    <font>
      <b/>
      <sz val="8"/>
      <color rgb="FFFF0000"/>
      <name val="Arial"/>
      <family val="2"/>
    </font>
    <font>
      <b/>
      <sz val="8"/>
      <color theme="9" tint="-0.249977111117893"/>
      <name val="Arial"/>
      <family val="2"/>
    </font>
    <font>
      <sz val="8"/>
      <color rgb="FFCCFFCC"/>
      <name val="Arial"/>
      <family val="2"/>
    </font>
    <font>
      <b/>
      <sz val="10"/>
      <name val="Times New Roman"/>
      <family val="1"/>
    </font>
    <font>
      <sz val="10"/>
      <name val="Times New Roman"/>
      <family val="1"/>
    </font>
    <font>
      <sz val="10"/>
      <color rgb="FFFF0000"/>
      <name val="Arial"/>
      <family val="2"/>
    </font>
    <font>
      <b/>
      <sz val="12"/>
      <color theme="9" tint="-0.24994659260841701"/>
      <name val="Arial"/>
      <family val="2"/>
    </font>
    <font>
      <i/>
      <sz val="8"/>
      <name val="Arial"/>
      <family val="2"/>
    </font>
    <font>
      <sz val="11"/>
      <name val="Arial"/>
      <family val="2"/>
    </font>
    <font>
      <u/>
      <sz val="10"/>
      <color theme="10"/>
      <name val="Arial"/>
      <family val="2"/>
    </font>
    <font>
      <b/>
      <sz val="10"/>
      <color rgb="FFCCFF99"/>
      <name val="Arial"/>
      <family val="2"/>
    </font>
    <font>
      <sz val="9"/>
      <color theme="9" tint="-0.24994659260841701"/>
      <name val="Arial"/>
      <family val="2"/>
    </font>
    <font>
      <u/>
      <sz val="8"/>
      <name val="Arial"/>
      <family val="2"/>
    </font>
    <font>
      <sz val="8"/>
      <name val="Calibri"/>
      <family val="2"/>
    </font>
    <font>
      <vertAlign val="subscript"/>
      <sz val="8"/>
      <name val="Calibri"/>
      <family val="2"/>
    </font>
    <font>
      <i/>
      <sz val="8"/>
      <name val="Calibri"/>
      <family val="2"/>
    </font>
    <font>
      <sz val="12"/>
      <name val="Calibri"/>
      <family val="2"/>
    </font>
    <font>
      <i/>
      <sz val="12"/>
      <name val="Calibri"/>
      <family val="2"/>
    </font>
    <font>
      <b/>
      <sz val="12"/>
      <name val="Calibri"/>
      <family val="2"/>
    </font>
    <font>
      <b/>
      <i/>
      <sz val="12"/>
      <name val="Calibri"/>
      <family val="2"/>
    </font>
    <font>
      <b/>
      <i/>
      <sz val="8"/>
      <name val="Arial"/>
      <family val="2"/>
    </font>
    <font>
      <vertAlign val="subscript"/>
      <sz val="11"/>
      <name val="Calibri"/>
      <family val="2"/>
    </font>
    <font>
      <i/>
      <sz val="10"/>
      <name val="Arial"/>
      <family val="2"/>
    </font>
    <font>
      <sz val="11"/>
      <name val="Calibri"/>
      <family val="2"/>
    </font>
    <font>
      <b/>
      <sz val="8"/>
      <name val="Calibri"/>
      <family val="2"/>
    </font>
    <font>
      <sz val="12"/>
      <color rgb="FFFF0000"/>
      <name val="Arial"/>
      <family val="2"/>
    </font>
    <font>
      <i/>
      <sz val="11"/>
      <name val="Calibri"/>
      <family val="2"/>
    </font>
    <font>
      <b/>
      <sz val="9"/>
      <name val="Arial"/>
      <family val="2"/>
    </font>
  </fonts>
  <fills count="7">
    <fill>
      <patternFill patternType="none"/>
    </fill>
    <fill>
      <patternFill patternType="gray125"/>
    </fill>
    <fill>
      <patternFill patternType="solid">
        <fgColor indexed="9"/>
        <bgColor indexed="64"/>
      </patternFill>
    </fill>
    <fill>
      <patternFill patternType="solid">
        <fgColor rgb="FFCCFFCC"/>
        <bgColor indexed="64"/>
      </patternFill>
    </fill>
    <fill>
      <patternFill patternType="solid">
        <fgColor rgb="FFFFFF00"/>
        <bgColor indexed="64"/>
      </patternFill>
    </fill>
    <fill>
      <patternFill patternType="solid">
        <fgColor rgb="FFD5EFFF"/>
        <bgColor indexed="64"/>
      </patternFill>
    </fill>
    <fill>
      <patternFill patternType="solid">
        <fgColor theme="0"/>
        <bgColor indexed="64"/>
      </patternFill>
    </fill>
  </fills>
  <borders count="5">
    <border>
      <left/>
      <right/>
      <top/>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2">
    <xf numFmtId="0" fontId="0" fillId="0" borderId="0"/>
    <xf numFmtId="0" fontId="60" fillId="0" borderId="0" applyNumberFormat="0" applyFill="0" applyBorder="0" applyAlignment="0" applyProtection="0"/>
  </cellStyleXfs>
  <cellXfs count="236">
    <xf numFmtId="0" fontId="0" fillId="0" borderId="0" xfId="0"/>
    <xf numFmtId="0" fontId="4" fillId="0" borderId="0" xfId="0" applyFont="1" applyAlignment="1">
      <alignment horizontal="justify"/>
    </xf>
    <xf numFmtId="0" fontId="0" fillId="0" borderId="0" xfId="0" applyAlignment="1">
      <alignment shrinkToFit="1"/>
    </xf>
    <xf numFmtId="0" fontId="4" fillId="0" borderId="0" xfId="0" applyFont="1" applyAlignment="1">
      <alignment horizontal="justify" shrinkToFit="1"/>
    </xf>
    <xf numFmtId="0" fontId="1" fillId="0" borderId="0" xfId="0" applyFont="1"/>
    <xf numFmtId="0" fontId="5" fillId="0" borderId="0" xfId="0" applyFont="1"/>
    <xf numFmtId="0" fontId="6" fillId="0" borderId="0" xfId="0" applyFont="1"/>
    <xf numFmtId="0" fontId="7" fillId="0" borderId="0" xfId="0" applyFont="1"/>
    <xf numFmtId="0" fontId="8" fillId="0" borderId="0" xfId="0" applyFont="1"/>
    <xf numFmtId="0" fontId="8" fillId="0" borderId="0" xfId="0" applyFont="1" applyAlignment="1">
      <alignment vertical="center"/>
    </xf>
    <xf numFmtId="0" fontId="17" fillId="0" borderId="0" xfId="0" applyFont="1" applyAlignment="1">
      <alignment vertical="center"/>
    </xf>
    <xf numFmtId="0" fontId="17" fillId="0" borderId="0" xfId="0" applyFont="1" applyAlignment="1">
      <alignment horizontal="justify" vertical="center"/>
    </xf>
    <xf numFmtId="0" fontId="20" fillId="0" borderId="0" xfId="0" applyFont="1" applyAlignment="1">
      <alignment vertical="center"/>
    </xf>
    <xf numFmtId="0" fontId="20" fillId="0" borderId="0" xfId="0" applyFont="1" applyAlignment="1">
      <alignment vertical="center" wrapText="1"/>
    </xf>
    <xf numFmtId="0" fontId="17" fillId="0" borderId="0" xfId="0" applyFont="1" applyAlignment="1">
      <alignment vertical="center" shrinkToFit="1"/>
    </xf>
    <xf numFmtId="0" fontId="17" fillId="0" borderId="0" xfId="0" applyFont="1" applyAlignment="1">
      <alignment horizontal="justify" vertical="center" shrinkToFit="1"/>
    </xf>
    <xf numFmtId="0" fontId="21" fillId="0" borderId="0" xfId="0" applyFont="1" applyAlignment="1">
      <alignment vertical="center"/>
    </xf>
    <xf numFmtId="0" fontId="21" fillId="0" borderId="0" xfId="0" applyFont="1" applyAlignment="1">
      <alignment horizontal="justify" vertical="center"/>
    </xf>
    <xf numFmtId="0" fontId="22" fillId="0" borderId="0" xfId="0" applyFont="1" applyAlignment="1">
      <alignment vertical="center"/>
    </xf>
    <xf numFmtId="0" fontId="20" fillId="2" borderId="0" xfId="0" applyFont="1" applyFill="1" applyAlignment="1">
      <alignment vertical="center" wrapText="1"/>
    </xf>
    <xf numFmtId="0" fontId="17" fillId="0" borderId="0" xfId="0" applyFont="1" applyAlignment="1" applyProtection="1">
      <alignment vertical="center" wrapText="1"/>
      <protection locked="0"/>
    </xf>
    <xf numFmtId="0" fontId="11" fillId="0" borderId="0" xfId="0" applyFont="1" applyAlignment="1">
      <alignment horizontal="right" vertical="center"/>
    </xf>
    <xf numFmtId="0" fontId="11" fillId="0" borderId="0" xfId="0" applyFont="1" applyAlignment="1">
      <alignment vertical="center"/>
    </xf>
    <xf numFmtId="0" fontId="11" fillId="0" borderId="0" xfId="0" applyFont="1" applyAlignment="1">
      <alignment horizontal="right" vertical="center" shrinkToFit="1"/>
    </xf>
    <xf numFmtId="0" fontId="1" fillId="0" borderId="0" xfId="0" applyFont="1" applyAlignment="1">
      <alignment vertical="center"/>
    </xf>
    <xf numFmtId="0" fontId="1" fillId="0" borderId="0" xfId="0" applyFont="1" applyAlignment="1">
      <alignment horizontal="justify" vertical="center"/>
    </xf>
    <xf numFmtId="0" fontId="1" fillId="0" borderId="0" xfId="0" applyFont="1" applyAlignment="1">
      <alignment vertical="center" shrinkToFit="1"/>
    </xf>
    <xf numFmtId="0" fontId="1" fillId="0" borderId="0" xfId="0" applyFont="1" applyAlignment="1">
      <alignment horizontal="justify" vertical="center" shrinkToFit="1"/>
    </xf>
    <xf numFmtId="0" fontId="1" fillId="0" borderId="0" xfId="0" applyFont="1" applyAlignment="1">
      <alignment horizontal="left" vertical="center"/>
    </xf>
    <xf numFmtId="0" fontId="7" fillId="0" borderId="0" xfId="0" applyFont="1" applyAlignment="1">
      <alignment vertical="center"/>
    </xf>
    <xf numFmtId="0" fontId="25" fillId="0" borderId="0" xfId="0" applyFont="1" applyAlignment="1">
      <alignment vertical="center"/>
    </xf>
    <xf numFmtId="0" fontId="7" fillId="0" borderId="0" xfId="0" applyFont="1" applyAlignment="1">
      <alignment horizontal="justify" vertical="center"/>
    </xf>
    <xf numFmtId="0" fontId="30" fillId="0" borderId="0" xfId="0" applyFont="1" applyAlignment="1">
      <alignment vertical="center"/>
    </xf>
    <xf numFmtId="0" fontId="26" fillId="0" borderId="0" xfId="0" applyFont="1" applyAlignment="1">
      <alignment vertical="center"/>
    </xf>
    <xf numFmtId="0" fontId="36" fillId="0" borderId="0" xfId="0" applyFont="1" applyAlignment="1">
      <alignment vertical="center"/>
    </xf>
    <xf numFmtId="0" fontId="38" fillId="0" borderId="0" xfId="0" applyFont="1" applyAlignment="1">
      <alignment horizontal="justify" vertical="center"/>
    </xf>
    <xf numFmtId="49" fontId="0" fillId="0" borderId="0" xfId="0" applyNumberFormat="1"/>
    <xf numFmtId="0" fontId="17" fillId="0" borderId="0" xfId="0" applyFont="1" applyAlignment="1">
      <alignment horizontal="left" vertical="center"/>
    </xf>
    <xf numFmtId="49" fontId="17" fillId="0" borderId="0" xfId="0" applyNumberFormat="1" applyFont="1" applyAlignment="1">
      <alignment vertical="center"/>
    </xf>
    <xf numFmtId="49" fontId="17" fillId="0" borderId="0" xfId="0" applyNumberFormat="1" applyFont="1" applyAlignment="1">
      <alignment horizontal="justify" vertical="center"/>
    </xf>
    <xf numFmtId="49" fontId="20" fillId="0" borderId="0" xfId="0" applyNumberFormat="1" applyFont="1" applyAlignment="1">
      <alignment vertical="center"/>
    </xf>
    <xf numFmtId="49" fontId="20" fillId="0" borderId="0" xfId="0" applyNumberFormat="1" applyFont="1" applyAlignment="1">
      <alignment vertical="center" wrapText="1"/>
    </xf>
    <xf numFmtId="49" fontId="17" fillId="0" borderId="0" xfId="0" applyNumberFormat="1" applyFont="1" applyAlignment="1">
      <alignment vertical="center" shrinkToFit="1"/>
    </xf>
    <xf numFmtId="49" fontId="21" fillId="0" borderId="0" xfId="0" applyNumberFormat="1" applyFont="1" applyAlignment="1">
      <alignment vertical="center"/>
    </xf>
    <xf numFmtId="49" fontId="22" fillId="0" borderId="0" xfId="0" applyNumberFormat="1" applyFont="1" applyAlignment="1">
      <alignment vertical="center"/>
    </xf>
    <xf numFmtId="0" fontId="27" fillId="3" borderId="0" xfId="0" applyFont="1" applyFill="1" applyAlignment="1">
      <alignment vertical="center"/>
    </xf>
    <xf numFmtId="49" fontId="18" fillId="3" borderId="0" xfId="0" applyNumberFormat="1" applyFont="1" applyFill="1" applyAlignment="1">
      <alignment vertical="center"/>
    </xf>
    <xf numFmtId="0" fontId="18" fillId="3" borderId="0" xfId="0" applyFont="1" applyFill="1" applyAlignment="1">
      <alignment vertical="center"/>
    </xf>
    <xf numFmtId="0" fontId="11" fillId="3" borderId="0" xfId="0" applyFont="1" applyFill="1" applyAlignment="1">
      <alignment vertical="center"/>
    </xf>
    <xf numFmtId="0" fontId="17" fillId="3" borderId="0" xfId="0" applyFont="1" applyFill="1" applyAlignment="1">
      <alignment horizontal="left" vertical="center"/>
    </xf>
    <xf numFmtId="0" fontId="1" fillId="3" borderId="0" xfId="0" applyFont="1" applyFill="1" applyAlignment="1">
      <alignment vertical="center"/>
    </xf>
    <xf numFmtId="0" fontId="0" fillId="3" borderId="0" xfId="0" applyFill="1"/>
    <xf numFmtId="0" fontId="24" fillId="3" borderId="0" xfId="0" applyFont="1" applyFill="1" applyAlignment="1">
      <alignment vertical="center"/>
    </xf>
    <xf numFmtId="0" fontId="11" fillId="3" borderId="0" xfId="0" applyFont="1" applyFill="1" applyAlignment="1">
      <alignment horizontal="right" vertical="center"/>
    </xf>
    <xf numFmtId="0" fontId="6" fillId="3" borderId="0" xfId="0" applyFont="1" applyFill="1" applyAlignment="1">
      <alignment vertical="center"/>
    </xf>
    <xf numFmtId="49" fontId="17" fillId="3" borderId="0" xfId="0" applyNumberFormat="1" applyFont="1" applyFill="1" applyAlignment="1">
      <alignment vertical="center"/>
    </xf>
    <xf numFmtId="0" fontId="17" fillId="3" borderId="0" xfId="0" applyFont="1" applyFill="1" applyAlignment="1">
      <alignment vertical="center"/>
    </xf>
    <xf numFmtId="0" fontId="6" fillId="3" borderId="0" xfId="0" applyFont="1" applyFill="1"/>
    <xf numFmtId="0" fontId="7" fillId="3" borderId="0" xfId="0" applyFont="1" applyFill="1"/>
    <xf numFmtId="0" fontId="28" fillId="3" borderId="0" xfId="0" applyFont="1" applyFill="1" applyAlignment="1">
      <alignment vertical="center"/>
    </xf>
    <xf numFmtId="49" fontId="19" fillId="3" borderId="0" xfId="0" applyNumberFormat="1" applyFont="1" applyFill="1" applyAlignment="1">
      <alignment vertical="center"/>
    </xf>
    <xf numFmtId="0" fontId="19" fillId="3" borderId="0" xfId="0" applyFont="1" applyFill="1" applyAlignment="1">
      <alignment vertical="center"/>
    </xf>
    <xf numFmtId="0" fontId="1" fillId="3" borderId="0" xfId="0" applyFont="1" applyFill="1" applyAlignment="1">
      <alignment horizontal="justify" vertical="center"/>
    </xf>
    <xf numFmtId="0" fontId="3" fillId="3" borderId="0" xfId="0" applyFont="1" applyFill="1"/>
    <xf numFmtId="49" fontId="18" fillId="3" borderId="0" xfId="0" applyNumberFormat="1" applyFont="1" applyFill="1" applyAlignment="1">
      <alignment vertical="center" wrapText="1"/>
    </xf>
    <xf numFmtId="0" fontId="18" fillId="3" borderId="0" xfId="0" applyFont="1" applyFill="1" applyAlignment="1">
      <alignment vertical="center" wrapText="1"/>
    </xf>
    <xf numFmtId="0" fontId="27" fillId="3" borderId="0" xfId="0" applyFont="1" applyFill="1" applyAlignment="1">
      <alignment horizontal="justify" vertical="center"/>
    </xf>
    <xf numFmtId="49" fontId="18" fillId="3" borderId="0" xfId="0" applyNumberFormat="1" applyFont="1" applyFill="1" applyAlignment="1">
      <alignment horizontal="justify" vertical="center"/>
    </xf>
    <xf numFmtId="0" fontId="18" fillId="3" borderId="0" xfId="0" applyFont="1" applyFill="1" applyAlignment="1">
      <alignment horizontal="justify" vertical="center"/>
    </xf>
    <xf numFmtId="0" fontId="8" fillId="3" borderId="0" xfId="0" applyFont="1" applyFill="1"/>
    <xf numFmtId="0" fontId="7" fillId="3" borderId="0" xfId="0" applyFont="1" applyFill="1" applyAlignment="1">
      <alignment vertical="center"/>
    </xf>
    <xf numFmtId="49" fontId="22" fillId="3" borderId="0" xfId="0" applyNumberFormat="1" applyFont="1" applyFill="1" applyAlignment="1">
      <alignment vertical="center"/>
    </xf>
    <xf numFmtId="0" fontId="22" fillId="3" borderId="0" xfId="0" applyFont="1" applyFill="1" applyAlignment="1">
      <alignment vertical="center"/>
    </xf>
    <xf numFmtId="0" fontId="14" fillId="0" borderId="0" xfId="0" applyFont="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5" fillId="0" borderId="0" xfId="0" applyFont="1" applyAlignment="1">
      <alignment vertical="center"/>
    </xf>
    <xf numFmtId="0" fontId="15" fillId="3" borderId="0" xfId="0" applyFont="1" applyFill="1" applyAlignment="1">
      <alignment vertical="center"/>
    </xf>
    <xf numFmtId="0" fontId="0" fillId="0" borderId="0" xfId="0" applyAlignment="1">
      <alignment vertical="center"/>
    </xf>
    <xf numFmtId="0" fontId="10" fillId="3" borderId="0" xfId="0" applyFont="1" applyFill="1" applyAlignment="1">
      <alignment vertical="center"/>
    </xf>
    <xf numFmtId="0" fontId="12" fillId="0" borderId="0" xfId="0" applyFont="1" applyAlignment="1">
      <alignment vertical="center"/>
    </xf>
    <xf numFmtId="0" fontId="12" fillId="3" borderId="0" xfId="0" applyFont="1" applyFill="1" applyAlignment="1">
      <alignment vertical="center"/>
    </xf>
    <xf numFmtId="164" fontId="1" fillId="0" borderId="0" xfId="0" applyNumberFormat="1" applyFont="1" applyAlignment="1">
      <alignment vertical="center"/>
    </xf>
    <xf numFmtId="0" fontId="0" fillId="3" borderId="0" xfId="0" applyFill="1" applyAlignment="1">
      <alignment vertical="center"/>
    </xf>
    <xf numFmtId="49" fontId="1" fillId="0" borderId="0" xfId="0" applyNumberFormat="1" applyFont="1" applyAlignment="1">
      <alignment vertical="center"/>
    </xf>
    <xf numFmtId="0" fontId="5" fillId="0" borderId="0" xfId="0" applyFont="1" applyAlignment="1">
      <alignment vertical="center"/>
    </xf>
    <xf numFmtId="0" fontId="3" fillId="3" borderId="0" xfId="0" applyFont="1" applyFill="1" applyAlignment="1">
      <alignment vertical="center"/>
    </xf>
    <xf numFmtId="0" fontId="0" fillId="0" borderId="0" xfId="0" applyAlignment="1">
      <alignment vertical="center" shrinkToFit="1"/>
    </xf>
    <xf numFmtId="49" fontId="1" fillId="0" borderId="0" xfId="0" applyNumberFormat="1" applyFont="1" applyAlignment="1">
      <alignment vertical="center" shrinkToFit="1"/>
    </xf>
    <xf numFmtId="49" fontId="8" fillId="0" borderId="0" xfId="0" applyNumberFormat="1" applyFont="1" applyAlignment="1">
      <alignment vertical="center"/>
    </xf>
    <xf numFmtId="0" fontId="8" fillId="3" borderId="0" xfId="0" applyFont="1" applyFill="1" applyAlignment="1">
      <alignment vertical="center"/>
    </xf>
    <xf numFmtId="49" fontId="8" fillId="3" borderId="0" xfId="0" applyNumberFormat="1" applyFont="1" applyFill="1" applyAlignment="1">
      <alignment vertical="center"/>
    </xf>
    <xf numFmtId="164" fontId="8" fillId="3" borderId="0" xfId="0" applyNumberFormat="1" applyFont="1" applyFill="1" applyAlignment="1">
      <alignment vertical="center"/>
    </xf>
    <xf numFmtId="0" fontId="41" fillId="3" borderId="0" xfId="0" applyFont="1" applyFill="1" applyAlignment="1">
      <alignment vertical="center"/>
    </xf>
    <xf numFmtId="0" fontId="42" fillId="3" borderId="0" xfId="0" applyFont="1" applyFill="1" applyAlignment="1">
      <alignment vertical="center"/>
    </xf>
    <xf numFmtId="0" fontId="43" fillId="3" borderId="0" xfId="0" applyFont="1" applyFill="1" applyAlignment="1">
      <alignment horizontal="left" vertical="center"/>
    </xf>
    <xf numFmtId="0" fontId="44" fillId="3" borderId="0" xfId="0" applyFont="1" applyFill="1" applyAlignment="1">
      <alignment horizontal="left" vertical="center"/>
    </xf>
    <xf numFmtId="0" fontId="43" fillId="3" borderId="0" xfId="0" applyFont="1" applyFill="1" applyAlignment="1">
      <alignment vertical="center"/>
    </xf>
    <xf numFmtId="164" fontId="41" fillId="3" borderId="0" xfId="0" applyNumberFormat="1" applyFont="1" applyFill="1" applyAlignment="1">
      <alignment vertical="center"/>
    </xf>
    <xf numFmtId="0" fontId="41" fillId="3" borderId="0" xfId="0" applyFont="1" applyFill="1"/>
    <xf numFmtId="0" fontId="45" fillId="3" borderId="0" xfId="0" applyFont="1" applyFill="1" applyAlignment="1">
      <alignment vertical="center"/>
    </xf>
    <xf numFmtId="0" fontId="46" fillId="3" borderId="0" xfId="0" applyFont="1" applyFill="1" applyAlignment="1">
      <alignment vertical="center"/>
    </xf>
    <xf numFmtId="0" fontId="45" fillId="0" borderId="0" xfId="0" applyFont="1" applyAlignment="1">
      <alignment vertical="center"/>
    </xf>
    <xf numFmtId="0" fontId="45" fillId="0" borderId="0" xfId="0" applyFont="1" applyAlignment="1">
      <alignment horizontal="justify" vertical="center"/>
    </xf>
    <xf numFmtId="0" fontId="45" fillId="0" borderId="0" xfId="0" applyFont="1" applyAlignment="1">
      <alignment vertical="center" shrinkToFit="1"/>
    </xf>
    <xf numFmtId="0" fontId="45" fillId="0" borderId="0" xfId="0" applyFont="1" applyAlignment="1">
      <alignment horizontal="justify" vertical="center" shrinkToFit="1"/>
    </xf>
    <xf numFmtId="0" fontId="46" fillId="0" borderId="0" xfId="0" applyFont="1" applyAlignment="1">
      <alignment vertical="center"/>
    </xf>
    <xf numFmtId="0" fontId="47" fillId="3" borderId="0" xfId="0" applyFont="1" applyFill="1" applyAlignment="1">
      <alignment vertical="center"/>
    </xf>
    <xf numFmtId="0" fontId="44" fillId="3" borderId="0" xfId="0" applyFont="1" applyFill="1" applyAlignment="1">
      <alignment vertical="center"/>
    </xf>
    <xf numFmtId="49" fontId="18" fillId="3" borderId="0" xfId="0" applyNumberFormat="1" applyFont="1" applyFill="1" applyAlignment="1">
      <alignment horizontal="left" vertical="center"/>
    </xf>
    <xf numFmtId="49" fontId="17" fillId="3" borderId="0" xfId="0" applyNumberFormat="1" applyFont="1" applyFill="1" applyAlignment="1">
      <alignment horizontal="left" vertical="center"/>
    </xf>
    <xf numFmtId="49" fontId="17" fillId="0" borderId="0" xfId="0" applyNumberFormat="1" applyFont="1" applyAlignment="1">
      <alignment horizontal="left" vertical="center"/>
    </xf>
    <xf numFmtId="49" fontId="19" fillId="3" borderId="0" xfId="0" applyNumberFormat="1" applyFont="1" applyFill="1" applyAlignment="1">
      <alignment horizontal="left" vertical="center"/>
    </xf>
    <xf numFmtId="49" fontId="20" fillId="0" borderId="0" xfId="0" applyNumberFormat="1" applyFont="1" applyAlignment="1">
      <alignment horizontal="left" vertical="center"/>
    </xf>
    <xf numFmtId="49" fontId="20" fillId="0" borderId="0" xfId="0" applyNumberFormat="1" applyFont="1" applyAlignment="1">
      <alignment horizontal="left" vertical="center" wrapText="1"/>
    </xf>
    <xf numFmtId="49" fontId="17" fillId="0" borderId="0" xfId="0" applyNumberFormat="1" applyFont="1" applyAlignment="1">
      <alignment horizontal="left" vertical="center" shrinkToFit="1"/>
    </xf>
    <xf numFmtId="49" fontId="21" fillId="0" borderId="0" xfId="0" applyNumberFormat="1" applyFont="1" applyAlignment="1">
      <alignment horizontal="left" vertical="center"/>
    </xf>
    <xf numFmtId="49" fontId="22" fillId="0" borderId="0" xfId="0" applyNumberFormat="1" applyFont="1" applyAlignment="1">
      <alignment horizontal="left" vertical="center"/>
    </xf>
    <xf numFmtId="49" fontId="17" fillId="0" borderId="0" xfId="0" applyNumberFormat="1" applyFont="1" applyAlignment="1" applyProtection="1">
      <alignment horizontal="left" vertical="center" wrapText="1"/>
      <protection locked="0"/>
    </xf>
    <xf numFmtId="49" fontId="18" fillId="3" borderId="0" xfId="0" applyNumberFormat="1" applyFont="1" applyFill="1" applyAlignment="1">
      <alignment horizontal="left" vertical="center" wrapText="1"/>
    </xf>
    <xf numFmtId="49" fontId="22" fillId="3" borderId="0" xfId="0" applyNumberFormat="1" applyFont="1" applyFill="1" applyAlignment="1">
      <alignment horizontal="left" vertical="center"/>
    </xf>
    <xf numFmtId="0" fontId="11" fillId="4" borderId="0" xfId="0" applyFont="1" applyFill="1" applyAlignment="1">
      <alignment vertical="center"/>
    </xf>
    <xf numFmtId="49" fontId="43" fillId="3" borderId="0" xfId="0" applyNumberFormat="1" applyFont="1" applyFill="1" applyAlignment="1">
      <alignment horizontal="left" vertical="center"/>
    </xf>
    <xf numFmtId="49" fontId="44" fillId="3" borderId="0" xfId="0" applyNumberFormat="1" applyFont="1" applyFill="1" applyAlignment="1">
      <alignment horizontal="left" vertical="center"/>
    </xf>
    <xf numFmtId="0" fontId="17" fillId="0" borderId="0" xfId="0" applyFont="1"/>
    <xf numFmtId="49" fontId="17" fillId="0" borderId="0" xfId="0" applyNumberFormat="1" applyFont="1" applyAlignment="1">
      <alignment horizontal="left"/>
    </xf>
    <xf numFmtId="0" fontId="49" fillId="3" borderId="0" xfId="0" applyFont="1" applyFill="1" applyAlignment="1">
      <alignment vertical="center"/>
    </xf>
    <xf numFmtId="14" fontId="17" fillId="0" borderId="0" xfId="0" applyNumberFormat="1" applyFont="1" applyAlignment="1">
      <alignment vertical="center"/>
    </xf>
    <xf numFmtId="0" fontId="23" fillId="3" borderId="0" xfId="0" applyFont="1" applyFill="1" applyAlignment="1">
      <alignment vertical="center"/>
    </xf>
    <xf numFmtId="0" fontId="39" fillId="3" borderId="0" xfId="0" applyFont="1" applyFill="1" applyAlignment="1">
      <alignment vertical="center"/>
    </xf>
    <xf numFmtId="0" fontId="39" fillId="0" borderId="0" xfId="0" applyFont="1" applyAlignment="1">
      <alignment vertical="center"/>
    </xf>
    <xf numFmtId="0" fontId="50" fillId="0" borderId="0" xfId="0" applyFont="1" applyAlignment="1">
      <alignment vertical="center"/>
    </xf>
    <xf numFmtId="164" fontId="1" fillId="3" borderId="0" xfId="0" applyNumberFormat="1" applyFont="1" applyFill="1" applyAlignment="1">
      <alignment vertical="center"/>
    </xf>
    <xf numFmtId="164" fontId="54" fillId="3" borderId="0" xfId="0" applyNumberFormat="1" applyFont="1" applyFill="1" applyAlignment="1">
      <alignment vertical="center"/>
    </xf>
    <xf numFmtId="0" fontId="54" fillId="3" borderId="0" xfId="0" applyFont="1" applyFill="1" applyAlignment="1">
      <alignment vertical="center"/>
    </xf>
    <xf numFmtId="0" fontId="1" fillId="3" borderId="0" xfId="0" applyFont="1" applyFill="1" applyAlignment="1">
      <alignment vertical="center" shrinkToFit="1"/>
    </xf>
    <xf numFmtId="49" fontId="43" fillId="3" borderId="0" xfId="0" applyNumberFormat="1" applyFont="1" applyFill="1" applyAlignment="1">
      <alignment horizontal="center" vertical="center"/>
    </xf>
    <xf numFmtId="49" fontId="1" fillId="3" borderId="0" xfId="0" applyNumberFormat="1" applyFont="1" applyFill="1" applyAlignment="1">
      <alignment vertical="center"/>
    </xf>
    <xf numFmtId="49" fontId="56" fillId="0" borderId="0" xfId="0" applyNumberFormat="1" applyFont="1" applyAlignment="1">
      <alignment vertical="center"/>
    </xf>
    <xf numFmtId="49" fontId="54" fillId="3" borderId="0" xfId="0" applyNumberFormat="1" applyFont="1" applyFill="1" applyAlignment="1">
      <alignment vertical="center"/>
    </xf>
    <xf numFmtId="49" fontId="55" fillId="0" borderId="0" xfId="0" applyNumberFormat="1" applyFont="1" applyAlignment="1">
      <alignment vertical="center"/>
    </xf>
    <xf numFmtId="49" fontId="1" fillId="3" borderId="0" xfId="0" applyNumberFormat="1" applyFont="1" applyFill="1" applyAlignment="1">
      <alignment vertical="center" shrinkToFit="1"/>
    </xf>
    <xf numFmtId="0" fontId="53" fillId="3" borderId="0" xfId="0" applyFont="1" applyFill="1" applyAlignment="1">
      <alignment horizontal="left" vertical="center"/>
    </xf>
    <xf numFmtId="0" fontId="8" fillId="5" borderId="0" xfId="0" applyFont="1" applyFill="1"/>
    <xf numFmtId="0" fontId="1" fillId="5" borderId="0" xfId="0" applyFont="1" applyFill="1"/>
    <xf numFmtId="0" fontId="0" fillId="5" borderId="0" xfId="0" applyFill="1"/>
    <xf numFmtId="0" fontId="52" fillId="3" borderId="0" xfId="0" applyFont="1" applyFill="1" applyAlignment="1">
      <alignment horizontal="left" vertical="center"/>
    </xf>
    <xf numFmtId="0" fontId="48" fillId="3" borderId="0" xfId="0" applyFont="1" applyFill="1" applyAlignment="1">
      <alignment vertical="center"/>
    </xf>
    <xf numFmtId="0" fontId="21" fillId="0" borderId="0" xfId="0" applyFont="1" applyAlignment="1">
      <alignment horizontal="left" vertical="center"/>
    </xf>
    <xf numFmtId="0" fontId="16" fillId="3" borderId="0" xfId="0" applyFont="1" applyFill="1" applyAlignment="1">
      <alignment horizontal="left" vertical="center"/>
    </xf>
    <xf numFmtId="0" fontId="16" fillId="0" borderId="0" xfId="0" applyFont="1" applyAlignment="1">
      <alignment horizontal="left" vertical="center"/>
    </xf>
    <xf numFmtId="0" fontId="17" fillId="0" borderId="0" xfId="0" applyFont="1" applyAlignment="1">
      <alignment horizontal="left" vertical="center" shrinkToFit="1"/>
    </xf>
    <xf numFmtId="0" fontId="17" fillId="3" borderId="0" xfId="0" applyFont="1" applyFill="1" applyAlignment="1">
      <alignment horizontal="left" vertical="center" shrinkToFit="1"/>
    </xf>
    <xf numFmtId="0" fontId="57" fillId="3" borderId="0" xfId="0" applyFont="1" applyFill="1" applyAlignment="1">
      <alignment horizontal="center" vertical="center"/>
    </xf>
    <xf numFmtId="49" fontId="52" fillId="3" borderId="0" xfId="0" applyNumberFormat="1" applyFont="1" applyFill="1" applyAlignment="1">
      <alignment vertical="center"/>
    </xf>
    <xf numFmtId="49" fontId="17" fillId="0" borderId="0" xfId="0" applyNumberFormat="1" applyFont="1" applyAlignment="1">
      <alignment horizontal="left" vertical="center" wrapText="1"/>
    </xf>
    <xf numFmtId="0" fontId="30" fillId="2" borderId="1" xfId="0" applyFont="1" applyFill="1" applyBorder="1" applyAlignment="1">
      <alignment vertical="center"/>
    </xf>
    <xf numFmtId="0" fontId="30" fillId="2" borderId="3" xfId="0" applyFont="1" applyFill="1" applyBorder="1" applyAlignment="1">
      <alignment vertical="center"/>
    </xf>
    <xf numFmtId="0" fontId="30" fillId="2" borderId="2" xfId="0" applyFont="1" applyFill="1" applyBorder="1" applyAlignment="1">
      <alignment vertical="center"/>
    </xf>
    <xf numFmtId="0" fontId="7" fillId="0" borderId="0" xfId="0" applyFont="1" applyAlignment="1" applyProtection="1">
      <alignment vertical="center"/>
      <protection locked="0"/>
    </xf>
    <xf numFmtId="0" fontId="27" fillId="0" borderId="0" xfId="0" applyFont="1" applyAlignment="1">
      <alignment vertical="center"/>
    </xf>
    <xf numFmtId="17" fontId="17" fillId="0" borderId="0" xfId="0" applyNumberFormat="1" applyFont="1" applyAlignment="1">
      <alignment vertical="center"/>
    </xf>
    <xf numFmtId="0" fontId="60" fillId="0" borderId="0" xfId="1" applyAlignment="1">
      <alignment vertical="center"/>
    </xf>
    <xf numFmtId="49" fontId="51" fillId="0" borderId="0" xfId="0" applyNumberFormat="1" applyFont="1" applyAlignment="1">
      <alignment vertical="center"/>
    </xf>
    <xf numFmtId="14" fontId="22" fillId="0" borderId="0" xfId="0" applyNumberFormat="1" applyFont="1" applyAlignment="1">
      <alignment vertical="center"/>
    </xf>
    <xf numFmtId="0" fontId="7" fillId="0" borderId="0" xfId="0" applyFont="1" applyAlignment="1">
      <alignment vertical="top"/>
    </xf>
    <xf numFmtId="49" fontId="20" fillId="2" borderId="4" xfId="0" applyNumberFormat="1" applyFont="1" applyFill="1" applyBorder="1" applyAlignment="1">
      <alignment vertical="center" wrapText="1"/>
    </xf>
    <xf numFmtId="49" fontId="20" fillId="2" borderId="4" xfId="0" applyNumberFormat="1" applyFont="1" applyFill="1" applyBorder="1" applyAlignment="1">
      <alignment horizontal="left" vertical="center" wrapText="1"/>
    </xf>
    <xf numFmtId="49" fontId="17" fillId="0" borderId="4" xfId="0" applyNumberFormat="1" applyFont="1" applyBorder="1" applyAlignment="1">
      <alignment vertical="center"/>
    </xf>
    <xf numFmtId="49" fontId="17" fillId="0" borderId="4" xfId="0" applyNumberFormat="1" applyFont="1" applyBorder="1" applyAlignment="1">
      <alignment horizontal="left" vertical="center"/>
    </xf>
    <xf numFmtId="49" fontId="52" fillId="3" borderId="0" xfId="0" applyNumberFormat="1" applyFont="1" applyFill="1" applyAlignment="1">
      <alignment horizontal="justify" vertical="top"/>
    </xf>
    <xf numFmtId="49" fontId="20" fillId="2" borderId="4" xfId="0" applyNumberFormat="1" applyFont="1" applyFill="1" applyBorder="1" applyAlignment="1">
      <alignment horizontal="left" vertical="top"/>
    </xf>
    <xf numFmtId="165" fontId="41" fillId="3" borderId="0" xfId="0" applyNumberFormat="1" applyFont="1" applyFill="1" applyAlignment="1">
      <alignment vertical="center"/>
    </xf>
    <xf numFmtId="165" fontId="0" fillId="3" borderId="0" xfId="0" applyNumberFormat="1" applyFill="1" applyAlignment="1">
      <alignment vertical="center"/>
    </xf>
    <xf numFmtId="165" fontId="6" fillId="3" borderId="0" xfId="0" applyNumberFormat="1" applyFont="1" applyFill="1" applyAlignment="1">
      <alignment vertical="center"/>
    </xf>
    <xf numFmtId="165" fontId="7" fillId="0" borderId="0" xfId="0" applyNumberFormat="1" applyFont="1" applyAlignment="1">
      <alignment vertical="center"/>
    </xf>
    <xf numFmtId="165" fontId="7" fillId="3" borderId="0" xfId="0" applyNumberFormat="1" applyFont="1" applyFill="1" applyAlignment="1">
      <alignment vertical="center"/>
    </xf>
    <xf numFmtId="165" fontId="0" fillId="0" borderId="0" xfId="0" applyNumberFormat="1" applyAlignment="1">
      <alignment vertical="center"/>
    </xf>
    <xf numFmtId="165" fontId="1" fillId="0" borderId="0" xfId="0" applyNumberFormat="1" applyFont="1" applyAlignment="1">
      <alignment vertical="center"/>
    </xf>
    <xf numFmtId="165" fontId="9" fillId="0" borderId="0" xfId="0" applyNumberFormat="1" applyFont="1" applyAlignment="1">
      <alignment vertical="center"/>
    </xf>
    <xf numFmtId="165" fontId="5" fillId="0" borderId="0" xfId="0" applyNumberFormat="1" applyFont="1" applyAlignment="1">
      <alignment vertical="center"/>
    </xf>
    <xf numFmtId="165" fontId="3" fillId="3" borderId="0" xfId="0" applyNumberFormat="1" applyFont="1" applyFill="1" applyAlignment="1">
      <alignment vertical="center"/>
    </xf>
    <xf numFmtId="165" fontId="2" fillId="0" borderId="0" xfId="0" applyNumberFormat="1" applyFont="1" applyAlignment="1">
      <alignment vertical="center"/>
    </xf>
    <xf numFmtId="165" fontId="0" fillId="0" borderId="0" xfId="0" applyNumberFormat="1" applyAlignment="1">
      <alignment vertical="center" shrinkToFit="1"/>
    </xf>
    <xf numFmtId="165" fontId="1" fillId="0" borderId="0" xfId="0" applyNumberFormat="1" applyFont="1" applyAlignment="1">
      <alignment vertical="center" shrinkToFit="1"/>
    </xf>
    <xf numFmtId="165" fontId="0" fillId="3" borderId="0" xfId="0" applyNumberFormat="1" applyFill="1" applyAlignment="1">
      <alignment vertical="center" shrinkToFit="1"/>
    </xf>
    <xf numFmtId="165" fontId="8" fillId="0" borderId="0" xfId="0" applyNumberFormat="1" applyFont="1" applyAlignment="1">
      <alignment vertical="center"/>
    </xf>
    <xf numFmtId="165" fontId="61" fillId="3" borderId="0" xfId="0" applyNumberFormat="1" applyFont="1" applyFill="1" applyAlignment="1">
      <alignment vertical="center"/>
    </xf>
    <xf numFmtId="165" fontId="8" fillId="3" borderId="0" xfId="0" applyNumberFormat="1" applyFont="1" applyFill="1" applyAlignment="1">
      <alignment vertical="center"/>
    </xf>
    <xf numFmtId="0" fontId="62" fillId="3" borderId="0" xfId="0" applyFont="1" applyFill="1" applyAlignment="1">
      <alignment vertical="center"/>
    </xf>
    <xf numFmtId="0" fontId="17" fillId="6" borderId="0" xfId="0" applyFont="1" applyFill="1" applyAlignment="1">
      <alignment vertical="center"/>
    </xf>
    <xf numFmtId="0" fontId="17" fillId="0" borderId="0" xfId="0" applyFont="1" applyAlignment="1">
      <alignment horizontal="left"/>
    </xf>
    <xf numFmtId="0" fontId="33" fillId="3" borderId="0" xfId="0" applyFont="1" applyFill="1" applyAlignment="1">
      <alignment vertical="center"/>
    </xf>
    <xf numFmtId="0" fontId="37" fillId="3" borderId="0" xfId="0" applyFont="1" applyFill="1" applyAlignment="1">
      <alignment vertical="center"/>
    </xf>
    <xf numFmtId="0" fontId="32" fillId="0" borderId="0" xfId="0" applyFont="1" applyAlignment="1">
      <alignment vertical="center"/>
    </xf>
    <xf numFmtId="49" fontId="17" fillId="0" borderId="0" xfId="0" applyNumberFormat="1" applyFont="1" applyAlignment="1">
      <alignment horizontal="justify" vertical="center" shrinkToFit="1"/>
    </xf>
    <xf numFmtId="49" fontId="23" fillId="3" borderId="0" xfId="0" applyNumberFormat="1" applyFont="1" applyFill="1" applyAlignment="1">
      <alignment vertical="center"/>
    </xf>
    <xf numFmtId="49" fontId="23" fillId="3" borderId="0" xfId="0" applyNumberFormat="1" applyFont="1" applyFill="1" applyAlignment="1">
      <alignment horizontal="left" vertical="center"/>
    </xf>
    <xf numFmtId="0" fontId="49" fillId="3" borderId="0" xfId="0" applyFont="1" applyFill="1" applyAlignment="1">
      <alignment horizontal="left" vertical="center"/>
    </xf>
    <xf numFmtId="0" fontId="39" fillId="0" borderId="0" xfId="0" applyFont="1"/>
    <xf numFmtId="49" fontId="39" fillId="0" borderId="0" xfId="0" applyNumberFormat="1" applyFont="1" applyAlignment="1">
      <alignment vertical="center"/>
    </xf>
    <xf numFmtId="0" fontId="64" fillId="0" borderId="0" xfId="0" applyFont="1"/>
    <xf numFmtId="165" fontId="43" fillId="3" borderId="0" xfId="0" applyNumberFormat="1" applyFont="1" applyFill="1" applyAlignment="1">
      <alignment vertical="center"/>
    </xf>
    <xf numFmtId="0" fontId="57" fillId="3" borderId="0" xfId="0" applyFont="1" applyFill="1" applyAlignment="1">
      <alignment horizontal="left" vertical="center"/>
    </xf>
    <xf numFmtId="0" fontId="66" fillId="0" borderId="0" xfId="0" applyFont="1"/>
    <xf numFmtId="0" fontId="64" fillId="0" borderId="0" xfId="0" applyFont="1" applyAlignment="1">
      <alignment horizontal="center" vertical="center" wrapText="1"/>
    </xf>
    <xf numFmtId="0" fontId="32" fillId="2" borderId="1" xfId="0" applyFont="1" applyFill="1" applyBorder="1" applyAlignment="1">
      <alignment vertical="center"/>
    </xf>
    <xf numFmtId="0" fontId="32" fillId="0" borderId="0" xfId="0" applyFont="1" applyAlignment="1">
      <alignment horizontal="justify" vertical="center"/>
    </xf>
    <xf numFmtId="0" fontId="73" fillId="0" borderId="0" xfId="0" applyFont="1" applyAlignment="1">
      <alignment vertical="center"/>
    </xf>
    <xf numFmtId="0" fontId="73" fillId="0" borderId="0" xfId="0" applyFont="1" applyAlignment="1">
      <alignment horizontal="left" vertical="center"/>
    </xf>
    <xf numFmtId="17" fontId="22" fillId="0" borderId="0" xfId="0" applyNumberFormat="1" applyFont="1" applyAlignment="1">
      <alignment vertical="center"/>
    </xf>
    <xf numFmtId="14" fontId="20" fillId="2" borderId="0" xfId="0" applyNumberFormat="1" applyFont="1" applyFill="1" applyAlignment="1">
      <alignment vertical="center" wrapText="1"/>
    </xf>
    <xf numFmtId="49" fontId="17" fillId="3" borderId="0" xfId="0" applyNumberFormat="1" applyFont="1" applyFill="1" applyAlignment="1">
      <alignment horizontal="center" vertical="center"/>
    </xf>
    <xf numFmtId="49" fontId="39" fillId="3" borderId="0" xfId="0" applyNumberFormat="1" applyFont="1" applyFill="1" applyAlignment="1">
      <alignment horizontal="center" vertical="center"/>
    </xf>
    <xf numFmtId="49" fontId="17" fillId="0" borderId="0" xfId="0" applyNumberFormat="1" applyFont="1" applyAlignment="1">
      <alignment horizontal="center" vertical="center"/>
    </xf>
    <xf numFmtId="0" fontId="17" fillId="0" borderId="0" xfId="0" applyFont="1" applyAlignment="1">
      <alignment horizontal="center" vertical="center"/>
    </xf>
    <xf numFmtId="0" fontId="64" fillId="0" borderId="0" xfId="0" applyFont="1" applyAlignment="1">
      <alignment horizontal="center"/>
    </xf>
    <xf numFmtId="49" fontId="48" fillId="3" borderId="0" xfId="0" applyNumberFormat="1" applyFont="1" applyFill="1" applyAlignment="1">
      <alignment horizontal="center" vertical="center"/>
    </xf>
    <xf numFmtId="49" fontId="16" fillId="0" borderId="0" xfId="0" applyNumberFormat="1" applyFont="1" applyAlignment="1">
      <alignment horizontal="center" vertical="center"/>
    </xf>
    <xf numFmtId="49" fontId="17" fillId="0" borderId="0" xfId="0" applyNumberFormat="1" applyFont="1" applyAlignment="1">
      <alignment horizontal="center" vertical="center" shrinkToFit="1"/>
    </xf>
    <xf numFmtId="49" fontId="39" fillId="0" borderId="0" xfId="0" applyNumberFormat="1" applyFont="1" applyAlignment="1">
      <alignment horizontal="center" vertical="center"/>
    </xf>
    <xf numFmtId="0" fontId="17" fillId="0" borderId="0" xfId="0" applyFont="1" applyAlignment="1">
      <alignment horizontal="center" vertical="center" shrinkToFit="1"/>
    </xf>
    <xf numFmtId="49" fontId="39" fillId="0" borderId="0" xfId="0" applyNumberFormat="1" applyFont="1" applyAlignment="1">
      <alignment horizontal="center" vertical="center" shrinkToFit="1"/>
    </xf>
    <xf numFmtId="49" fontId="17" fillId="3" borderId="0" xfId="0" applyNumberFormat="1" applyFont="1" applyFill="1" applyAlignment="1">
      <alignment horizontal="center" vertical="center" shrinkToFit="1"/>
    </xf>
    <xf numFmtId="0" fontId="45" fillId="3" borderId="0" xfId="0" applyFont="1" applyFill="1" applyAlignment="1">
      <alignment horizontal="center" vertical="center"/>
    </xf>
    <xf numFmtId="0" fontId="0" fillId="3" borderId="0" xfId="0" applyFill="1" applyAlignment="1">
      <alignment horizontal="center" vertical="center"/>
    </xf>
    <xf numFmtId="49" fontId="18" fillId="3" borderId="0" xfId="0" applyNumberFormat="1" applyFont="1" applyFill="1" applyAlignment="1">
      <alignment horizontal="center" vertical="center"/>
    </xf>
    <xf numFmtId="0" fontId="27" fillId="3" borderId="0" xfId="0" applyFont="1" applyFill="1" applyAlignment="1">
      <alignment horizontal="center" vertical="center"/>
    </xf>
    <xf numFmtId="0" fontId="1" fillId="0" borderId="0" xfId="0" applyFont="1" applyAlignment="1">
      <alignment horizontal="center" vertical="center"/>
    </xf>
    <xf numFmtId="14" fontId="17" fillId="0" borderId="0" xfId="0" applyNumberFormat="1" applyFont="1" applyAlignment="1">
      <alignment horizontal="center" vertical="center"/>
    </xf>
    <xf numFmtId="0" fontId="76" fillId="0" borderId="0" xfId="0" applyFont="1" applyAlignment="1">
      <alignment vertical="center"/>
    </xf>
    <xf numFmtId="0" fontId="38" fillId="0" borderId="0" xfId="0" applyFont="1" applyAlignment="1">
      <alignment vertical="center"/>
    </xf>
    <xf numFmtId="165" fontId="25" fillId="0" borderId="0" xfId="0" applyNumberFormat="1" applyFont="1" applyAlignment="1">
      <alignment vertical="center" shrinkToFit="1"/>
    </xf>
    <xf numFmtId="0" fontId="38" fillId="0" borderId="0" xfId="0" applyFont="1"/>
    <xf numFmtId="0" fontId="17" fillId="0" borderId="0" xfId="0" applyNumberFormat="1" applyFont="1" applyAlignment="1">
      <alignment horizontal="center" vertical="center"/>
    </xf>
    <xf numFmtId="0" fontId="64"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color rgb="FFCCFF99"/>
      <color rgb="FFD5EFFF"/>
      <color rgb="FFFFFFCC"/>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chieracostui.com/costui/docs/search/schedaoltre.asp?ID=23787" TargetMode="External"/><Relationship Id="rId7" Type="http://schemas.openxmlformats.org/officeDocument/2006/relationships/printerSettings" Target="../printerSettings/printerSettings1.bin"/><Relationship Id="rId2" Type="http://schemas.openxmlformats.org/officeDocument/2006/relationships/hyperlink" Target="http://litoraldegranada.ugr.es/el-litoral/el-litoral-sumergido/fauna/cnidarios/clase-anthozoa/subclase-octocorallia/veretillum-cynomorium/" TargetMode="External"/><Relationship Id="rId1" Type="http://schemas.openxmlformats.org/officeDocument/2006/relationships/hyperlink" Target="https://www.antiguedades.es/fotografias-vendidas/antiguo-juego-de-35-placas-estereoscopicas-con-fotos-de-familia-ano-1909" TargetMode="External"/><Relationship Id="rId6" Type="http://schemas.openxmlformats.org/officeDocument/2006/relationships/hyperlink" Target="https://es.wikipedia.org/wiki/Pozzuoli" TargetMode="External"/><Relationship Id="rId5" Type="http://schemas.openxmlformats.org/officeDocument/2006/relationships/hyperlink" Target="https://es.wikipedia.org/wiki/Renania-Palatinado" TargetMode="External"/><Relationship Id="rId4" Type="http://schemas.openxmlformats.org/officeDocument/2006/relationships/hyperlink" Target="https://es.wikipedia.org/wiki/Renania_del_Norte-Westfali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M4589"/>
  <sheetViews>
    <sheetView tabSelected="1" zoomScale="110" zoomScaleNormal="110" workbookViewId="0">
      <pane xSplit="2" ySplit="1" topLeftCell="S304" activePane="bottomRight" state="frozen"/>
      <selection pane="topRight" activeCell="C1" sqref="C1"/>
      <selection pane="bottomLeft" activeCell="A2" sqref="A2"/>
      <selection pane="bottomRight" activeCell="A315" sqref="A315"/>
    </sheetView>
  </sheetViews>
  <sheetFormatPr baseColWidth="10" defaultRowHeight="13.2" x14ac:dyDescent="0.25"/>
  <cols>
    <col min="1" max="1" width="36.88671875" style="24" customWidth="1"/>
    <col min="2" max="2" width="15.6640625" style="24" customWidth="1"/>
    <col min="3" max="4" width="8.77734375" style="37" customWidth="1"/>
    <col min="5" max="5" width="6.5546875" style="37" customWidth="1"/>
    <col min="6" max="7" width="9.88671875" style="24" customWidth="1"/>
    <col min="8" max="8" width="22.109375" style="38" customWidth="1"/>
    <col min="9" max="9" width="11.77734375" style="111" customWidth="1"/>
    <col min="10" max="10" width="10" style="214" customWidth="1"/>
    <col min="11" max="11" width="11.44140625" style="10" customWidth="1"/>
    <col min="12" max="13" width="5.77734375" style="102" customWidth="1"/>
    <col min="14" max="15" width="11.77734375" style="37" customWidth="1"/>
    <col min="16" max="16" width="7.21875" style="37" customWidth="1"/>
    <col min="17" max="17" width="4.33203125" style="37" customWidth="1"/>
    <col min="18" max="18" width="3.5546875" style="37" customWidth="1"/>
    <col min="19" max="19" width="8.6640625" style="10" customWidth="1"/>
    <col min="20" max="20" width="10.88671875" style="10" customWidth="1"/>
    <col min="21" max="21" width="5.88671875" style="21" customWidth="1"/>
    <col min="22" max="22" width="6.77734375" style="21" customWidth="1"/>
    <col min="23" max="23" width="5.21875" style="73" customWidth="1"/>
    <col min="24" max="24" width="8.5546875" style="22" customWidth="1"/>
    <col min="25" max="25" width="12.5546875" style="82" customWidth="1"/>
    <col min="26" max="26" width="22.77734375" style="24" customWidth="1"/>
    <col min="27" max="27" width="10.109375" style="177" customWidth="1"/>
    <col min="28" max="28" width="12" style="177" customWidth="1"/>
    <col min="29" max="29" width="18.5546875" style="84" customWidth="1"/>
    <col min="30" max="30" width="12.33203125" style="84" customWidth="1"/>
    <col min="31" max="31" width="10.88671875" style="78"/>
    <col min="32" max="32" width="7.21875" style="10" customWidth="1"/>
    <col min="33" max="33" width="10" style="10" customWidth="1"/>
    <col min="34" max="34" width="7.21875" style="10" customWidth="1"/>
    <col min="35" max="35" width="7.77734375" style="10" customWidth="1"/>
    <col min="36" max="36" width="8.77734375" style="10" customWidth="1"/>
    <col min="37" max="37" width="7.77734375" style="10" customWidth="1"/>
  </cols>
  <sheetData>
    <row r="1" spans="1:38" s="99" customFormat="1" ht="29.55" customHeight="1" x14ac:dyDescent="0.25">
      <c r="A1" s="203" t="s">
        <v>3970</v>
      </c>
      <c r="B1" s="93" t="s">
        <v>5757</v>
      </c>
      <c r="C1" s="96" t="s">
        <v>5756</v>
      </c>
      <c r="D1" s="96" t="s">
        <v>5758</v>
      </c>
      <c r="E1" s="96" t="s">
        <v>2824</v>
      </c>
      <c r="F1" s="108" t="s">
        <v>5750</v>
      </c>
      <c r="G1" s="108" t="s">
        <v>5751</v>
      </c>
      <c r="H1" s="122" t="s">
        <v>5428</v>
      </c>
      <c r="I1" s="123" t="s">
        <v>5448</v>
      </c>
      <c r="J1" s="136" t="s">
        <v>2960</v>
      </c>
      <c r="K1" s="94" t="s">
        <v>3906</v>
      </c>
      <c r="L1" s="107" t="s">
        <v>2106</v>
      </c>
      <c r="M1" s="107" t="s">
        <v>2999</v>
      </c>
      <c r="N1" s="96" t="s">
        <v>5454</v>
      </c>
      <c r="O1" s="198" t="s">
        <v>5357</v>
      </c>
      <c r="P1" s="146" t="s">
        <v>5349</v>
      </c>
      <c r="Q1" s="146" t="s">
        <v>3658</v>
      </c>
      <c r="R1" s="146" t="s">
        <v>3661</v>
      </c>
      <c r="S1" s="189" t="s">
        <v>2871</v>
      </c>
      <c r="T1" s="126" t="s">
        <v>2914</v>
      </c>
      <c r="U1" s="95" t="s">
        <v>4915</v>
      </c>
      <c r="V1" s="95" t="s">
        <v>2998</v>
      </c>
      <c r="W1" s="97" t="s">
        <v>5062</v>
      </c>
      <c r="X1" s="97" t="s">
        <v>5061</v>
      </c>
      <c r="Y1" s="98" t="s">
        <v>2978</v>
      </c>
      <c r="Z1" s="202" t="s">
        <v>5743</v>
      </c>
      <c r="AA1" s="202" t="s">
        <v>6251</v>
      </c>
      <c r="AB1" s="172" t="s">
        <v>3907</v>
      </c>
      <c r="AC1" s="136" t="s">
        <v>2979</v>
      </c>
      <c r="AD1" s="136" t="s">
        <v>3683</v>
      </c>
      <c r="AE1" s="93" t="s">
        <v>3005</v>
      </c>
      <c r="AF1" s="94" t="s">
        <v>2869</v>
      </c>
      <c r="AG1" s="94" t="s">
        <v>2976</v>
      </c>
      <c r="AH1" s="94" t="s">
        <v>3008</v>
      </c>
      <c r="AI1" s="94" t="s">
        <v>2882</v>
      </c>
      <c r="AJ1" s="94" t="s">
        <v>2977</v>
      </c>
      <c r="AK1" s="94" t="s">
        <v>3008</v>
      </c>
    </row>
    <row r="2" spans="1:38" s="51" customFormat="1" ht="18" customHeight="1" x14ac:dyDescent="0.25">
      <c r="A2" s="52" t="s">
        <v>2148</v>
      </c>
      <c r="B2" s="50"/>
      <c r="C2" s="49"/>
      <c r="D2" s="49"/>
      <c r="E2" s="49"/>
      <c r="F2" s="50"/>
      <c r="G2" s="50"/>
      <c r="H2" s="46"/>
      <c r="I2" s="109"/>
      <c r="J2" s="212"/>
      <c r="K2" s="56"/>
      <c r="L2" s="100"/>
      <c r="M2" s="100"/>
      <c r="N2" s="49"/>
      <c r="O2" s="49"/>
      <c r="P2" s="49"/>
      <c r="Q2" s="49"/>
      <c r="R2" s="49"/>
      <c r="S2" s="47"/>
      <c r="T2" s="47"/>
      <c r="U2" s="53"/>
      <c r="V2" s="53"/>
      <c r="W2" s="74"/>
      <c r="X2" s="48"/>
      <c r="Y2" s="132"/>
      <c r="Z2" s="50"/>
      <c r="AA2" s="173"/>
      <c r="AB2" s="173"/>
      <c r="AC2" s="137"/>
      <c r="AD2" s="137"/>
      <c r="AE2" s="83"/>
      <c r="AF2" s="47"/>
      <c r="AG2" s="47"/>
      <c r="AH2" s="47"/>
      <c r="AI2" s="47"/>
      <c r="AJ2" s="47"/>
      <c r="AK2" s="47"/>
    </row>
    <row r="3" spans="1:38" s="57" customFormat="1" ht="18" customHeight="1" x14ac:dyDescent="0.3">
      <c r="A3" s="54" t="s">
        <v>5639</v>
      </c>
      <c r="B3" s="90"/>
      <c r="C3" s="49"/>
      <c r="D3" s="49"/>
      <c r="E3" s="49"/>
      <c r="F3" s="50"/>
      <c r="G3" s="50"/>
      <c r="H3" s="55"/>
      <c r="I3" s="110"/>
      <c r="J3" s="213"/>
      <c r="K3" s="129"/>
      <c r="L3" s="101"/>
      <c r="M3" s="101"/>
      <c r="N3" s="49"/>
      <c r="O3" s="49"/>
      <c r="P3" s="49"/>
      <c r="Q3" s="49"/>
      <c r="R3" s="49"/>
      <c r="S3" s="56"/>
      <c r="T3" s="56"/>
      <c r="U3" s="53"/>
      <c r="V3" s="53"/>
      <c r="W3" s="75"/>
      <c r="X3" s="79"/>
      <c r="Y3" s="92"/>
      <c r="Z3" s="90"/>
      <c r="AA3" s="174"/>
      <c r="AB3" s="174"/>
      <c r="AC3" s="91"/>
      <c r="AD3" s="91"/>
      <c r="AE3" s="54"/>
      <c r="AF3" s="56"/>
      <c r="AG3" s="56"/>
      <c r="AH3" s="56"/>
      <c r="AI3" s="56"/>
      <c r="AJ3" s="56"/>
      <c r="AK3" s="56"/>
    </row>
    <row r="4" spans="1:38" s="6" customFormat="1" ht="18" customHeight="1" x14ac:dyDescent="0.3">
      <c r="A4" s="29" t="s">
        <v>2874</v>
      </c>
      <c r="B4" s="24"/>
      <c r="C4" s="37" t="s">
        <v>1375</v>
      </c>
      <c r="D4" s="37"/>
      <c r="E4" s="37" t="s">
        <v>2831</v>
      </c>
      <c r="F4" s="24" t="s">
        <v>5752</v>
      </c>
      <c r="G4" s="24" t="s">
        <v>5755</v>
      </c>
      <c r="H4" s="38" t="s">
        <v>3689</v>
      </c>
      <c r="I4" s="111"/>
      <c r="J4" s="214" t="s">
        <v>3690</v>
      </c>
      <c r="K4" s="10" t="s">
        <v>3685</v>
      </c>
      <c r="L4" s="102">
        <v>2</v>
      </c>
      <c r="M4" s="102"/>
      <c r="N4" s="37"/>
      <c r="O4" s="37"/>
      <c r="P4" s="37"/>
      <c r="Q4" s="37"/>
      <c r="R4" s="37"/>
      <c r="S4" s="10" t="s">
        <v>2433</v>
      </c>
      <c r="T4" s="10"/>
      <c r="U4" s="21">
        <v>1</v>
      </c>
      <c r="V4" s="21">
        <v>1</v>
      </c>
      <c r="W4" s="76">
        <v>1</v>
      </c>
      <c r="X4" s="80">
        <v>1</v>
      </c>
      <c r="Y4" s="82" t="s">
        <v>3584</v>
      </c>
      <c r="Z4" s="24"/>
      <c r="AA4" s="175"/>
      <c r="AB4" s="175"/>
      <c r="AC4" s="84"/>
      <c r="AD4" s="84"/>
      <c r="AE4" s="29"/>
      <c r="AF4" s="10"/>
      <c r="AG4" s="10"/>
      <c r="AH4" s="10"/>
      <c r="AI4" s="10"/>
      <c r="AJ4" s="10"/>
      <c r="AK4" s="10"/>
      <c r="AL4" s="7"/>
    </row>
    <row r="5" spans="1:38" s="6" customFormat="1" ht="18" customHeight="1" x14ac:dyDescent="0.3">
      <c r="A5" s="29" t="s">
        <v>3379</v>
      </c>
      <c r="B5" s="24"/>
      <c r="C5" s="37" t="s">
        <v>1375</v>
      </c>
      <c r="D5" s="37"/>
      <c r="E5" s="37" t="s">
        <v>2831</v>
      </c>
      <c r="F5" s="24" t="s">
        <v>5752</v>
      </c>
      <c r="G5" s="24" t="s">
        <v>5755</v>
      </c>
      <c r="H5" s="38" t="s">
        <v>3689</v>
      </c>
      <c r="I5" s="111"/>
      <c r="J5" s="214" t="s">
        <v>3690</v>
      </c>
      <c r="K5" s="10" t="s">
        <v>3685</v>
      </c>
      <c r="L5" s="102">
        <v>2</v>
      </c>
      <c r="M5" s="102"/>
      <c r="N5" s="37"/>
      <c r="O5" s="37"/>
      <c r="P5" s="37"/>
      <c r="Q5" s="37"/>
      <c r="R5" s="37"/>
      <c r="S5" s="10" t="s">
        <v>2433</v>
      </c>
      <c r="T5" s="10"/>
      <c r="U5" s="21">
        <v>1</v>
      </c>
      <c r="V5" s="21">
        <v>1</v>
      </c>
      <c r="W5" s="76">
        <f t="shared" ref="W5:W23" si="0">W4+V5</f>
        <v>2</v>
      </c>
      <c r="X5" s="80">
        <f t="shared" ref="X5:X23" si="1">V5+X4</f>
        <v>2</v>
      </c>
      <c r="Y5" s="82" t="s">
        <v>3584</v>
      </c>
      <c r="Z5" s="24"/>
      <c r="AA5" s="175"/>
      <c r="AB5" s="175"/>
      <c r="AC5" s="84"/>
      <c r="AD5" s="84"/>
      <c r="AE5" s="29"/>
      <c r="AF5" s="10"/>
      <c r="AG5" s="10"/>
      <c r="AH5" s="10"/>
      <c r="AI5" s="10"/>
      <c r="AJ5" s="10"/>
      <c r="AK5" s="10"/>
      <c r="AL5" s="7"/>
    </row>
    <row r="6" spans="1:38" s="6" customFormat="1" ht="18" customHeight="1" x14ac:dyDescent="0.3">
      <c r="A6" s="29" t="s">
        <v>3380</v>
      </c>
      <c r="B6" s="24"/>
      <c r="C6" s="37" t="s">
        <v>1375</v>
      </c>
      <c r="D6" s="37"/>
      <c r="E6" s="37" t="s">
        <v>2831</v>
      </c>
      <c r="F6" s="24" t="s">
        <v>5752</v>
      </c>
      <c r="G6" s="24" t="s">
        <v>5755</v>
      </c>
      <c r="H6" s="38" t="s">
        <v>3689</v>
      </c>
      <c r="I6" s="111"/>
      <c r="J6" s="214" t="s">
        <v>3690</v>
      </c>
      <c r="K6" s="10" t="s">
        <v>3685</v>
      </c>
      <c r="L6" s="102">
        <v>2</v>
      </c>
      <c r="M6" s="102"/>
      <c r="N6" s="37"/>
      <c r="O6" s="37"/>
      <c r="P6" s="37"/>
      <c r="Q6" s="37"/>
      <c r="R6" s="37"/>
      <c r="S6" s="10" t="s">
        <v>2433</v>
      </c>
      <c r="T6" s="10"/>
      <c r="U6" s="21">
        <v>1</v>
      </c>
      <c r="V6" s="21">
        <v>1</v>
      </c>
      <c r="W6" s="76">
        <f t="shared" si="0"/>
        <v>3</v>
      </c>
      <c r="X6" s="80">
        <f t="shared" si="1"/>
        <v>3</v>
      </c>
      <c r="Y6" s="82" t="s">
        <v>3584</v>
      </c>
      <c r="Z6" s="24"/>
      <c r="AA6" s="175"/>
      <c r="AB6" s="175"/>
      <c r="AC6" s="84"/>
      <c r="AD6" s="84"/>
      <c r="AE6" s="29"/>
      <c r="AF6" s="10"/>
      <c r="AG6" s="10"/>
      <c r="AH6" s="10"/>
      <c r="AI6" s="10"/>
      <c r="AJ6" s="10"/>
      <c r="AK6" s="10"/>
      <c r="AL6" s="7"/>
    </row>
    <row r="7" spans="1:38" s="6" customFormat="1" ht="18" customHeight="1" x14ac:dyDescent="0.3">
      <c r="A7" s="29" t="s">
        <v>3381</v>
      </c>
      <c r="B7" s="24"/>
      <c r="C7" s="37" t="s">
        <v>1375</v>
      </c>
      <c r="D7" s="37"/>
      <c r="E7" s="37" t="s">
        <v>2831</v>
      </c>
      <c r="F7" s="24" t="s">
        <v>5752</v>
      </c>
      <c r="G7" s="24" t="s">
        <v>5755</v>
      </c>
      <c r="H7" s="38" t="s">
        <v>3689</v>
      </c>
      <c r="I7" s="111"/>
      <c r="J7" s="214" t="s">
        <v>3690</v>
      </c>
      <c r="K7" s="10" t="s">
        <v>3685</v>
      </c>
      <c r="L7" s="102">
        <v>2</v>
      </c>
      <c r="M7" s="102"/>
      <c r="N7" s="37"/>
      <c r="O7" s="37"/>
      <c r="P7" s="37"/>
      <c r="Q7" s="37"/>
      <c r="R7" s="37"/>
      <c r="S7" s="10" t="s">
        <v>2433</v>
      </c>
      <c r="T7" s="10"/>
      <c r="U7" s="21">
        <v>1</v>
      </c>
      <c r="V7" s="21">
        <v>1</v>
      </c>
      <c r="W7" s="76">
        <f t="shared" si="0"/>
        <v>4</v>
      </c>
      <c r="X7" s="80">
        <f t="shared" si="1"/>
        <v>4</v>
      </c>
      <c r="Y7" s="82" t="s">
        <v>3584</v>
      </c>
      <c r="Z7" s="24"/>
      <c r="AA7" s="175"/>
      <c r="AB7" s="175"/>
      <c r="AC7" s="84"/>
      <c r="AD7" s="84"/>
      <c r="AE7" s="29"/>
      <c r="AF7" s="10"/>
      <c r="AG7" s="10"/>
      <c r="AH7" s="10"/>
      <c r="AI7" s="10"/>
      <c r="AJ7" s="10"/>
      <c r="AK7" s="10"/>
      <c r="AL7" s="7"/>
    </row>
    <row r="8" spans="1:38" s="6" customFormat="1" ht="18" customHeight="1" x14ac:dyDescent="0.3">
      <c r="A8" s="29" t="s">
        <v>3382</v>
      </c>
      <c r="B8" s="24"/>
      <c r="C8" s="37" t="s">
        <v>1375</v>
      </c>
      <c r="D8" s="37"/>
      <c r="E8" s="37" t="s">
        <v>2831</v>
      </c>
      <c r="F8" s="24" t="s">
        <v>5752</v>
      </c>
      <c r="G8" s="24" t="s">
        <v>5755</v>
      </c>
      <c r="H8" s="38" t="s">
        <v>3689</v>
      </c>
      <c r="I8" s="111"/>
      <c r="J8" s="214" t="s">
        <v>3690</v>
      </c>
      <c r="K8" s="10" t="s">
        <v>3685</v>
      </c>
      <c r="L8" s="102">
        <v>2</v>
      </c>
      <c r="M8" s="102"/>
      <c r="N8" s="37"/>
      <c r="O8" s="37"/>
      <c r="P8" s="37"/>
      <c r="Q8" s="37"/>
      <c r="R8" s="37"/>
      <c r="S8" s="10" t="s">
        <v>2433</v>
      </c>
      <c r="T8" s="10"/>
      <c r="U8" s="21">
        <v>1</v>
      </c>
      <c r="V8" s="21">
        <v>1</v>
      </c>
      <c r="W8" s="76">
        <f t="shared" si="0"/>
        <v>5</v>
      </c>
      <c r="X8" s="80">
        <f t="shared" si="1"/>
        <v>5</v>
      </c>
      <c r="Y8" s="82" t="s">
        <v>3584</v>
      </c>
      <c r="Z8" s="24"/>
      <c r="AA8" s="175"/>
      <c r="AB8" s="175"/>
      <c r="AC8" s="84"/>
      <c r="AD8" s="84"/>
      <c r="AE8" s="29"/>
      <c r="AF8" s="10"/>
      <c r="AG8" s="10"/>
      <c r="AH8" s="10"/>
      <c r="AI8" s="10"/>
      <c r="AJ8" s="10"/>
      <c r="AK8" s="10"/>
      <c r="AL8" s="7"/>
    </row>
    <row r="9" spans="1:38" s="6" customFormat="1" ht="18" customHeight="1" x14ac:dyDescent="0.3">
      <c r="A9" s="29" t="s">
        <v>3383</v>
      </c>
      <c r="B9" s="24"/>
      <c r="C9" s="37" t="s">
        <v>1375</v>
      </c>
      <c r="D9" s="37"/>
      <c r="E9" s="37" t="s">
        <v>2831</v>
      </c>
      <c r="F9" s="24" t="s">
        <v>5752</v>
      </c>
      <c r="G9" s="24" t="s">
        <v>5755</v>
      </c>
      <c r="H9" s="38" t="s">
        <v>3689</v>
      </c>
      <c r="I9" s="111"/>
      <c r="J9" s="214" t="s">
        <v>3690</v>
      </c>
      <c r="K9" s="10" t="s">
        <v>3685</v>
      </c>
      <c r="L9" s="102">
        <v>2</v>
      </c>
      <c r="M9" s="102"/>
      <c r="N9" s="37"/>
      <c r="O9" s="37"/>
      <c r="P9" s="37"/>
      <c r="Q9" s="37"/>
      <c r="R9" s="37"/>
      <c r="S9" s="10" t="s">
        <v>2433</v>
      </c>
      <c r="T9" s="10"/>
      <c r="U9" s="21">
        <v>1</v>
      </c>
      <c r="V9" s="21">
        <v>1</v>
      </c>
      <c r="W9" s="76">
        <f t="shared" si="0"/>
        <v>6</v>
      </c>
      <c r="X9" s="80">
        <f t="shared" si="1"/>
        <v>6</v>
      </c>
      <c r="Y9" s="82" t="s">
        <v>3584</v>
      </c>
      <c r="Z9" s="24"/>
      <c r="AA9" s="175"/>
      <c r="AB9" s="175"/>
      <c r="AC9" s="84"/>
      <c r="AD9" s="84"/>
      <c r="AE9" s="29"/>
      <c r="AF9" s="10"/>
      <c r="AG9" s="10"/>
      <c r="AH9" s="10"/>
      <c r="AI9" s="10"/>
      <c r="AJ9" s="10"/>
      <c r="AK9" s="10"/>
      <c r="AL9" s="7"/>
    </row>
    <row r="10" spans="1:38" s="6" customFormat="1" ht="18" customHeight="1" x14ac:dyDescent="0.3">
      <c r="A10" s="29" t="s">
        <v>2837</v>
      </c>
      <c r="B10" s="24"/>
      <c r="C10" s="37" t="s">
        <v>1375</v>
      </c>
      <c r="D10" s="37"/>
      <c r="E10" s="37" t="s">
        <v>2831</v>
      </c>
      <c r="F10" s="24" t="s">
        <v>5752</v>
      </c>
      <c r="G10" s="24" t="s">
        <v>5755</v>
      </c>
      <c r="H10" s="38" t="s">
        <v>3689</v>
      </c>
      <c r="I10" s="111"/>
      <c r="J10" s="214" t="s">
        <v>3690</v>
      </c>
      <c r="K10" s="10" t="s">
        <v>3685</v>
      </c>
      <c r="L10" s="102">
        <v>2</v>
      </c>
      <c r="M10" s="102"/>
      <c r="N10" s="37"/>
      <c r="O10" s="37"/>
      <c r="P10" s="37"/>
      <c r="Q10" s="37"/>
      <c r="R10" s="37"/>
      <c r="S10" s="10" t="s">
        <v>2433</v>
      </c>
      <c r="T10" s="10"/>
      <c r="U10" s="21">
        <v>1</v>
      </c>
      <c r="V10" s="21">
        <v>1</v>
      </c>
      <c r="W10" s="76">
        <f t="shared" si="0"/>
        <v>7</v>
      </c>
      <c r="X10" s="80">
        <f t="shared" si="1"/>
        <v>7</v>
      </c>
      <c r="Y10" s="82" t="s">
        <v>3584</v>
      </c>
      <c r="Z10" s="24"/>
      <c r="AA10" s="175"/>
      <c r="AB10" s="175"/>
      <c r="AC10" s="84"/>
      <c r="AD10" s="84"/>
      <c r="AE10" s="29"/>
      <c r="AF10" s="10"/>
      <c r="AG10" s="10"/>
      <c r="AH10" s="10"/>
      <c r="AI10" s="10"/>
      <c r="AJ10" s="10"/>
      <c r="AK10" s="10"/>
      <c r="AL10" s="7"/>
    </row>
    <row r="11" spans="1:38" s="6" customFormat="1" ht="18" customHeight="1" x14ac:dyDescent="0.3">
      <c r="A11" s="29" t="s">
        <v>3384</v>
      </c>
      <c r="B11" s="24"/>
      <c r="C11" s="37" t="s">
        <v>1375</v>
      </c>
      <c r="D11" s="37"/>
      <c r="E11" s="37" t="s">
        <v>2831</v>
      </c>
      <c r="F11" s="24" t="s">
        <v>5752</v>
      </c>
      <c r="G11" s="24" t="s">
        <v>5755</v>
      </c>
      <c r="H11" s="38" t="s">
        <v>3689</v>
      </c>
      <c r="I11" s="111"/>
      <c r="J11" s="214" t="s">
        <v>3690</v>
      </c>
      <c r="K11" s="10" t="s">
        <v>3685</v>
      </c>
      <c r="L11" s="102">
        <v>2</v>
      </c>
      <c r="M11" s="102"/>
      <c r="N11" s="37"/>
      <c r="O11" s="37"/>
      <c r="P11" s="37"/>
      <c r="Q11" s="37"/>
      <c r="R11" s="37"/>
      <c r="S11" s="10" t="s">
        <v>2433</v>
      </c>
      <c r="T11" s="10"/>
      <c r="U11" s="21">
        <v>1</v>
      </c>
      <c r="V11" s="21">
        <v>1</v>
      </c>
      <c r="W11" s="76">
        <f t="shared" si="0"/>
        <v>8</v>
      </c>
      <c r="X11" s="80">
        <f t="shared" si="1"/>
        <v>8</v>
      </c>
      <c r="Y11" s="82" t="s">
        <v>3584</v>
      </c>
      <c r="Z11" s="24"/>
      <c r="AA11" s="175"/>
      <c r="AB11" s="175"/>
      <c r="AC11" s="84"/>
      <c r="AD11" s="84"/>
      <c r="AE11" s="29"/>
      <c r="AF11" s="10"/>
      <c r="AG11" s="10"/>
      <c r="AH11" s="10"/>
      <c r="AI11" s="10"/>
      <c r="AJ11" s="10"/>
      <c r="AK11" s="10"/>
      <c r="AL11" s="7"/>
    </row>
    <row r="12" spans="1:38" s="6" customFormat="1" ht="18" customHeight="1" x14ac:dyDescent="0.3">
      <c r="A12" s="29" t="s">
        <v>2104</v>
      </c>
      <c r="B12" s="24"/>
      <c r="C12" s="37" t="s">
        <v>1375</v>
      </c>
      <c r="D12" s="37"/>
      <c r="E12" s="37" t="s">
        <v>2831</v>
      </c>
      <c r="F12" s="24" t="s">
        <v>5752</v>
      </c>
      <c r="G12" s="24" t="s">
        <v>5755</v>
      </c>
      <c r="H12" s="38" t="s">
        <v>3689</v>
      </c>
      <c r="I12" s="111"/>
      <c r="J12" s="214" t="s">
        <v>3690</v>
      </c>
      <c r="K12" s="10" t="s">
        <v>3685</v>
      </c>
      <c r="L12" s="102">
        <v>2</v>
      </c>
      <c r="M12" s="102"/>
      <c r="N12" s="37"/>
      <c r="O12" s="37"/>
      <c r="P12" s="37"/>
      <c r="Q12" s="37"/>
      <c r="R12" s="37"/>
      <c r="S12" s="10" t="s">
        <v>2433</v>
      </c>
      <c r="T12" s="10"/>
      <c r="U12" s="21">
        <v>1</v>
      </c>
      <c r="V12" s="21">
        <v>1</v>
      </c>
      <c r="W12" s="76">
        <f t="shared" si="0"/>
        <v>9</v>
      </c>
      <c r="X12" s="80">
        <f t="shared" si="1"/>
        <v>9</v>
      </c>
      <c r="Y12" s="82" t="s">
        <v>3584</v>
      </c>
      <c r="Z12" s="24"/>
      <c r="AA12" s="175"/>
      <c r="AB12" s="175"/>
      <c r="AC12" s="84"/>
      <c r="AD12" s="84"/>
      <c r="AE12" s="29"/>
      <c r="AF12" s="10"/>
      <c r="AG12" s="10"/>
      <c r="AH12" s="10"/>
      <c r="AI12" s="10"/>
      <c r="AJ12" s="10"/>
      <c r="AK12" s="10"/>
      <c r="AL12" s="7"/>
    </row>
    <row r="13" spans="1:38" s="6" customFormat="1" ht="18" customHeight="1" x14ac:dyDescent="0.3">
      <c r="A13" s="29" t="s">
        <v>3385</v>
      </c>
      <c r="B13" s="24"/>
      <c r="C13" s="37" t="s">
        <v>1375</v>
      </c>
      <c r="D13" s="37"/>
      <c r="E13" s="37" t="s">
        <v>2831</v>
      </c>
      <c r="F13" s="24" t="s">
        <v>5752</v>
      </c>
      <c r="G13" s="24" t="s">
        <v>5755</v>
      </c>
      <c r="H13" s="38" t="s">
        <v>3689</v>
      </c>
      <c r="I13" s="111"/>
      <c r="J13" s="214" t="s">
        <v>3690</v>
      </c>
      <c r="K13" s="10" t="s">
        <v>3685</v>
      </c>
      <c r="L13" s="102">
        <v>2</v>
      </c>
      <c r="M13" s="102"/>
      <c r="N13" s="37"/>
      <c r="O13" s="37"/>
      <c r="P13" s="37"/>
      <c r="Q13" s="37"/>
      <c r="R13" s="37"/>
      <c r="S13" s="10" t="s">
        <v>2433</v>
      </c>
      <c r="T13" s="10"/>
      <c r="U13" s="21">
        <v>1</v>
      </c>
      <c r="V13" s="21">
        <v>1</v>
      </c>
      <c r="W13" s="76">
        <f t="shared" si="0"/>
        <v>10</v>
      </c>
      <c r="X13" s="80">
        <f t="shared" si="1"/>
        <v>10</v>
      </c>
      <c r="Y13" s="82" t="s">
        <v>3584</v>
      </c>
      <c r="Z13" s="24"/>
      <c r="AA13" s="175"/>
      <c r="AB13" s="175"/>
      <c r="AC13" s="84"/>
      <c r="AD13" s="84"/>
      <c r="AE13" s="29"/>
      <c r="AF13" s="10"/>
      <c r="AG13" s="10"/>
      <c r="AH13" s="10"/>
      <c r="AI13" s="10"/>
      <c r="AJ13" s="10"/>
      <c r="AK13" s="10"/>
      <c r="AL13" s="7"/>
    </row>
    <row r="14" spans="1:38" s="6" customFormat="1" ht="18" customHeight="1" x14ac:dyDescent="0.3">
      <c r="A14" s="29" t="s">
        <v>3386</v>
      </c>
      <c r="B14" s="24"/>
      <c r="C14" s="37" t="s">
        <v>1375</v>
      </c>
      <c r="D14" s="37"/>
      <c r="E14" s="37" t="s">
        <v>2831</v>
      </c>
      <c r="F14" s="24" t="s">
        <v>5752</v>
      </c>
      <c r="G14" s="24" t="s">
        <v>5755</v>
      </c>
      <c r="H14" s="38" t="s">
        <v>3689</v>
      </c>
      <c r="I14" s="111"/>
      <c r="J14" s="214" t="s">
        <v>3690</v>
      </c>
      <c r="K14" s="10" t="s">
        <v>3685</v>
      </c>
      <c r="L14" s="102">
        <v>2</v>
      </c>
      <c r="M14" s="102"/>
      <c r="N14" s="37"/>
      <c r="O14" s="37"/>
      <c r="P14" s="37"/>
      <c r="Q14" s="37"/>
      <c r="R14" s="37"/>
      <c r="S14" s="10" t="s">
        <v>2433</v>
      </c>
      <c r="T14" s="10"/>
      <c r="U14" s="21">
        <v>1</v>
      </c>
      <c r="V14" s="21">
        <v>1</v>
      </c>
      <c r="W14" s="76">
        <f t="shared" si="0"/>
        <v>11</v>
      </c>
      <c r="X14" s="80">
        <f t="shared" si="1"/>
        <v>11</v>
      </c>
      <c r="Y14" s="82" t="s">
        <v>3584</v>
      </c>
      <c r="Z14" s="24"/>
      <c r="AA14" s="175"/>
      <c r="AB14" s="175"/>
      <c r="AC14" s="84"/>
      <c r="AD14" s="84"/>
      <c r="AE14" s="29"/>
      <c r="AF14" s="10"/>
      <c r="AG14" s="10"/>
      <c r="AH14" s="10"/>
      <c r="AI14" s="10"/>
      <c r="AJ14" s="10"/>
      <c r="AK14" s="10"/>
      <c r="AL14" s="7"/>
    </row>
    <row r="15" spans="1:38" s="6" customFormat="1" ht="18" customHeight="1" x14ac:dyDescent="0.3">
      <c r="A15" s="29" t="s">
        <v>3387</v>
      </c>
      <c r="B15" s="24"/>
      <c r="C15" s="37" t="s">
        <v>1375</v>
      </c>
      <c r="D15" s="37"/>
      <c r="E15" s="37" t="s">
        <v>2831</v>
      </c>
      <c r="F15" s="24" t="s">
        <v>5752</v>
      </c>
      <c r="G15" s="24" t="s">
        <v>5755</v>
      </c>
      <c r="H15" s="38" t="s">
        <v>3689</v>
      </c>
      <c r="I15" s="111"/>
      <c r="J15" s="214" t="s">
        <v>3690</v>
      </c>
      <c r="K15" s="10" t="s">
        <v>3685</v>
      </c>
      <c r="L15" s="102">
        <v>2</v>
      </c>
      <c r="M15" s="102"/>
      <c r="N15" s="37"/>
      <c r="O15" s="37"/>
      <c r="P15" s="37"/>
      <c r="Q15" s="37"/>
      <c r="R15" s="37"/>
      <c r="S15" s="10" t="s">
        <v>2433</v>
      </c>
      <c r="T15" s="10"/>
      <c r="U15" s="21">
        <v>1</v>
      </c>
      <c r="V15" s="21">
        <v>1</v>
      </c>
      <c r="W15" s="76">
        <f t="shared" si="0"/>
        <v>12</v>
      </c>
      <c r="X15" s="80">
        <f t="shared" si="1"/>
        <v>12</v>
      </c>
      <c r="Y15" s="82" t="s">
        <v>3584</v>
      </c>
      <c r="Z15" s="24"/>
      <c r="AA15" s="175"/>
      <c r="AB15" s="175"/>
      <c r="AC15" s="84"/>
      <c r="AD15" s="84"/>
      <c r="AE15" s="29"/>
      <c r="AF15" s="10"/>
      <c r="AG15" s="10"/>
      <c r="AH15" s="10"/>
      <c r="AI15" s="10"/>
      <c r="AJ15" s="10"/>
      <c r="AK15" s="10"/>
      <c r="AL15" s="7"/>
    </row>
    <row r="16" spans="1:38" s="6" customFormat="1" ht="18" customHeight="1" x14ac:dyDescent="0.3">
      <c r="A16" s="29" t="s">
        <v>3388</v>
      </c>
      <c r="B16" s="24"/>
      <c r="C16" s="37" t="s">
        <v>1375</v>
      </c>
      <c r="D16" s="37"/>
      <c r="E16" s="37" t="s">
        <v>2831</v>
      </c>
      <c r="F16" s="24" t="s">
        <v>5752</v>
      </c>
      <c r="G16" s="24" t="s">
        <v>5755</v>
      </c>
      <c r="H16" s="38" t="s">
        <v>3689</v>
      </c>
      <c r="I16" s="111"/>
      <c r="J16" s="214" t="s">
        <v>3690</v>
      </c>
      <c r="K16" s="10" t="s">
        <v>3685</v>
      </c>
      <c r="L16" s="102">
        <v>2</v>
      </c>
      <c r="M16" s="102"/>
      <c r="N16" s="37"/>
      <c r="O16" s="37"/>
      <c r="P16" s="37"/>
      <c r="Q16" s="37"/>
      <c r="R16" s="37"/>
      <c r="S16" s="10" t="s">
        <v>2433</v>
      </c>
      <c r="T16" s="10"/>
      <c r="U16" s="21">
        <v>1</v>
      </c>
      <c r="V16" s="21">
        <v>1</v>
      </c>
      <c r="W16" s="76">
        <f t="shared" si="0"/>
        <v>13</v>
      </c>
      <c r="X16" s="80">
        <f t="shared" si="1"/>
        <v>13</v>
      </c>
      <c r="Y16" s="82" t="s">
        <v>3584</v>
      </c>
      <c r="Z16" s="24"/>
      <c r="AA16" s="175"/>
      <c r="AB16" s="175"/>
      <c r="AC16" s="84"/>
      <c r="AD16" s="84"/>
      <c r="AE16" s="29"/>
      <c r="AF16" s="10"/>
      <c r="AG16" s="10"/>
      <c r="AH16" s="10"/>
      <c r="AI16" s="10"/>
      <c r="AJ16" s="10"/>
      <c r="AK16" s="10"/>
      <c r="AL16" s="7"/>
    </row>
    <row r="17" spans="1:38" s="6" customFormat="1" ht="18" customHeight="1" x14ac:dyDescent="0.3">
      <c r="A17" s="29" t="s">
        <v>3389</v>
      </c>
      <c r="B17" s="24"/>
      <c r="C17" s="37" t="s">
        <v>1375</v>
      </c>
      <c r="D17" s="37"/>
      <c r="E17" s="37" t="s">
        <v>2831</v>
      </c>
      <c r="F17" s="24" t="s">
        <v>5752</v>
      </c>
      <c r="G17" s="24" t="s">
        <v>5755</v>
      </c>
      <c r="H17" s="38" t="s">
        <v>3689</v>
      </c>
      <c r="I17" s="111"/>
      <c r="J17" s="214" t="s">
        <v>3690</v>
      </c>
      <c r="K17" s="10" t="s">
        <v>3685</v>
      </c>
      <c r="L17" s="102">
        <v>2</v>
      </c>
      <c r="M17" s="102"/>
      <c r="N17" s="37"/>
      <c r="O17" s="37"/>
      <c r="P17" s="37"/>
      <c r="Q17" s="37"/>
      <c r="R17" s="37"/>
      <c r="S17" s="10" t="s">
        <v>2433</v>
      </c>
      <c r="T17" s="10"/>
      <c r="U17" s="21">
        <v>1</v>
      </c>
      <c r="V17" s="21">
        <v>1</v>
      </c>
      <c r="W17" s="76">
        <f t="shared" si="0"/>
        <v>14</v>
      </c>
      <c r="X17" s="80">
        <f t="shared" si="1"/>
        <v>14</v>
      </c>
      <c r="Y17" s="82" t="s">
        <v>3584</v>
      </c>
      <c r="Z17" s="24"/>
      <c r="AA17" s="175"/>
      <c r="AB17" s="175"/>
      <c r="AC17" s="84"/>
      <c r="AD17" s="84"/>
      <c r="AE17" s="29"/>
      <c r="AF17" s="10"/>
      <c r="AG17" s="10"/>
      <c r="AH17" s="10"/>
      <c r="AI17" s="10"/>
      <c r="AJ17" s="10"/>
      <c r="AK17" s="10"/>
      <c r="AL17" s="7"/>
    </row>
    <row r="18" spans="1:38" s="6" customFormat="1" ht="18" customHeight="1" x14ac:dyDescent="0.3">
      <c r="A18" s="29" t="s">
        <v>3393</v>
      </c>
      <c r="B18" s="24"/>
      <c r="C18" s="37" t="s">
        <v>1375</v>
      </c>
      <c r="D18" s="37"/>
      <c r="E18" s="37" t="s">
        <v>2831</v>
      </c>
      <c r="F18" s="24" t="s">
        <v>5752</v>
      </c>
      <c r="G18" s="24" t="s">
        <v>5755</v>
      </c>
      <c r="H18" s="38" t="s">
        <v>3689</v>
      </c>
      <c r="I18" s="111"/>
      <c r="J18" s="214" t="s">
        <v>3690</v>
      </c>
      <c r="K18" s="10" t="s">
        <v>3685</v>
      </c>
      <c r="L18" s="102">
        <v>2</v>
      </c>
      <c r="M18" s="102"/>
      <c r="N18" s="37"/>
      <c r="O18" s="37"/>
      <c r="P18" s="37"/>
      <c r="Q18" s="37"/>
      <c r="R18" s="37"/>
      <c r="S18" s="10" t="s">
        <v>2433</v>
      </c>
      <c r="T18" s="10"/>
      <c r="U18" s="21">
        <v>1</v>
      </c>
      <c r="V18" s="21">
        <v>1</v>
      </c>
      <c r="W18" s="76">
        <f t="shared" si="0"/>
        <v>15</v>
      </c>
      <c r="X18" s="80">
        <f t="shared" si="1"/>
        <v>15</v>
      </c>
      <c r="Y18" s="82" t="s">
        <v>3584</v>
      </c>
      <c r="Z18" s="24"/>
      <c r="AA18" s="175"/>
      <c r="AB18" s="175"/>
      <c r="AC18" s="84"/>
      <c r="AD18" s="84"/>
      <c r="AE18" s="29"/>
      <c r="AF18" s="10"/>
      <c r="AG18" s="10"/>
      <c r="AH18" s="10"/>
      <c r="AI18" s="10"/>
      <c r="AJ18" s="10"/>
      <c r="AK18" s="10"/>
      <c r="AL18" s="7"/>
    </row>
    <row r="19" spans="1:38" s="6" customFormat="1" ht="18" customHeight="1" x14ac:dyDescent="0.3">
      <c r="A19" s="29" t="s">
        <v>3390</v>
      </c>
      <c r="B19" s="24"/>
      <c r="C19" s="37" t="s">
        <v>1375</v>
      </c>
      <c r="D19" s="37"/>
      <c r="E19" s="37" t="s">
        <v>2831</v>
      </c>
      <c r="F19" s="24" t="s">
        <v>5752</v>
      </c>
      <c r="G19" s="24" t="s">
        <v>5755</v>
      </c>
      <c r="H19" s="38" t="s">
        <v>3689</v>
      </c>
      <c r="I19" s="111"/>
      <c r="J19" s="214" t="s">
        <v>3690</v>
      </c>
      <c r="K19" s="10" t="s">
        <v>3685</v>
      </c>
      <c r="L19" s="102">
        <v>2</v>
      </c>
      <c r="M19" s="102"/>
      <c r="N19" s="37"/>
      <c r="O19" s="37"/>
      <c r="P19" s="37"/>
      <c r="Q19" s="37"/>
      <c r="R19" s="37"/>
      <c r="S19" s="10" t="s">
        <v>2433</v>
      </c>
      <c r="T19" s="10"/>
      <c r="U19" s="21">
        <v>1</v>
      </c>
      <c r="V19" s="21">
        <v>1</v>
      </c>
      <c r="W19" s="76">
        <f t="shared" si="0"/>
        <v>16</v>
      </c>
      <c r="X19" s="80">
        <f t="shared" si="1"/>
        <v>16</v>
      </c>
      <c r="Y19" s="82" t="s">
        <v>3584</v>
      </c>
      <c r="Z19" s="24"/>
      <c r="AA19" s="175"/>
      <c r="AB19" s="175"/>
      <c r="AC19" s="84"/>
      <c r="AD19" s="84"/>
      <c r="AE19" s="29"/>
      <c r="AF19" s="10"/>
      <c r="AG19" s="10"/>
      <c r="AH19" s="10"/>
      <c r="AI19" s="10"/>
      <c r="AJ19" s="10"/>
      <c r="AK19" s="10"/>
      <c r="AL19" s="7"/>
    </row>
    <row r="20" spans="1:38" s="6" customFormat="1" ht="18" customHeight="1" x14ac:dyDescent="0.3">
      <c r="A20" s="29" t="s">
        <v>3391</v>
      </c>
      <c r="B20" s="24"/>
      <c r="C20" s="37" t="s">
        <v>1375</v>
      </c>
      <c r="D20" s="37"/>
      <c r="E20" s="37" t="s">
        <v>2831</v>
      </c>
      <c r="F20" s="24" t="s">
        <v>5752</v>
      </c>
      <c r="G20" s="24" t="s">
        <v>5755</v>
      </c>
      <c r="H20" s="38" t="s">
        <v>3689</v>
      </c>
      <c r="I20" s="111"/>
      <c r="J20" s="214" t="s">
        <v>3690</v>
      </c>
      <c r="K20" s="10" t="s">
        <v>3685</v>
      </c>
      <c r="L20" s="102">
        <v>2</v>
      </c>
      <c r="M20" s="102"/>
      <c r="N20" s="37"/>
      <c r="O20" s="37"/>
      <c r="P20" s="37"/>
      <c r="Q20" s="37"/>
      <c r="R20" s="37"/>
      <c r="S20" s="10" t="s">
        <v>2433</v>
      </c>
      <c r="T20" s="10"/>
      <c r="U20" s="21">
        <v>1</v>
      </c>
      <c r="V20" s="21">
        <v>1</v>
      </c>
      <c r="W20" s="76">
        <f t="shared" si="0"/>
        <v>17</v>
      </c>
      <c r="X20" s="80">
        <f t="shared" si="1"/>
        <v>17</v>
      </c>
      <c r="Y20" s="82" t="s">
        <v>3584</v>
      </c>
      <c r="Z20" s="24"/>
      <c r="AA20" s="175"/>
      <c r="AB20" s="175"/>
      <c r="AC20" s="84"/>
      <c r="AD20" s="84"/>
      <c r="AE20" s="29"/>
      <c r="AF20" s="10"/>
      <c r="AG20" s="10"/>
      <c r="AH20" s="10"/>
      <c r="AI20" s="10"/>
      <c r="AJ20" s="10"/>
      <c r="AK20" s="10"/>
      <c r="AL20" s="7"/>
    </row>
    <row r="21" spans="1:38" s="6" customFormat="1" ht="18" customHeight="1" x14ac:dyDescent="0.3">
      <c r="A21" s="29" t="s">
        <v>3392</v>
      </c>
      <c r="B21" s="24"/>
      <c r="C21" s="37" t="s">
        <v>1375</v>
      </c>
      <c r="D21" s="37"/>
      <c r="E21" s="37" t="s">
        <v>2831</v>
      </c>
      <c r="F21" s="24" t="s">
        <v>5752</v>
      </c>
      <c r="G21" s="24" t="s">
        <v>5755</v>
      </c>
      <c r="H21" s="38" t="s">
        <v>3689</v>
      </c>
      <c r="I21" s="111"/>
      <c r="J21" s="214" t="s">
        <v>3690</v>
      </c>
      <c r="K21" s="10" t="s">
        <v>3685</v>
      </c>
      <c r="L21" s="102">
        <v>2</v>
      </c>
      <c r="M21" s="102"/>
      <c r="N21" s="37"/>
      <c r="O21" s="37"/>
      <c r="P21" s="37"/>
      <c r="Q21" s="37"/>
      <c r="R21" s="37"/>
      <c r="S21" s="10" t="s">
        <v>2433</v>
      </c>
      <c r="T21" s="10"/>
      <c r="U21" s="21">
        <v>1</v>
      </c>
      <c r="V21" s="21">
        <v>1</v>
      </c>
      <c r="W21" s="76">
        <f t="shared" si="0"/>
        <v>18</v>
      </c>
      <c r="X21" s="80">
        <f t="shared" si="1"/>
        <v>18</v>
      </c>
      <c r="Y21" s="82" t="s">
        <v>3584</v>
      </c>
      <c r="Z21" s="24"/>
      <c r="AA21" s="175"/>
      <c r="AB21" s="175"/>
      <c r="AC21" s="84"/>
      <c r="AD21" s="84"/>
      <c r="AE21" s="29"/>
      <c r="AF21" s="10"/>
      <c r="AG21" s="10"/>
      <c r="AH21" s="10"/>
      <c r="AI21" s="10"/>
      <c r="AJ21" s="10"/>
      <c r="AK21" s="10"/>
      <c r="AL21" s="7"/>
    </row>
    <row r="22" spans="1:38" s="6" customFormat="1" ht="18" customHeight="1" x14ac:dyDescent="0.3">
      <c r="A22" s="29" t="s">
        <v>2391</v>
      </c>
      <c r="B22" s="24"/>
      <c r="C22" s="37" t="s">
        <v>1375</v>
      </c>
      <c r="D22" s="37"/>
      <c r="E22" s="37" t="s">
        <v>2831</v>
      </c>
      <c r="F22" s="24" t="s">
        <v>5752</v>
      </c>
      <c r="G22" s="24" t="s">
        <v>5755</v>
      </c>
      <c r="H22" s="38" t="s">
        <v>3689</v>
      </c>
      <c r="I22" s="111"/>
      <c r="J22" s="214" t="s">
        <v>3690</v>
      </c>
      <c r="K22" s="10" t="s">
        <v>3685</v>
      </c>
      <c r="L22" s="102">
        <v>2</v>
      </c>
      <c r="M22" s="102"/>
      <c r="N22" s="37"/>
      <c r="O22" s="37"/>
      <c r="P22" s="37"/>
      <c r="Q22" s="37"/>
      <c r="R22" s="37"/>
      <c r="S22" s="10" t="s">
        <v>2433</v>
      </c>
      <c r="T22" s="10"/>
      <c r="U22" s="21">
        <v>1</v>
      </c>
      <c r="V22" s="21">
        <v>1</v>
      </c>
      <c r="W22" s="76">
        <f t="shared" si="0"/>
        <v>19</v>
      </c>
      <c r="X22" s="80">
        <f t="shared" si="1"/>
        <v>19</v>
      </c>
      <c r="Y22" s="82" t="s">
        <v>3584</v>
      </c>
      <c r="Z22" s="24"/>
      <c r="AA22" s="175"/>
      <c r="AB22" s="175"/>
      <c r="AC22" s="84"/>
      <c r="AD22" s="84"/>
      <c r="AE22" s="29"/>
      <c r="AF22" s="10"/>
      <c r="AG22" s="10"/>
      <c r="AH22" s="10"/>
      <c r="AI22" s="10"/>
      <c r="AJ22" s="10"/>
      <c r="AK22" s="10"/>
      <c r="AL22" s="7"/>
    </row>
    <row r="23" spans="1:38" s="6" customFormat="1" ht="18" customHeight="1" x14ac:dyDescent="0.3">
      <c r="A23" s="29" t="s">
        <v>2838</v>
      </c>
      <c r="B23" s="24"/>
      <c r="C23" s="37" t="s">
        <v>1375</v>
      </c>
      <c r="D23" s="37"/>
      <c r="E23" s="37" t="s">
        <v>2831</v>
      </c>
      <c r="F23" s="24" t="s">
        <v>5752</v>
      </c>
      <c r="G23" s="24" t="s">
        <v>5755</v>
      </c>
      <c r="H23" s="38" t="s">
        <v>3689</v>
      </c>
      <c r="I23" s="111"/>
      <c r="J23" s="214" t="s">
        <v>3690</v>
      </c>
      <c r="K23" s="10" t="s">
        <v>3685</v>
      </c>
      <c r="L23" s="102">
        <v>2</v>
      </c>
      <c r="M23" s="102"/>
      <c r="N23" s="37"/>
      <c r="O23" s="37"/>
      <c r="P23" s="37"/>
      <c r="Q23" s="37"/>
      <c r="R23" s="37"/>
      <c r="S23" s="10" t="s">
        <v>2433</v>
      </c>
      <c r="T23" s="10"/>
      <c r="U23" s="21">
        <v>1</v>
      </c>
      <c r="V23" s="21">
        <v>1</v>
      </c>
      <c r="W23" s="76">
        <f t="shared" si="0"/>
        <v>20</v>
      </c>
      <c r="X23" s="80">
        <f t="shared" si="1"/>
        <v>20</v>
      </c>
      <c r="Y23" s="82" t="s">
        <v>3584</v>
      </c>
      <c r="Z23" s="24"/>
      <c r="AA23" s="175"/>
      <c r="AB23" s="175"/>
      <c r="AC23" s="84"/>
      <c r="AD23" s="84"/>
      <c r="AE23" s="29"/>
      <c r="AF23" s="10"/>
      <c r="AG23" s="10"/>
      <c r="AH23" s="10"/>
      <c r="AI23" s="10"/>
      <c r="AJ23" s="10"/>
      <c r="AK23" s="10"/>
      <c r="AL23" s="7"/>
    </row>
    <row r="24" spans="1:38" s="57" customFormat="1" ht="18" customHeight="1" x14ac:dyDescent="0.3">
      <c r="A24" s="45" t="s">
        <v>5601</v>
      </c>
      <c r="B24" s="50"/>
      <c r="C24" s="49"/>
      <c r="D24" s="49"/>
      <c r="E24" s="49"/>
      <c r="F24" s="50"/>
      <c r="G24" s="50"/>
      <c r="H24" s="46"/>
      <c r="I24" s="109"/>
      <c r="J24" s="212"/>
      <c r="K24" s="56"/>
      <c r="L24" s="100"/>
      <c r="M24" s="100"/>
      <c r="N24" s="49"/>
      <c r="O24" s="49"/>
      <c r="P24" s="49"/>
      <c r="Q24" s="49"/>
      <c r="R24" s="49"/>
      <c r="S24" s="47"/>
      <c r="T24" s="47"/>
      <c r="U24" s="53"/>
      <c r="V24" s="53"/>
      <c r="W24" s="77"/>
      <c r="X24" s="81"/>
      <c r="Y24" s="132"/>
      <c r="Z24" s="50"/>
      <c r="AA24" s="176"/>
      <c r="AB24" s="176"/>
      <c r="AC24" s="137"/>
      <c r="AD24" s="137"/>
      <c r="AE24" s="70"/>
      <c r="AF24" s="47"/>
      <c r="AG24" s="47"/>
      <c r="AH24" s="47"/>
      <c r="AI24" s="47"/>
      <c r="AJ24" s="47"/>
      <c r="AK24" s="47"/>
      <c r="AL24" s="58"/>
    </row>
    <row r="25" spans="1:38" s="6" customFormat="1" ht="18" customHeight="1" x14ac:dyDescent="0.3">
      <c r="A25" s="29" t="s">
        <v>2839</v>
      </c>
      <c r="B25" s="24"/>
      <c r="C25" s="37" t="s">
        <v>1375</v>
      </c>
      <c r="D25" s="37"/>
      <c r="E25" s="37" t="s">
        <v>2928</v>
      </c>
      <c r="F25" s="24" t="s">
        <v>5752</v>
      </c>
      <c r="G25" s="24" t="s">
        <v>5753</v>
      </c>
      <c r="H25" s="38" t="s">
        <v>2859</v>
      </c>
      <c r="I25" s="111"/>
      <c r="J25" s="214"/>
      <c r="K25" s="10"/>
      <c r="L25" s="102"/>
      <c r="M25" s="102"/>
      <c r="N25" s="37"/>
      <c r="O25" s="37"/>
      <c r="P25" s="37"/>
      <c r="Q25" s="37"/>
      <c r="R25" s="37"/>
      <c r="S25" s="10" t="s">
        <v>3412</v>
      </c>
      <c r="T25" s="10"/>
      <c r="U25" s="21">
        <v>1</v>
      </c>
      <c r="V25" s="21">
        <v>1</v>
      </c>
      <c r="W25" s="76">
        <f t="shared" ref="W25:W43" si="2">W24+V25</f>
        <v>1</v>
      </c>
      <c r="X25" s="80">
        <f>V25+X23</f>
        <v>21</v>
      </c>
      <c r="Y25" s="82" t="s">
        <v>3584</v>
      </c>
      <c r="Z25" s="24"/>
      <c r="AA25" s="175"/>
      <c r="AB25" s="175">
        <v>42449</v>
      </c>
      <c r="AC25" s="84" t="s">
        <v>5308</v>
      </c>
      <c r="AD25" s="84"/>
      <c r="AE25" s="29"/>
      <c r="AF25" s="10"/>
      <c r="AG25" s="10"/>
      <c r="AH25" s="10"/>
      <c r="AI25" s="10"/>
      <c r="AJ25" s="10"/>
      <c r="AK25" s="10"/>
      <c r="AL25" s="7"/>
    </row>
    <row r="26" spans="1:38" s="6" customFormat="1" ht="18" customHeight="1" x14ac:dyDescent="0.3">
      <c r="A26" s="29" t="s">
        <v>2327</v>
      </c>
      <c r="B26" s="24"/>
      <c r="C26" s="37" t="s">
        <v>1375</v>
      </c>
      <c r="D26" s="37"/>
      <c r="E26" s="37" t="s">
        <v>2928</v>
      </c>
      <c r="F26" s="24" t="s">
        <v>5752</v>
      </c>
      <c r="G26" s="24" t="s">
        <v>5753</v>
      </c>
      <c r="H26" s="38" t="s">
        <v>2859</v>
      </c>
      <c r="I26" s="111"/>
      <c r="J26" s="214"/>
      <c r="K26" s="10"/>
      <c r="L26" s="102"/>
      <c r="M26" s="102"/>
      <c r="N26" s="37"/>
      <c r="O26" s="37"/>
      <c r="P26" s="37"/>
      <c r="Q26" s="37"/>
      <c r="R26" s="37"/>
      <c r="S26" s="10" t="s">
        <v>3412</v>
      </c>
      <c r="T26" s="10"/>
      <c r="U26" s="21">
        <v>1</v>
      </c>
      <c r="V26" s="21">
        <v>1</v>
      </c>
      <c r="W26" s="76">
        <f t="shared" si="2"/>
        <v>2</v>
      </c>
      <c r="X26" s="80">
        <f t="shared" ref="X26:X43" si="3">V26+X25</f>
        <v>22</v>
      </c>
      <c r="Y26" s="82" t="s">
        <v>3584</v>
      </c>
      <c r="Z26" s="24"/>
      <c r="AA26" s="175"/>
      <c r="AB26" s="175">
        <v>42449</v>
      </c>
      <c r="AC26" s="84" t="s">
        <v>2885</v>
      </c>
      <c r="AD26" s="84"/>
      <c r="AE26" s="29"/>
      <c r="AF26" s="10"/>
      <c r="AG26" s="10"/>
      <c r="AH26" s="10"/>
      <c r="AI26" s="10"/>
      <c r="AJ26" s="10"/>
      <c r="AK26" s="10"/>
      <c r="AL26" s="7"/>
    </row>
    <row r="27" spans="1:38" s="6" customFormat="1" ht="18" customHeight="1" x14ac:dyDescent="0.3">
      <c r="A27" s="29" t="s">
        <v>2081</v>
      </c>
      <c r="B27" s="24"/>
      <c r="C27" s="37" t="s">
        <v>1375</v>
      </c>
      <c r="D27" s="37"/>
      <c r="E27" s="37" t="s">
        <v>2928</v>
      </c>
      <c r="F27" s="24" t="s">
        <v>5752</v>
      </c>
      <c r="G27" s="24" t="s">
        <v>5753</v>
      </c>
      <c r="H27" s="38" t="s">
        <v>2859</v>
      </c>
      <c r="I27" s="111"/>
      <c r="J27" s="214"/>
      <c r="K27" s="10"/>
      <c r="L27" s="102"/>
      <c r="M27" s="102"/>
      <c r="N27" s="37"/>
      <c r="O27" s="37"/>
      <c r="P27" s="37"/>
      <c r="Q27" s="37"/>
      <c r="R27" s="37"/>
      <c r="S27" s="10" t="s">
        <v>3412</v>
      </c>
      <c r="T27" s="10"/>
      <c r="U27" s="21">
        <v>1</v>
      </c>
      <c r="V27" s="21">
        <v>1</v>
      </c>
      <c r="W27" s="76">
        <f t="shared" si="2"/>
        <v>3</v>
      </c>
      <c r="X27" s="80">
        <f t="shared" si="3"/>
        <v>23</v>
      </c>
      <c r="Y27" s="82" t="s">
        <v>3584</v>
      </c>
      <c r="Z27" s="24"/>
      <c r="AA27" s="175"/>
      <c r="AB27" s="175"/>
      <c r="AC27" s="84"/>
      <c r="AD27" s="84"/>
      <c r="AE27" s="29"/>
      <c r="AF27" s="10"/>
      <c r="AG27" s="10"/>
      <c r="AH27" s="10"/>
      <c r="AI27" s="10"/>
      <c r="AJ27" s="10"/>
      <c r="AK27" s="10"/>
      <c r="AL27" s="7"/>
    </row>
    <row r="28" spans="1:38" s="6" customFormat="1" ht="18" customHeight="1" x14ac:dyDescent="0.3">
      <c r="A28" s="29" t="s">
        <v>2326</v>
      </c>
      <c r="B28" s="24"/>
      <c r="C28" s="37" t="s">
        <v>1375</v>
      </c>
      <c r="D28" s="37"/>
      <c r="E28" s="37" t="s">
        <v>2928</v>
      </c>
      <c r="F28" s="24" t="s">
        <v>5752</v>
      </c>
      <c r="G28" s="24" t="s">
        <v>5753</v>
      </c>
      <c r="H28" s="38" t="s">
        <v>2859</v>
      </c>
      <c r="I28" s="111"/>
      <c r="J28" s="214"/>
      <c r="K28" s="10"/>
      <c r="L28" s="102"/>
      <c r="M28" s="102"/>
      <c r="N28" s="37"/>
      <c r="O28" s="37"/>
      <c r="P28" s="37"/>
      <c r="Q28" s="37"/>
      <c r="R28" s="37"/>
      <c r="S28" s="10" t="s">
        <v>3412</v>
      </c>
      <c r="T28" s="10"/>
      <c r="U28" s="21">
        <v>1</v>
      </c>
      <c r="V28" s="21">
        <v>1</v>
      </c>
      <c r="W28" s="76">
        <f t="shared" si="2"/>
        <v>4</v>
      </c>
      <c r="X28" s="80">
        <f t="shared" si="3"/>
        <v>24</v>
      </c>
      <c r="Y28" s="82" t="s">
        <v>3584</v>
      </c>
      <c r="Z28" s="24"/>
      <c r="AA28" s="175"/>
      <c r="AB28" s="175">
        <v>42449</v>
      </c>
      <c r="AC28" s="84" t="s">
        <v>2885</v>
      </c>
      <c r="AD28" s="84"/>
      <c r="AE28" s="29"/>
      <c r="AF28" s="10"/>
      <c r="AG28" s="10"/>
      <c r="AH28" s="10"/>
      <c r="AI28" s="10"/>
      <c r="AJ28" s="10"/>
      <c r="AK28" s="10"/>
      <c r="AL28" s="7"/>
    </row>
    <row r="29" spans="1:38" s="6" customFormat="1" ht="18" customHeight="1" x14ac:dyDescent="0.3">
      <c r="A29" s="29" t="s">
        <v>5600</v>
      </c>
      <c r="B29" s="24"/>
      <c r="C29" s="37" t="s">
        <v>1375</v>
      </c>
      <c r="D29" s="37"/>
      <c r="E29" s="37" t="s">
        <v>2928</v>
      </c>
      <c r="F29" s="24" t="s">
        <v>5752</v>
      </c>
      <c r="G29" s="24" t="s">
        <v>5753</v>
      </c>
      <c r="H29" s="38" t="s">
        <v>2859</v>
      </c>
      <c r="I29" s="111"/>
      <c r="J29" s="214"/>
      <c r="K29" s="10"/>
      <c r="L29" s="102"/>
      <c r="M29" s="102"/>
      <c r="N29" s="37"/>
      <c r="O29" s="37"/>
      <c r="P29" s="37"/>
      <c r="Q29" s="37"/>
      <c r="R29" s="37"/>
      <c r="S29" s="10" t="s">
        <v>3412</v>
      </c>
      <c r="T29" s="10"/>
      <c r="U29" s="21">
        <v>1</v>
      </c>
      <c r="V29" s="21">
        <v>1</v>
      </c>
      <c r="W29" s="76">
        <f t="shared" si="2"/>
        <v>5</v>
      </c>
      <c r="X29" s="80">
        <f t="shared" si="3"/>
        <v>25</v>
      </c>
      <c r="Y29" s="82" t="s">
        <v>3584</v>
      </c>
      <c r="Z29" s="24"/>
      <c r="AA29" s="175"/>
      <c r="AB29" s="175"/>
      <c r="AC29" s="84"/>
      <c r="AD29" s="84"/>
      <c r="AE29" s="29"/>
      <c r="AF29" s="10"/>
      <c r="AG29" s="10"/>
      <c r="AH29" s="10"/>
      <c r="AI29" s="10"/>
      <c r="AJ29" s="10"/>
      <c r="AK29" s="10"/>
      <c r="AL29" s="7"/>
    </row>
    <row r="30" spans="1:38" s="6" customFormat="1" ht="18" customHeight="1" x14ac:dyDescent="0.3">
      <c r="A30" s="29" t="s">
        <v>2840</v>
      </c>
      <c r="B30" s="24"/>
      <c r="C30" s="37" t="s">
        <v>1375</v>
      </c>
      <c r="D30" s="37"/>
      <c r="E30" s="37" t="s">
        <v>2928</v>
      </c>
      <c r="F30" s="24" t="s">
        <v>5752</v>
      </c>
      <c r="G30" s="24" t="s">
        <v>5753</v>
      </c>
      <c r="H30" s="38" t="s">
        <v>2859</v>
      </c>
      <c r="I30" s="111"/>
      <c r="J30" s="214"/>
      <c r="K30" s="10"/>
      <c r="L30" s="102"/>
      <c r="M30" s="102"/>
      <c r="N30" s="37"/>
      <c r="O30" s="37"/>
      <c r="P30" s="37"/>
      <c r="Q30" s="37"/>
      <c r="R30" s="37"/>
      <c r="S30" s="10" t="s">
        <v>3412</v>
      </c>
      <c r="T30" s="10"/>
      <c r="U30" s="21">
        <v>1</v>
      </c>
      <c r="V30" s="21">
        <v>1</v>
      </c>
      <c r="W30" s="76">
        <f t="shared" si="2"/>
        <v>6</v>
      </c>
      <c r="X30" s="80">
        <f t="shared" si="3"/>
        <v>26</v>
      </c>
      <c r="Y30" s="82" t="s">
        <v>3584</v>
      </c>
      <c r="Z30" s="24"/>
      <c r="AA30" s="175"/>
      <c r="AB30" s="175">
        <v>42449</v>
      </c>
      <c r="AC30" s="84" t="s">
        <v>2885</v>
      </c>
      <c r="AD30" s="84"/>
      <c r="AE30" s="29"/>
      <c r="AF30" s="10"/>
      <c r="AG30" s="10"/>
      <c r="AH30" s="10"/>
      <c r="AI30" s="10"/>
      <c r="AJ30" s="10"/>
      <c r="AK30" s="10"/>
      <c r="AL30" s="7"/>
    </row>
    <row r="31" spans="1:38" s="6" customFormat="1" ht="18" customHeight="1" x14ac:dyDescent="0.3">
      <c r="A31" s="29" t="s">
        <v>2600</v>
      </c>
      <c r="B31" s="24"/>
      <c r="C31" s="37" t="s">
        <v>1375</v>
      </c>
      <c r="D31" s="37"/>
      <c r="E31" s="37" t="s">
        <v>2928</v>
      </c>
      <c r="F31" s="24" t="s">
        <v>5752</v>
      </c>
      <c r="G31" s="24" t="s">
        <v>5753</v>
      </c>
      <c r="H31" s="38" t="s">
        <v>3417</v>
      </c>
      <c r="I31" s="111"/>
      <c r="J31" s="214"/>
      <c r="K31" s="10"/>
      <c r="L31" s="102"/>
      <c r="M31" s="102"/>
      <c r="N31" s="37"/>
      <c r="O31" s="37"/>
      <c r="P31" s="37"/>
      <c r="Q31" s="37"/>
      <c r="R31" s="37"/>
      <c r="S31" s="10" t="s">
        <v>3412</v>
      </c>
      <c r="T31" s="10"/>
      <c r="U31" s="21">
        <v>0</v>
      </c>
      <c r="V31" s="21">
        <v>0</v>
      </c>
      <c r="W31" s="76">
        <f t="shared" si="2"/>
        <v>6</v>
      </c>
      <c r="X31" s="80">
        <f t="shared" si="3"/>
        <v>26</v>
      </c>
      <c r="Y31" s="82" t="s">
        <v>3584</v>
      </c>
      <c r="Z31" s="24"/>
      <c r="AA31" s="175"/>
      <c r="AB31" s="175"/>
      <c r="AC31" s="84"/>
      <c r="AD31" s="84"/>
      <c r="AE31" s="29"/>
      <c r="AF31" s="10"/>
      <c r="AG31" s="10"/>
      <c r="AH31" s="10"/>
      <c r="AI31" s="10"/>
      <c r="AJ31" s="10"/>
      <c r="AK31" s="10"/>
      <c r="AL31" s="7"/>
    </row>
    <row r="32" spans="1:38" s="6" customFormat="1" ht="18" customHeight="1" x14ac:dyDescent="0.3">
      <c r="A32" s="29" t="s">
        <v>2328</v>
      </c>
      <c r="B32" s="24"/>
      <c r="C32" s="37" t="s">
        <v>1375</v>
      </c>
      <c r="D32" s="37"/>
      <c r="E32" s="37" t="s">
        <v>2928</v>
      </c>
      <c r="F32" s="24" t="s">
        <v>5752</v>
      </c>
      <c r="G32" s="24" t="s">
        <v>5753</v>
      </c>
      <c r="H32" s="38" t="s">
        <v>2859</v>
      </c>
      <c r="I32" s="111"/>
      <c r="J32" s="214"/>
      <c r="K32" s="10"/>
      <c r="L32" s="102"/>
      <c r="M32" s="102"/>
      <c r="N32" s="37"/>
      <c r="O32" s="37"/>
      <c r="P32" s="37"/>
      <c r="Q32" s="37"/>
      <c r="R32" s="37"/>
      <c r="S32" s="10" t="s">
        <v>3412</v>
      </c>
      <c r="T32" s="10"/>
      <c r="U32" s="21">
        <v>1</v>
      </c>
      <c r="V32" s="21">
        <v>1</v>
      </c>
      <c r="W32" s="76">
        <f t="shared" si="2"/>
        <v>7</v>
      </c>
      <c r="X32" s="80">
        <f t="shared" si="3"/>
        <v>27</v>
      </c>
      <c r="Y32" s="82" t="s">
        <v>3584</v>
      </c>
      <c r="Z32" s="24"/>
      <c r="AA32" s="175"/>
      <c r="AB32" s="175"/>
      <c r="AC32" s="84"/>
      <c r="AD32" s="84"/>
      <c r="AE32" s="29"/>
      <c r="AF32" s="10"/>
      <c r="AG32" s="10"/>
      <c r="AH32" s="10"/>
      <c r="AI32" s="10"/>
      <c r="AJ32" s="10"/>
      <c r="AK32" s="10"/>
      <c r="AL32" s="7"/>
    </row>
    <row r="33" spans="1:38" s="6" customFormat="1" ht="18" customHeight="1" x14ac:dyDescent="0.3">
      <c r="A33" s="29" t="s">
        <v>2329</v>
      </c>
      <c r="B33" s="24"/>
      <c r="C33" s="37" t="s">
        <v>1375</v>
      </c>
      <c r="D33" s="37"/>
      <c r="E33" s="37" t="s">
        <v>2928</v>
      </c>
      <c r="F33" s="24" t="s">
        <v>5752</v>
      </c>
      <c r="G33" s="24" t="s">
        <v>5753</v>
      </c>
      <c r="H33" s="38" t="s">
        <v>2859</v>
      </c>
      <c r="I33" s="111"/>
      <c r="J33" s="214"/>
      <c r="K33" s="10"/>
      <c r="L33" s="102"/>
      <c r="M33" s="102"/>
      <c r="N33" s="37"/>
      <c r="O33" s="37"/>
      <c r="P33" s="37"/>
      <c r="Q33" s="37"/>
      <c r="R33" s="37"/>
      <c r="S33" s="10" t="s">
        <v>3412</v>
      </c>
      <c r="T33" s="10"/>
      <c r="U33" s="21">
        <v>1</v>
      </c>
      <c r="V33" s="21">
        <v>1</v>
      </c>
      <c r="W33" s="76">
        <f t="shared" si="2"/>
        <v>8</v>
      </c>
      <c r="X33" s="80">
        <f t="shared" si="3"/>
        <v>28</v>
      </c>
      <c r="Y33" s="82" t="s">
        <v>3584</v>
      </c>
      <c r="Z33" s="24"/>
      <c r="AA33" s="175"/>
      <c r="AB33" s="175"/>
      <c r="AC33" s="84"/>
      <c r="AD33" s="84"/>
      <c r="AE33" s="29"/>
      <c r="AF33" s="10"/>
      <c r="AG33" s="10"/>
      <c r="AH33" s="10"/>
      <c r="AI33" s="10"/>
      <c r="AJ33" s="10"/>
      <c r="AK33" s="10"/>
      <c r="AL33" s="7"/>
    </row>
    <row r="34" spans="1:38" s="6" customFormat="1" ht="18" customHeight="1" x14ac:dyDescent="0.3">
      <c r="A34" s="29" t="s">
        <v>5602</v>
      </c>
      <c r="B34" s="30" t="s">
        <v>5606</v>
      </c>
      <c r="C34" s="37" t="s">
        <v>1375</v>
      </c>
      <c r="D34" s="37"/>
      <c r="E34" s="37" t="s">
        <v>2928</v>
      </c>
      <c r="F34" s="24" t="s">
        <v>5752</v>
      </c>
      <c r="G34" s="24" t="s">
        <v>5753</v>
      </c>
      <c r="H34" s="38" t="s">
        <v>5616</v>
      </c>
      <c r="I34" s="111"/>
      <c r="J34" s="214"/>
      <c r="K34" s="10"/>
      <c r="L34" s="102"/>
      <c r="M34" s="102"/>
      <c r="N34" s="37"/>
      <c r="O34" s="37"/>
      <c r="P34" s="37"/>
      <c r="Q34" s="37"/>
      <c r="R34" s="37"/>
      <c r="S34" s="10" t="s">
        <v>3412</v>
      </c>
      <c r="T34" s="10"/>
      <c r="U34" s="21">
        <v>1</v>
      </c>
      <c r="V34" s="21">
        <v>1</v>
      </c>
      <c r="W34" s="76">
        <f t="shared" si="2"/>
        <v>9</v>
      </c>
      <c r="X34" s="80">
        <f t="shared" si="3"/>
        <v>29</v>
      </c>
      <c r="Y34" s="82" t="s">
        <v>3584</v>
      </c>
      <c r="Z34" s="24"/>
      <c r="AA34" s="175"/>
      <c r="AB34" s="175">
        <v>42449</v>
      </c>
      <c r="AC34" s="84" t="s">
        <v>5308</v>
      </c>
      <c r="AD34" s="84"/>
      <c r="AE34" s="29"/>
      <c r="AF34" s="10"/>
      <c r="AG34" s="10"/>
      <c r="AH34" s="10"/>
      <c r="AI34" s="10"/>
      <c r="AJ34" s="10"/>
      <c r="AK34" s="10"/>
      <c r="AL34" s="7"/>
    </row>
    <row r="35" spans="1:38" s="6" customFormat="1" ht="18" customHeight="1" x14ac:dyDescent="0.3">
      <c r="A35" s="29" t="s">
        <v>5603</v>
      </c>
      <c r="B35" s="30" t="s">
        <v>5615</v>
      </c>
      <c r="C35" s="37" t="s">
        <v>1375</v>
      </c>
      <c r="D35" s="37"/>
      <c r="E35" s="37" t="s">
        <v>2928</v>
      </c>
      <c r="F35" s="24" t="s">
        <v>5752</v>
      </c>
      <c r="G35" s="24" t="s">
        <v>5753</v>
      </c>
      <c r="H35" s="38" t="s">
        <v>5616</v>
      </c>
      <c r="I35" s="111"/>
      <c r="J35" s="214"/>
      <c r="K35" s="10"/>
      <c r="L35" s="102"/>
      <c r="M35" s="102"/>
      <c r="N35" s="37"/>
      <c r="O35" s="37"/>
      <c r="P35" s="37"/>
      <c r="Q35" s="37"/>
      <c r="R35" s="37"/>
      <c r="S35" s="10" t="s">
        <v>3412</v>
      </c>
      <c r="T35" s="10"/>
      <c r="U35" s="21">
        <v>1</v>
      </c>
      <c r="V35" s="21">
        <v>1</v>
      </c>
      <c r="W35" s="76">
        <f t="shared" si="2"/>
        <v>10</v>
      </c>
      <c r="X35" s="80">
        <f t="shared" si="3"/>
        <v>30</v>
      </c>
      <c r="Y35" s="82" t="s">
        <v>3584</v>
      </c>
      <c r="Z35" s="24"/>
      <c r="AA35" s="175"/>
      <c r="AB35" s="175">
        <v>42449</v>
      </c>
      <c r="AC35" s="84" t="s">
        <v>5308</v>
      </c>
      <c r="AD35" s="84"/>
      <c r="AE35" s="29"/>
      <c r="AF35" s="10"/>
      <c r="AG35" s="10"/>
      <c r="AH35" s="10"/>
      <c r="AI35" s="10"/>
      <c r="AJ35" s="10"/>
      <c r="AK35" s="10"/>
      <c r="AL35" s="7"/>
    </row>
    <row r="36" spans="1:38" s="6" customFormat="1" ht="18" customHeight="1" x14ac:dyDescent="0.3">
      <c r="A36" s="29" t="s">
        <v>5603</v>
      </c>
      <c r="B36" s="30" t="s">
        <v>5607</v>
      </c>
      <c r="C36" s="37" t="s">
        <v>1375</v>
      </c>
      <c r="D36" s="37"/>
      <c r="E36" s="37" t="s">
        <v>2928</v>
      </c>
      <c r="F36" s="24" t="s">
        <v>5752</v>
      </c>
      <c r="G36" s="24" t="s">
        <v>5753</v>
      </c>
      <c r="H36" s="38" t="s">
        <v>5616</v>
      </c>
      <c r="I36" s="111"/>
      <c r="J36" s="214"/>
      <c r="K36" s="10"/>
      <c r="L36" s="102"/>
      <c r="M36" s="102"/>
      <c r="N36" s="37"/>
      <c r="O36" s="37"/>
      <c r="P36" s="37"/>
      <c r="Q36" s="37"/>
      <c r="R36" s="37"/>
      <c r="S36" s="10" t="s">
        <v>3412</v>
      </c>
      <c r="T36" s="10"/>
      <c r="U36" s="21">
        <v>1</v>
      </c>
      <c r="V36" s="21">
        <v>1</v>
      </c>
      <c r="W36" s="76">
        <f t="shared" si="2"/>
        <v>11</v>
      </c>
      <c r="X36" s="80">
        <f t="shared" si="3"/>
        <v>31</v>
      </c>
      <c r="Y36" s="82" t="s">
        <v>3584</v>
      </c>
      <c r="Z36" s="24"/>
      <c r="AA36" s="175"/>
      <c r="AB36" s="175">
        <v>42449</v>
      </c>
      <c r="AC36" s="84" t="s">
        <v>5308</v>
      </c>
      <c r="AD36" s="84"/>
      <c r="AE36" s="29"/>
      <c r="AF36" s="10"/>
      <c r="AG36" s="10"/>
      <c r="AH36" s="10"/>
      <c r="AI36" s="10"/>
      <c r="AJ36" s="10"/>
      <c r="AK36" s="10"/>
      <c r="AL36" s="7"/>
    </row>
    <row r="37" spans="1:38" s="6" customFormat="1" ht="18" customHeight="1" x14ac:dyDescent="0.3">
      <c r="A37" s="29" t="s">
        <v>5604</v>
      </c>
      <c r="B37" s="30" t="s">
        <v>5607</v>
      </c>
      <c r="C37" s="37" t="s">
        <v>1375</v>
      </c>
      <c r="D37" s="37"/>
      <c r="E37" s="37" t="s">
        <v>2928</v>
      </c>
      <c r="F37" s="24" t="s">
        <v>5752</v>
      </c>
      <c r="G37" s="24" t="s">
        <v>5753</v>
      </c>
      <c r="H37" s="38" t="s">
        <v>5616</v>
      </c>
      <c r="I37" s="111"/>
      <c r="J37" s="214"/>
      <c r="K37" s="10"/>
      <c r="L37" s="102"/>
      <c r="M37" s="102"/>
      <c r="N37" s="37"/>
      <c r="O37" s="37"/>
      <c r="P37" s="37"/>
      <c r="Q37" s="37"/>
      <c r="R37" s="37"/>
      <c r="S37" s="10" t="s">
        <v>3412</v>
      </c>
      <c r="T37" s="10"/>
      <c r="U37" s="21">
        <v>1</v>
      </c>
      <c r="V37" s="21">
        <v>1</v>
      </c>
      <c r="W37" s="76">
        <f t="shared" si="2"/>
        <v>12</v>
      </c>
      <c r="X37" s="80">
        <f t="shared" si="3"/>
        <v>32</v>
      </c>
      <c r="Y37" s="82" t="s">
        <v>3584</v>
      </c>
      <c r="Z37" s="24"/>
      <c r="AA37" s="175"/>
      <c r="AB37" s="175">
        <v>42449</v>
      </c>
      <c r="AC37" s="84" t="s">
        <v>5308</v>
      </c>
      <c r="AD37" s="84"/>
      <c r="AE37" s="29"/>
      <c r="AF37" s="10"/>
      <c r="AG37" s="10"/>
      <c r="AH37" s="10"/>
      <c r="AI37" s="10"/>
      <c r="AJ37" s="10"/>
      <c r="AK37" s="10"/>
      <c r="AL37" s="7"/>
    </row>
    <row r="38" spans="1:38" s="6" customFormat="1" ht="18" customHeight="1" x14ac:dyDescent="0.3">
      <c r="A38" s="29" t="s">
        <v>5605</v>
      </c>
      <c r="B38" s="30" t="s">
        <v>5608</v>
      </c>
      <c r="C38" s="37" t="s">
        <v>1375</v>
      </c>
      <c r="D38" s="37"/>
      <c r="E38" s="37" t="s">
        <v>2928</v>
      </c>
      <c r="F38" s="24" t="s">
        <v>5752</v>
      </c>
      <c r="G38" s="24" t="s">
        <v>5753</v>
      </c>
      <c r="H38" s="38" t="s">
        <v>5616</v>
      </c>
      <c r="I38" s="111"/>
      <c r="J38" s="214"/>
      <c r="K38" s="10"/>
      <c r="L38" s="102"/>
      <c r="M38" s="102"/>
      <c r="N38" s="37"/>
      <c r="O38" s="37"/>
      <c r="P38" s="37"/>
      <c r="Q38" s="37"/>
      <c r="R38" s="37"/>
      <c r="S38" s="10" t="s">
        <v>3412</v>
      </c>
      <c r="T38" s="10"/>
      <c r="U38" s="21">
        <v>1</v>
      </c>
      <c r="V38" s="21">
        <v>1</v>
      </c>
      <c r="W38" s="76">
        <f t="shared" si="2"/>
        <v>13</v>
      </c>
      <c r="X38" s="80">
        <f t="shared" si="3"/>
        <v>33</v>
      </c>
      <c r="Y38" s="82" t="s">
        <v>3584</v>
      </c>
      <c r="Z38" s="24"/>
      <c r="AA38" s="175"/>
      <c r="AB38" s="175">
        <v>42449</v>
      </c>
      <c r="AC38" s="84" t="s">
        <v>5308</v>
      </c>
      <c r="AD38" s="84"/>
      <c r="AE38" s="29"/>
      <c r="AF38" s="10"/>
      <c r="AG38" s="10"/>
      <c r="AH38" s="10"/>
      <c r="AI38" s="10"/>
      <c r="AJ38" s="10"/>
      <c r="AK38" s="10"/>
      <c r="AL38" s="7"/>
    </row>
    <row r="39" spans="1:38" s="6" customFormat="1" ht="18" customHeight="1" x14ac:dyDescent="0.3">
      <c r="A39" s="29" t="s">
        <v>5610</v>
      </c>
      <c r="B39" s="30" t="s">
        <v>5609</v>
      </c>
      <c r="C39" s="37" t="s">
        <v>1375</v>
      </c>
      <c r="D39" s="37"/>
      <c r="E39" s="37" t="s">
        <v>2928</v>
      </c>
      <c r="F39" s="24" t="s">
        <v>5752</v>
      </c>
      <c r="G39" s="24" t="s">
        <v>5753</v>
      </c>
      <c r="H39" s="38" t="s">
        <v>5616</v>
      </c>
      <c r="I39" s="111"/>
      <c r="J39" s="214"/>
      <c r="K39" s="10"/>
      <c r="L39" s="102"/>
      <c r="M39" s="102"/>
      <c r="N39" s="37"/>
      <c r="O39" s="37"/>
      <c r="P39" s="37"/>
      <c r="Q39" s="37"/>
      <c r="R39" s="37"/>
      <c r="S39" s="10" t="s">
        <v>3412</v>
      </c>
      <c r="T39" s="10"/>
      <c r="U39" s="21">
        <v>1</v>
      </c>
      <c r="V39" s="21">
        <v>1</v>
      </c>
      <c r="W39" s="76">
        <f t="shared" si="2"/>
        <v>14</v>
      </c>
      <c r="X39" s="80">
        <f t="shared" si="3"/>
        <v>34</v>
      </c>
      <c r="Y39" s="82" t="s">
        <v>3584</v>
      </c>
      <c r="Z39" s="24"/>
      <c r="AA39" s="175"/>
      <c r="AB39" s="175">
        <v>42449</v>
      </c>
      <c r="AC39" s="84" t="s">
        <v>5308</v>
      </c>
      <c r="AD39" s="84"/>
      <c r="AE39" s="29"/>
      <c r="AF39" s="10"/>
      <c r="AG39" s="10"/>
      <c r="AH39" s="10"/>
      <c r="AI39" s="10"/>
      <c r="AJ39" s="10"/>
      <c r="AK39" s="10"/>
      <c r="AL39" s="7"/>
    </row>
    <row r="40" spans="1:38" s="6" customFormat="1" ht="18" customHeight="1" x14ac:dyDescent="0.3">
      <c r="A40" s="29" t="s">
        <v>5611</v>
      </c>
      <c r="B40" s="30" t="s">
        <v>5609</v>
      </c>
      <c r="C40" s="37" t="s">
        <v>1375</v>
      </c>
      <c r="D40" s="37"/>
      <c r="E40" s="37" t="s">
        <v>2928</v>
      </c>
      <c r="F40" s="24" t="s">
        <v>5752</v>
      </c>
      <c r="G40" s="24" t="s">
        <v>5753</v>
      </c>
      <c r="H40" s="38" t="s">
        <v>5616</v>
      </c>
      <c r="I40" s="111"/>
      <c r="J40" s="214"/>
      <c r="K40" s="10"/>
      <c r="L40" s="102"/>
      <c r="M40" s="102"/>
      <c r="N40" s="37"/>
      <c r="O40" s="37"/>
      <c r="P40" s="37"/>
      <c r="Q40" s="37"/>
      <c r="R40" s="37"/>
      <c r="S40" s="10" t="s">
        <v>3412</v>
      </c>
      <c r="T40" s="10"/>
      <c r="U40" s="21">
        <v>1</v>
      </c>
      <c r="V40" s="21">
        <v>1</v>
      </c>
      <c r="W40" s="76">
        <f t="shared" si="2"/>
        <v>15</v>
      </c>
      <c r="X40" s="80">
        <f t="shared" si="3"/>
        <v>35</v>
      </c>
      <c r="Y40" s="82" t="s">
        <v>3584</v>
      </c>
      <c r="Z40" s="24"/>
      <c r="AA40" s="175"/>
      <c r="AB40" s="175">
        <v>42449</v>
      </c>
      <c r="AC40" s="84" t="s">
        <v>5308</v>
      </c>
      <c r="AD40" s="84"/>
      <c r="AE40" s="29"/>
      <c r="AF40" s="10"/>
      <c r="AG40" s="10"/>
      <c r="AH40" s="10"/>
      <c r="AI40" s="10"/>
      <c r="AJ40" s="10"/>
      <c r="AK40" s="10"/>
      <c r="AL40" s="7"/>
    </row>
    <row r="41" spans="1:38" s="6" customFormat="1" ht="18" customHeight="1" x14ac:dyDescent="0.3">
      <c r="A41" s="29" t="s">
        <v>5612</v>
      </c>
      <c r="B41" s="30" t="s">
        <v>5609</v>
      </c>
      <c r="C41" s="37" t="s">
        <v>1375</v>
      </c>
      <c r="D41" s="37"/>
      <c r="E41" s="37" t="s">
        <v>2928</v>
      </c>
      <c r="F41" s="24" t="s">
        <v>5752</v>
      </c>
      <c r="G41" s="24" t="s">
        <v>5753</v>
      </c>
      <c r="H41" s="38" t="s">
        <v>5616</v>
      </c>
      <c r="I41" s="111"/>
      <c r="J41" s="214"/>
      <c r="K41" s="10"/>
      <c r="L41" s="102"/>
      <c r="M41" s="102"/>
      <c r="N41" s="37"/>
      <c r="O41" s="37"/>
      <c r="P41" s="37"/>
      <c r="Q41" s="37"/>
      <c r="R41" s="37"/>
      <c r="S41" s="10" t="s">
        <v>3412</v>
      </c>
      <c r="T41" s="10"/>
      <c r="U41" s="21">
        <v>1</v>
      </c>
      <c r="V41" s="21">
        <v>1</v>
      </c>
      <c r="W41" s="76">
        <f t="shared" si="2"/>
        <v>16</v>
      </c>
      <c r="X41" s="80">
        <f t="shared" si="3"/>
        <v>36</v>
      </c>
      <c r="Y41" s="82" t="s">
        <v>3584</v>
      </c>
      <c r="Z41" s="24"/>
      <c r="AA41" s="175"/>
      <c r="AB41" s="175">
        <v>42449</v>
      </c>
      <c r="AC41" s="84" t="s">
        <v>5308</v>
      </c>
      <c r="AD41" s="84"/>
      <c r="AE41" s="29"/>
      <c r="AF41" s="10"/>
      <c r="AG41" s="10"/>
      <c r="AH41" s="10"/>
      <c r="AI41" s="10"/>
      <c r="AJ41" s="10"/>
      <c r="AK41" s="10"/>
      <c r="AL41" s="7"/>
    </row>
    <row r="42" spans="1:38" s="6" customFormat="1" ht="18" customHeight="1" x14ac:dyDescent="0.3">
      <c r="A42" s="29" t="s">
        <v>5613</v>
      </c>
      <c r="B42" s="30" t="s">
        <v>5609</v>
      </c>
      <c r="C42" s="37" t="s">
        <v>1375</v>
      </c>
      <c r="D42" s="37"/>
      <c r="E42" s="37" t="s">
        <v>2928</v>
      </c>
      <c r="F42" s="24" t="s">
        <v>5752</v>
      </c>
      <c r="G42" s="24" t="s">
        <v>5753</v>
      </c>
      <c r="H42" s="38" t="s">
        <v>5616</v>
      </c>
      <c r="I42" s="111"/>
      <c r="J42" s="214"/>
      <c r="K42" s="10"/>
      <c r="L42" s="102"/>
      <c r="M42" s="102"/>
      <c r="N42" s="37"/>
      <c r="O42" s="37"/>
      <c r="P42" s="37"/>
      <c r="Q42" s="37"/>
      <c r="R42" s="37"/>
      <c r="S42" s="10" t="s">
        <v>3412</v>
      </c>
      <c r="T42" s="10"/>
      <c r="U42" s="21">
        <v>1</v>
      </c>
      <c r="V42" s="21">
        <v>1</v>
      </c>
      <c r="W42" s="76">
        <f t="shared" si="2"/>
        <v>17</v>
      </c>
      <c r="X42" s="80">
        <f t="shared" si="3"/>
        <v>37</v>
      </c>
      <c r="Y42" s="82" t="s">
        <v>3584</v>
      </c>
      <c r="Z42" s="24"/>
      <c r="AA42" s="175"/>
      <c r="AB42" s="175">
        <v>42449</v>
      </c>
      <c r="AC42" s="84" t="s">
        <v>5308</v>
      </c>
      <c r="AD42" s="84"/>
      <c r="AE42" s="29"/>
      <c r="AF42" s="10"/>
      <c r="AG42" s="10"/>
      <c r="AH42" s="10"/>
      <c r="AI42" s="10"/>
      <c r="AJ42" s="10"/>
      <c r="AK42" s="10"/>
      <c r="AL42" s="7"/>
    </row>
    <row r="43" spans="1:38" s="6" customFormat="1" ht="18" customHeight="1" x14ac:dyDescent="0.3">
      <c r="A43" s="29" t="s">
        <v>5614</v>
      </c>
      <c r="B43" s="30" t="s">
        <v>5609</v>
      </c>
      <c r="C43" s="37" t="s">
        <v>1375</v>
      </c>
      <c r="D43" s="37"/>
      <c r="E43" s="37" t="s">
        <v>2928</v>
      </c>
      <c r="F43" s="24" t="s">
        <v>5752</v>
      </c>
      <c r="G43" s="24" t="s">
        <v>5753</v>
      </c>
      <c r="H43" s="38" t="s">
        <v>5616</v>
      </c>
      <c r="I43" s="111"/>
      <c r="J43" s="214"/>
      <c r="K43" s="10"/>
      <c r="L43" s="102"/>
      <c r="M43" s="102"/>
      <c r="N43" s="37"/>
      <c r="O43" s="37"/>
      <c r="P43" s="37"/>
      <c r="Q43" s="37"/>
      <c r="R43" s="37"/>
      <c r="S43" s="10" t="s">
        <v>3412</v>
      </c>
      <c r="T43" s="10"/>
      <c r="U43" s="21">
        <v>1</v>
      </c>
      <c r="V43" s="21">
        <v>1</v>
      </c>
      <c r="W43" s="76">
        <f t="shared" si="2"/>
        <v>18</v>
      </c>
      <c r="X43" s="80">
        <f t="shared" si="3"/>
        <v>38</v>
      </c>
      <c r="Y43" s="82" t="s">
        <v>3584</v>
      </c>
      <c r="Z43" s="24"/>
      <c r="AA43" s="175"/>
      <c r="AB43" s="175">
        <v>42449</v>
      </c>
      <c r="AC43" s="84" t="s">
        <v>5308</v>
      </c>
      <c r="AD43" s="84"/>
      <c r="AE43" s="29"/>
      <c r="AF43" s="10"/>
      <c r="AG43" s="10"/>
      <c r="AH43" s="10"/>
      <c r="AI43" s="10"/>
      <c r="AJ43" s="10"/>
      <c r="AK43" s="10"/>
      <c r="AL43" s="7"/>
    </row>
    <row r="44" spans="1:38" s="57" customFormat="1" ht="18" customHeight="1" x14ac:dyDescent="0.3">
      <c r="A44" s="45" t="s">
        <v>2860</v>
      </c>
      <c r="B44" s="50"/>
      <c r="C44" s="49"/>
      <c r="D44" s="49"/>
      <c r="E44" s="49"/>
      <c r="F44" s="50"/>
      <c r="G44" s="50"/>
      <c r="H44" s="46"/>
      <c r="I44" s="109"/>
      <c r="J44" s="212"/>
      <c r="K44" s="56"/>
      <c r="L44" s="100"/>
      <c r="M44" s="100"/>
      <c r="N44" s="49"/>
      <c r="O44" s="49"/>
      <c r="P44" s="49"/>
      <c r="Q44" s="49"/>
      <c r="R44" s="49"/>
      <c r="S44" s="47"/>
      <c r="T44" s="47"/>
      <c r="U44" s="53"/>
      <c r="V44" s="48"/>
      <c r="W44" s="77"/>
      <c r="X44" s="81"/>
      <c r="Y44" s="132"/>
      <c r="Z44" s="50"/>
      <c r="AA44" s="176"/>
      <c r="AB44" s="176"/>
      <c r="AC44" s="137"/>
      <c r="AD44" s="137"/>
      <c r="AE44" s="70"/>
      <c r="AF44" s="47"/>
      <c r="AG44" s="47"/>
      <c r="AH44" s="47"/>
      <c r="AI44" s="47"/>
      <c r="AJ44" s="47"/>
      <c r="AK44" s="47"/>
      <c r="AL44" s="58"/>
    </row>
    <row r="45" spans="1:38" s="6" customFormat="1" ht="18" customHeight="1" x14ac:dyDescent="0.3">
      <c r="A45" s="29" t="s">
        <v>2178</v>
      </c>
      <c r="B45" s="24"/>
      <c r="C45" s="37" t="s">
        <v>1946</v>
      </c>
      <c r="D45" s="37"/>
      <c r="E45" s="37" t="s">
        <v>2928</v>
      </c>
      <c r="F45" s="24"/>
      <c r="G45" s="24" t="s">
        <v>5753</v>
      </c>
      <c r="H45" s="30"/>
      <c r="I45" s="111"/>
      <c r="J45" s="214" t="s">
        <v>5636</v>
      </c>
      <c r="K45" s="10" t="s">
        <v>5637</v>
      </c>
      <c r="L45" s="102"/>
      <c r="M45" s="102"/>
      <c r="N45" s="37" t="s">
        <v>5638</v>
      </c>
      <c r="O45" s="37"/>
      <c r="P45" s="37" t="s">
        <v>1463</v>
      </c>
      <c r="Q45" s="37" t="s">
        <v>3506</v>
      </c>
      <c r="R45" s="37"/>
      <c r="S45" s="10" t="s">
        <v>3412</v>
      </c>
      <c r="T45" s="10"/>
      <c r="U45" s="21">
        <v>1</v>
      </c>
      <c r="V45" s="21">
        <v>1</v>
      </c>
      <c r="W45" s="76">
        <f t="shared" ref="W45:W53" si="4">W44+V45</f>
        <v>1</v>
      </c>
      <c r="X45" s="80">
        <f>V45+X43</f>
        <v>39</v>
      </c>
      <c r="Y45" s="82" t="s">
        <v>3592</v>
      </c>
      <c r="Z45" s="24" t="s">
        <v>2884</v>
      </c>
      <c r="AA45" s="175"/>
      <c r="AB45" s="175">
        <v>42292</v>
      </c>
      <c r="AC45" s="84" t="s">
        <v>2885</v>
      </c>
      <c r="AD45" s="84"/>
      <c r="AE45" s="29"/>
      <c r="AF45" s="10"/>
      <c r="AG45" s="10"/>
      <c r="AH45" s="10"/>
      <c r="AI45" s="10"/>
      <c r="AJ45" s="10"/>
      <c r="AK45" s="10"/>
      <c r="AL45" s="7"/>
    </row>
    <row r="46" spans="1:38" s="6" customFormat="1" ht="18" customHeight="1" x14ac:dyDescent="0.3">
      <c r="A46" s="29" t="s">
        <v>3250</v>
      </c>
      <c r="B46" s="24"/>
      <c r="C46" s="37" t="s">
        <v>1375</v>
      </c>
      <c r="D46" s="37"/>
      <c r="E46" s="37" t="s">
        <v>2928</v>
      </c>
      <c r="F46" s="24"/>
      <c r="G46" s="24" t="s">
        <v>5753</v>
      </c>
      <c r="H46" s="22" t="s">
        <v>5617</v>
      </c>
      <c r="I46" s="111"/>
      <c r="J46" s="214" t="s">
        <v>5636</v>
      </c>
      <c r="K46" s="10" t="s">
        <v>5637</v>
      </c>
      <c r="L46" s="102"/>
      <c r="M46" s="102"/>
      <c r="N46" s="37" t="s">
        <v>5638</v>
      </c>
      <c r="O46" s="148"/>
      <c r="P46" s="37" t="s">
        <v>1463</v>
      </c>
      <c r="Q46" s="37" t="s">
        <v>3506</v>
      </c>
      <c r="R46" s="37"/>
      <c r="S46" s="10"/>
      <c r="T46" s="10" t="s">
        <v>2946</v>
      </c>
      <c r="U46" s="21">
        <v>0</v>
      </c>
      <c r="V46" s="21">
        <v>0</v>
      </c>
      <c r="W46" s="76">
        <f t="shared" si="4"/>
        <v>1</v>
      </c>
      <c r="X46" s="80">
        <f>V46+X45</f>
        <v>39</v>
      </c>
      <c r="Y46" s="82" t="s">
        <v>3592</v>
      </c>
      <c r="Z46" s="24" t="s">
        <v>2884</v>
      </c>
      <c r="AA46" s="175"/>
      <c r="AB46" s="175">
        <v>42292</v>
      </c>
      <c r="AC46" s="84" t="s">
        <v>2885</v>
      </c>
      <c r="AD46" s="138"/>
      <c r="AE46" s="29"/>
      <c r="AF46" s="10"/>
      <c r="AG46" s="10"/>
      <c r="AH46" s="10"/>
      <c r="AI46" s="10"/>
      <c r="AJ46" s="10"/>
      <c r="AK46" s="10"/>
      <c r="AL46" s="7"/>
    </row>
    <row r="47" spans="1:38" s="6" customFormat="1" ht="18" customHeight="1" x14ac:dyDescent="0.3">
      <c r="A47" s="29" t="s">
        <v>2082</v>
      </c>
      <c r="B47" s="24"/>
      <c r="C47" s="37" t="s">
        <v>1375</v>
      </c>
      <c r="D47" s="37"/>
      <c r="E47" s="37" t="s">
        <v>2928</v>
      </c>
      <c r="F47" s="24"/>
      <c r="G47" s="24" t="s">
        <v>5753</v>
      </c>
      <c r="H47" s="22" t="s">
        <v>5617</v>
      </c>
      <c r="I47" s="111"/>
      <c r="J47" s="214" t="s">
        <v>5636</v>
      </c>
      <c r="K47" s="10" t="s">
        <v>5637</v>
      </c>
      <c r="L47" s="102"/>
      <c r="M47" s="102"/>
      <c r="N47" s="37" t="s">
        <v>5638</v>
      </c>
      <c r="O47" s="148"/>
      <c r="P47" s="37" t="s">
        <v>1463</v>
      </c>
      <c r="Q47" s="37" t="s">
        <v>3506</v>
      </c>
      <c r="R47" s="37"/>
      <c r="S47" s="10"/>
      <c r="T47" s="10" t="s">
        <v>2946</v>
      </c>
      <c r="U47" s="21">
        <v>0</v>
      </c>
      <c r="V47" s="21">
        <v>0</v>
      </c>
      <c r="W47" s="76">
        <f t="shared" si="4"/>
        <v>1</v>
      </c>
      <c r="X47" s="80">
        <f>V47+X46</f>
        <v>39</v>
      </c>
      <c r="Y47" s="82" t="s">
        <v>3592</v>
      </c>
      <c r="Z47" s="24" t="s">
        <v>2884</v>
      </c>
      <c r="AA47" s="175"/>
      <c r="AB47" s="175">
        <v>42292</v>
      </c>
      <c r="AC47" s="84" t="s">
        <v>2885</v>
      </c>
      <c r="AD47" s="138"/>
      <c r="AE47" s="29"/>
      <c r="AF47" s="10"/>
      <c r="AG47" s="10"/>
      <c r="AH47" s="10"/>
      <c r="AI47" s="10"/>
      <c r="AJ47" s="10"/>
      <c r="AK47" s="10"/>
      <c r="AL47" s="7"/>
    </row>
    <row r="48" spans="1:38" s="6" customFormat="1" ht="18" customHeight="1" x14ac:dyDescent="0.3">
      <c r="A48" s="29" t="s">
        <v>5624</v>
      </c>
      <c r="B48" s="24"/>
      <c r="C48" s="37" t="s">
        <v>1375</v>
      </c>
      <c r="D48" s="37"/>
      <c r="E48" s="37" t="s">
        <v>2928</v>
      </c>
      <c r="F48" s="24"/>
      <c r="G48" s="24" t="s">
        <v>5753</v>
      </c>
      <c r="H48" s="24"/>
      <c r="I48" s="111"/>
      <c r="J48" s="214" t="s">
        <v>5636</v>
      </c>
      <c r="K48" s="10" t="s">
        <v>5637</v>
      </c>
      <c r="L48" s="102"/>
      <c r="M48" s="102"/>
      <c r="N48" s="37" t="s">
        <v>5638</v>
      </c>
      <c r="O48" s="37"/>
      <c r="P48" s="37" t="s">
        <v>1463</v>
      </c>
      <c r="Q48" s="37" t="s">
        <v>3506</v>
      </c>
      <c r="R48" s="37"/>
      <c r="S48" s="10" t="s">
        <v>3412</v>
      </c>
      <c r="T48" s="10" t="s">
        <v>2946</v>
      </c>
      <c r="U48" s="21">
        <v>1</v>
      </c>
      <c r="V48" s="21">
        <v>1</v>
      </c>
      <c r="W48" s="76">
        <f t="shared" si="4"/>
        <v>2</v>
      </c>
      <c r="X48" s="80">
        <f>V48+X47</f>
        <v>40</v>
      </c>
      <c r="Y48" s="82" t="s">
        <v>3592</v>
      </c>
      <c r="Z48" s="24" t="s">
        <v>2884</v>
      </c>
      <c r="AA48" s="175"/>
      <c r="AB48" s="175">
        <v>42292</v>
      </c>
      <c r="AC48" s="84" t="s">
        <v>2885</v>
      </c>
      <c r="AD48" s="84"/>
      <c r="AE48" s="29"/>
      <c r="AF48" s="10"/>
      <c r="AG48" s="10"/>
      <c r="AH48" s="10"/>
      <c r="AI48" s="10"/>
      <c r="AJ48" s="10"/>
      <c r="AK48" s="10"/>
      <c r="AL48" s="7"/>
    </row>
    <row r="49" spans="1:38" s="6" customFormat="1" ht="18" customHeight="1" x14ac:dyDescent="0.3">
      <c r="A49" s="29" t="s">
        <v>5625</v>
      </c>
      <c r="B49" s="24"/>
      <c r="C49" s="37" t="s">
        <v>1375</v>
      </c>
      <c r="D49" s="37"/>
      <c r="E49" s="37" t="s">
        <v>2928</v>
      </c>
      <c r="F49" s="24"/>
      <c r="G49" s="24" t="s">
        <v>5753</v>
      </c>
      <c r="H49" s="24" t="s">
        <v>2841</v>
      </c>
      <c r="I49" s="111"/>
      <c r="J49" s="214" t="s">
        <v>5636</v>
      </c>
      <c r="K49" s="10" t="s">
        <v>5637</v>
      </c>
      <c r="L49" s="102"/>
      <c r="M49" s="102"/>
      <c r="N49" s="37" t="s">
        <v>5638</v>
      </c>
      <c r="O49" s="37"/>
      <c r="P49" s="37" t="s">
        <v>1463</v>
      </c>
      <c r="Q49" s="37" t="s">
        <v>3506</v>
      </c>
      <c r="R49" s="37"/>
      <c r="S49" s="10" t="s">
        <v>3412</v>
      </c>
      <c r="T49" s="10" t="s">
        <v>2946</v>
      </c>
      <c r="U49" s="21">
        <v>1</v>
      </c>
      <c r="V49" s="21">
        <v>1</v>
      </c>
      <c r="W49" s="76">
        <f t="shared" si="4"/>
        <v>3</v>
      </c>
      <c r="X49" s="80">
        <f t="shared" ref="X49:X53" si="5">V49+X48</f>
        <v>41</v>
      </c>
      <c r="Y49" s="82" t="s">
        <v>3592</v>
      </c>
      <c r="Z49" s="24" t="s">
        <v>2884</v>
      </c>
      <c r="AA49" s="175"/>
      <c r="AB49" s="175">
        <v>42292</v>
      </c>
      <c r="AC49" s="84" t="s">
        <v>2885</v>
      </c>
      <c r="AD49" s="84"/>
      <c r="AE49" s="29"/>
      <c r="AF49" s="10"/>
      <c r="AG49" s="10"/>
      <c r="AH49" s="10"/>
      <c r="AI49" s="10"/>
      <c r="AJ49" s="10"/>
      <c r="AK49" s="10"/>
      <c r="AL49" s="7"/>
    </row>
    <row r="50" spans="1:38" s="6" customFormat="1" ht="17.399999999999999" x14ac:dyDescent="0.3">
      <c r="A50" s="29" t="s">
        <v>5626</v>
      </c>
      <c r="B50" s="24"/>
      <c r="C50" s="37" t="s">
        <v>1375</v>
      </c>
      <c r="D50" s="37"/>
      <c r="E50" s="37" t="s">
        <v>2928</v>
      </c>
      <c r="F50" s="24"/>
      <c r="G50" s="24" t="s">
        <v>5753</v>
      </c>
      <c r="H50" s="24" t="s">
        <v>5630</v>
      </c>
      <c r="I50" s="111"/>
      <c r="J50" s="214" t="s">
        <v>5636</v>
      </c>
      <c r="K50" s="10" t="s">
        <v>5637</v>
      </c>
      <c r="L50" s="102"/>
      <c r="M50" s="102"/>
      <c r="N50" s="37" t="s">
        <v>5638</v>
      </c>
      <c r="O50" s="37"/>
      <c r="P50" s="37" t="s">
        <v>1463</v>
      </c>
      <c r="Q50" s="37" t="s">
        <v>3506</v>
      </c>
      <c r="R50" s="37"/>
      <c r="S50" s="10" t="s">
        <v>2981</v>
      </c>
      <c r="T50" s="10" t="s">
        <v>2946</v>
      </c>
      <c r="U50" s="21">
        <v>1</v>
      </c>
      <c r="V50" s="21">
        <v>1</v>
      </c>
      <c r="W50" s="76">
        <f t="shared" si="4"/>
        <v>4</v>
      </c>
      <c r="X50" s="80">
        <f t="shared" si="5"/>
        <v>42</v>
      </c>
      <c r="Y50" s="82" t="s">
        <v>3592</v>
      </c>
      <c r="Z50" s="24" t="s">
        <v>2884</v>
      </c>
      <c r="AA50" s="175"/>
      <c r="AB50" s="175">
        <v>42292</v>
      </c>
      <c r="AC50" s="84" t="s">
        <v>2885</v>
      </c>
      <c r="AD50" s="84"/>
      <c r="AE50" s="29"/>
      <c r="AF50" s="10"/>
      <c r="AG50" s="10"/>
      <c r="AH50" s="10"/>
      <c r="AI50" s="10"/>
      <c r="AJ50" s="10"/>
      <c r="AK50" s="10"/>
      <c r="AL50" s="7"/>
    </row>
    <row r="51" spans="1:38" s="6" customFormat="1" ht="17.399999999999999" x14ac:dyDescent="0.3">
      <c r="A51" s="29" t="s">
        <v>5627</v>
      </c>
      <c r="B51" s="24"/>
      <c r="C51" s="37" t="s">
        <v>1375</v>
      </c>
      <c r="D51" s="37"/>
      <c r="E51" s="37" t="s">
        <v>2928</v>
      </c>
      <c r="F51" s="24"/>
      <c r="G51" s="24" t="s">
        <v>5753</v>
      </c>
      <c r="H51" s="30"/>
      <c r="I51" s="111"/>
      <c r="J51" s="214" t="s">
        <v>5636</v>
      </c>
      <c r="K51" s="10" t="s">
        <v>5637</v>
      </c>
      <c r="L51" s="102"/>
      <c r="M51" s="102"/>
      <c r="N51" s="37" t="s">
        <v>5638</v>
      </c>
      <c r="O51" s="37"/>
      <c r="P51" s="37" t="s">
        <v>1463</v>
      </c>
      <c r="Q51" s="37" t="s">
        <v>3506</v>
      </c>
      <c r="R51" s="37"/>
      <c r="S51" s="10"/>
      <c r="T51" s="10" t="s">
        <v>2946</v>
      </c>
      <c r="U51" s="21">
        <v>1</v>
      </c>
      <c r="V51" s="21">
        <v>1</v>
      </c>
      <c r="W51" s="76">
        <f t="shared" si="4"/>
        <v>5</v>
      </c>
      <c r="X51" s="80">
        <f t="shared" si="5"/>
        <v>43</v>
      </c>
      <c r="Y51" s="82" t="s">
        <v>3592</v>
      </c>
      <c r="Z51" s="24" t="s">
        <v>2884</v>
      </c>
      <c r="AA51" s="175"/>
      <c r="AB51" s="175">
        <v>42292</v>
      </c>
      <c r="AC51" s="84" t="s">
        <v>2885</v>
      </c>
      <c r="AD51" s="84"/>
      <c r="AE51" s="29"/>
      <c r="AF51" s="10"/>
      <c r="AG51" s="10"/>
      <c r="AH51" s="10"/>
      <c r="AI51" s="10"/>
      <c r="AJ51" s="10"/>
      <c r="AK51" s="10"/>
      <c r="AL51" s="7"/>
    </row>
    <row r="52" spans="1:38" s="6" customFormat="1" ht="18" customHeight="1" x14ac:dyDescent="0.3">
      <c r="A52" s="29" t="s">
        <v>5628</v>
      </c>
      <c r="B52" s="24"/>
      <c r="C52" s="37" t="s">
        <v>1375</v>
      </c>
      <c r="D52" s="37"/>
      <c r="E52" s="37" t="s">
        <v>2928</v>
      </c>
      <c r="F52" s="24"/>
      <c r="G52" s="24" t="s">
        <v>5753</v>
      </c>
      <c r="H52" s="30"/>
      <c r="I52" s="111"/>
      <c r="J52" s="214" t="s">
        <v>5636</v>
      </c>
      <c r="K52" s="10" t="s">
        <v>5637</v>
      </c>
      <c r="L52" s="102"/>
      <c r="M52" s="102"/>
      <c r="N52" s="37" t="s">
        <v>5638</v>
      </c>
      <c r="O52" s="37"/>
      <c r="P52" s="37" t="s">
        <v>1463</v>
      </c>
      <c r="Q52" s="37" t="s">
        <v>3506</v>
      </c>
      <c r="R52" s="37"/>
      <c r="S52" s="10"/>
      <c r="T52" s="10" t="s">
        <v>2946</v>
      </c>
      <c r="U52" s="21">
        <v>1</v>
      </c>
      <c r="V52" s="21">
        <v>1</v>
      </c>
      <c r="W52" s="76">
        <f t="shared" si="4"/>
        <v>6</v>
      </c>
      <c r="X52" s="80">
        <f t="shared" si="5"/>
        <v>44</v>
      </c>
      <c r="Y52" s="82" t="s">
        <v>3592</v>
      </c>
      <c r="Z52" s="24" t="s">
        <v>2884</v>
      </c>
      <c r="AA52" s="175"/>
      <c r="AB52" s="175">
        <v>42292</v>
      </c>
      <c r="AC52" s="84" t="s">
        <v>2885</v>
      </c>
      <c r="AD52" s="84"/>
      <c r="AE52" s="29"/>
      <c r="AF52" s="10"/>
      <c r="AG52" s="10"/>
      <c r="AH52" s="10"/>
      <c r="AI52" s="10"/>
      <c r="AJ52" s="10"/>
      <c r="AK52" s="10"/>
      <c r="AL52" s="7"/>
    </row>
    <row r="53" spans="1:38" s="6" customFormat="1" ht="18" customHeight="1" x14ac:dyDescent="0.3">
      <c r="A53" s="29" t="s">
        <v>5629</v>
      </c>
      <c r="B53" s="24"/>
      <c r="C53" s="37" t="s">
        <v>1375</v>
      </c>
      <c r="D53" s="37"/>
      <c r="E53" s="37" t="s">
        <v>2928</v>
      </c>
      <c r="F53" s="24"/>
      <c r="G53" s="24" t="s">
        <v>5753</v>
      </c>
      <c r="H53" s="30"/>
      <c r="I53" s="111"/>
      <c r="J53" s="214" t="s">
        <v>5636</v>
      </c>
      <c r="K53" s="10" t="s">
        <v>5637</v>
      </c>
      <c r="L53" s="102"/>
      <c r="M53" s="102"/>
      <c r="N53" s="37" t="s">
        <v>5638</v>
      </c>
      <c r="O53" s="37"/>
      <c r="P53" s="37" t="s">
        <v>1463</v>
      </c>
      <c r="Q53" s="37" t="s">
        <v>3506</v>
      </c>
      <c r="R53" s="37"/>
      <c r="S53" s="10" t="s">
        <v>3412</v>
      </c>
      <c r="T53" s="10" t="s">
        <v>2946</v>
      </c>
      <c r="U53" s="21">
        <v>1</v>
      </c>
      <c r="V53" s="21">
        <v>1</v>
      </c>
      <c r="W53" s="76">
        <f t="shared" si="4"/>
        <v>7</v>
      </c>
      <c r="X53" s="80">
        <f t="shared" si="5"/>
        <v>45</v>
      </c>
      <c r="Y53" s="82" t="s">
        <v>3592</v>
      </c>
      <c r="Z53" s="24" t="s">
        <v>2884</v>
      </c>
      <c r="AA53" s="175"/>
      <c r="AB53" s="175">
        <v>42292</v>
      </c>
      <c r="AC53" s="84" t="s">
        <v>2885</v>
      </c>
      <c r="AD53" s="84"/>
      <c r="AE53" s="29"/>
      <c r="AF53" s="10"/>
      <c r="AG53" s="10"/>
      <c r="AH53" s="10"/>
      <c r="AI53" s="10"/>
      <c r="AJ53" s="10"/>
      <c r="AK53" s="10"/>
      <c r="AL53" s="7"/>
    </row>
    <row r="54" spans="1:38" s="57" customFormat="1" ht="18" customHeight="1" x14ac:dyDescent="0.3">
      <c r="A54" s="45" t="s">
        <v>2177</v>
      </c>
      <c r="B54" s="50"/>
      <c r="C54" s="49"/>
      <c r="D54" s="49"/>
      <c r="E54" s="49"/>
      <c r="F54" s="50"/>
      <c r="G54" s="50"/>
      <c r="H54" s="46"/>
      <c r="I54" s="109"/>
      <c r="J54" s="212"/>
      <c r="K54" s="56"/>
      <c r="L54" s="100"/>
      <c r="M54" s="100"/>
      <c r="N54" s="49"/>
      <c r="O54" s="49"/>
      <c r="P54" s="49"/>
      <c r="Q54" s="49"/>
      <c r="R54" s="49"/>
      <c r="S54" s="47"/>
      <c r="T54" s="47"/>
      <c r="U54" s="53"/>
      <c r="V54" s="53"/>
      <c r="W54" s="77"/>
      <c r="X54" s="81"/>
      <c r="Y54" s="132"/>
      <c r="Z54" s="50"/>
      <c r="AA54" s="176"/>
      <c r="AB54" s="176"/>
      <c r="AC54" s="137"/>
      <c r="AD54" s="137"/>
      <c r="AE54" s="70"/>
      <c r="AF54" s="47"/>
      <c r="AG54" s="47"/>
      <c r="AH54" s="47"/>
      <c r="AI54" s="47"/>
      <c r="AJ54" s="47"/>
      <c r="AK54" s="47"/>
      <c r="AL54" s="58"/>
    </row>
    <row r="55" spans="1:38" s="6" customFormat="1" ht="18" customHeight="1" x14ac:dyDescent="0.3">
      <c r="A55" s="29" t="s">
        <v>2175</v>
      </c>
      <c r="B55" s="24"/>
      <c r="C55" s="37" t="s">
        <v>1375</v>
      </c>
      <c r="D55" s="37"/>
      <c r="E55" s="37" t="s">
        <v>2831</v>
      </c>
      <c r="F55" s="24" t="s">
        <v>2108</v>
      </c>
      <c r="G55" s="24" t="s">
        <v>5753</v>
      </c>
      <c r="H55" s="38" t="s">
        <v>2861</v>
      </c>
      <c r="I55" s="111"/>
      <c r="J55" s="214"/>
      <c r="K55" s="10"/>
      <c r="L55" s="102"/>
      <c r="M55" s="102"/>
      <c r="N55" s="28" t="s">
        <v>5620</v>
      </c>
      <c r="O55" s="37"/>
      <c r="P55" s="199"/>
      <c r="Q55" s="37"/>
      <c r="R55" s="37"/>
      <c r="S55" s="28" t="s">
        <v>2983</v>
      </c>
      <c r="T55" s="10"/>
      <c r="U55" s="21">
        <v>1</v>
      </c>
      <c r="V55" s="21">
        <v>1</v>
      </c>
      <c r="W55" s="76">
        <f>W54+V55</f>
        <v>1</v>
      </c>
      <c r="X55" s="80">
        <f>V55+X53</f>
        <v>46</v>
      </c>
      <c r="Y55" s="82" t="s">
        <v>3584</v>
      </c>
      <c r="Z55" s="24"/>
      <c r="AA55" s="175"/>
      <c r="AB55" s="175">
        <v>42449</v>
      </c>
      <c r="AC55" s="84" t="s">
        <v>2885</v>
      </c>
      <c r="AD55" s="84"/>
      <c r="AE55" s="29"/>
      <c r="AF55" s="10"/>
      <c r="AG55" s="10"/>
      <c r="AH55" s="10"/>
      <c r="AI55" s="10"/>
      <c r="AJ55" s="10"/>
      <c r="AK55" s="10"/>
      <c r="AL55" s="7"/>
    </row>
    <row r="56" spans="1:38" s="6" customFormat="1" ht="18" customHeight="1" x14ac:dyDescent="0.3">
      <c r="A56" s="29" t="s">
        <v>2176</v>
      </c>
      <c r="B56" s="24"/>
      <c r="C56" s="37" t="s">
        <v>1375</v>
      </c>
      <c r="D56" s="37"/>
      <c r="E56" s="37" t="s">
        <v>2831</v>
      </c>
      <c r="F56" s="24" t="s">
        <v>2108</v>
      </c>
      <c r="G56" s="24" t="s">
        <v>5753</v>
      </c>
      <c r="H56" s="38" t="s">
        <v>2861</v>
      </c>
      <c r="I56" s="111"/>
      <c r="J56" s="214"/>
      <c r="K56" s="10"/>
      <c r="L56" s="102"/>
      <c r="M56" s="102"/>
      <c r="N56" s="28" t="s">
        <v>5620</v>
      </c>
      <c r="O56" s="37"/>
      <c r="P56" s="37"/>
      <c r="Q56" s="37"/>
      <c r="R56" s="37"/>
      <c r="S56" s="28" t="s">
        <v>2983</v>
      </c>
      <c r="T56" s="10"/>
      <c r="U56" s="21">
        <v>1</v>
      </c>
      <c r="V56" s="21">
        <v>1</v>
      </c>
      <c r="W56" s="76">
        <f>W55+V56</f>
        <v>2</v>
      </c>
      <c r="X56" s="80">
        <f>V56+X55</f>
        <v>47</v>
      </c>
      <c r="Y56" s="82" t="s">
        <v>3584</v>
      </c>
      <c r="Z56" s="24"/>
      <c r="AA56" s="175"/>
      <c r="AB56" s="175">
        <v>42449</v>
      </c>
      <c r="AC56" s="84" t="s">
        <v>2885</v>
      </c>
      <c r="AD56" s="84"/>
      <c r="AE56" s="29"/>
      <c r="AF56" s="10"/>
      <c r="AG56" s="10"/>
      <c r="AH56" s="10"/>
      <c r="AI56" s="10"/>
      <c r="AJ56" s="10"/>
      <c r="AK56" s="10"/>
      <c r="AL56" s="7"/>
    </row>
    <row r="57" spans="1:38" s="6" customFormat="1" ht="18" customHeight="1" x14ac:dyDescent="0.3">
      <c r="A57" s="29" t="s">
        <v>2334</v>
      </c>
      <c r="B57" s="24"/>
      <c r="C57" s="37" t="s">
        <v>1375</v>
      </c>
      <c r="D57" s="37"/>
      <c r="E57" s="37" t="s">
        <v>2831</v>
      </c>
      <c r="F57" s="24" t="s">
        <v>2110</v>
      </c>
      <c r="G57" s="24" t="s">
        <v>5753</v>
      </c>
      <c r="H57" s="38" t="s">
        <v>2861</v>
      </c>
      <c r="I57" s="111"/>
      <c r="J57" s="214"/>
      <c r="K57" s="10"/>
      <c r="L57" s="102"/>
      <c r="M57" s="102"/>
      <c r="N57" s="28" t="s">
        <v>5620</v>
      </c>
      <c r="O57" s="37"/>
      <c r="P57" s="37"/>
      <c r="Q57" s="37"/>
      <c r="R57" s="37"/>
      <c r="S57" s="28" t="s">
        <v>2983</v>
      </c>
      <c r="T57" s="10"/>
      <c r="U57" s="21">
        <v>44</v>
      </c>
      <c r="V57" s="21">
        <v>44</v>
      </c>
      <c r="W57" s="76">
        <f>W56+V57</f>
        <v>46</v>
      </c>
      <c r="X57" s="80">
        <f>V57+X56</f>
        <v>91</v>
      </c>
      <c r="Y57" s="82" t="s">
        <v>3584</v>
      </c>
      <c r="Z57" s="24"/>
      <c r="AA57" s="175"/>
      <c r="AB57" s="175">
        <v>42449</v>
      </c>
      <c r="AC57" s="84" t="s">
        <v>2885</v>
      </c>
      <c r="AD57" s="84"/>
      <c r="AE57" s="29"/>
      <c r="AF57" s="10"/>
      <c r="AG57" s="10"/>
      <c r="AH57" s="10"/>
      <c r="AI57" s="10"/>
      <c r="AJ57" s="10"/>
      <c r="AK57" s="10"/>
      <c r="AL57" s="7"/>
    </row>
    <row r="58" spans="1:38" s="57" customFormat="1" ht="18" customHeight="1" x14ac:dyDescent="0.3">
      <c r="A58" s="45" t="s">
        <v>2107</v>
      </c>
      <c r="B58" s="50"/>
      <c r="C58" s="49"/>
      <c r="D58" s="49"/>
      <c r="E58" s="49"/>
      <c r="F58" s="50"/>
      <c r="G58" s="50"/>
      <c r="H58" s="46"/>
      <c r="I58" s="109"/>
      <c r="J58" s="212"/>
      <c r="K58" s="56"/>
      <c r="L58" s="100"/>
      <c r="M58" s="100"/>
      <c r="N58" s="49"/>
      <c r="O58" s="49"/>
      <c r="P58" s="49"/>
      <c r="Q58" s="49"/>
      <c r="R58" s="49"/>
      <c r="S58" s="47"/>
      <c r="T58" s="47"/>
      <c r="U58" s="53"/>
      <c r="V58" s="53"/>
      <c r="W58" s="77"/>
      <c r="X58" s="81"/>
      <c r="Y58" s="132"/>
      <c r="Z58" s="50"/>
      <c r="AA58" s="176"/>
      <c r="AB58" s="176"/>
      <c r="AC58" s="137"/>
      <c r="AD58" s="137"/>
      <c r="AE58" s="70"/>
      <c r="AF58" s="47"/>
      <c r="AG58" s="47"/>
      <c r="AH58" s="47"/>
      <c r="AI58" s="47"/>
      <c r="AJ58" s="47"/>
      <c r="AK58" s="47"/>
      <c r="AL58" s="58"/>
    </row>
    <row r="59" spans="1:38" s="6" customFormat="1" ht="18" customHeight="1" x14ac:dyDescent="0.3">
      <c r="A59" s="29" t="s">
        <v>2842</v>
      </c>
      <c r="B59" s="24"/>
      <c r="C59" s="37" t="s">
        <v>1375</v>
      </c>
      <c r="D59" s="37"/>
      <c r="E59" s="37" t="s">
        <v>2831</v>
      </c>
      <c r="F59" s="24" t="s">
        <v>2108</v>
      </c>
      <c r="G59" s="24" t="s">
        <v>5754</v>
      </c>
      <c r="H59" s="38" t="s">
        <v>5650</v>
      </c>
      <c r="I59" s="111"/>
      <c r="J59" s="214" t="s">
        <v>4034</v>
      </c>
      <c r="K59" s="10" t="s">
        <v>4035</v>
      </c>
      <c r="L59" s="102">
        <v>3</v>
      </c>
      <c r="M59" s="102"/>
      <c r="N59" s="37"/>
      <c r="O59" s="37"/>
      <c r="P59" s="37"/>
      <c r="Q59" s="37"/>
      <c r="R59" s="37"/>
      <c r="S59" s="10" t="s">
        <v>2491</v>
      </c>
      <c r="T59" s="10" t="s">
        <v>2915</v>
      </c>
      <c r="U59" s="21">
        <v>1</v>
      </c>
      <c r="V59" s="21">
        <v>1</v>
      </c>
      <c r="W59" s="76">
        <f>W58+V59</f>
        <v>1</v>
      </c>
      <c r="X59" s="80">
        <f>V59+X57</f>
        <v>92</v>
      </c>
      <c r="Y59" s="82" t="s">
        <v>3584</v>
      </c>
      <c r="Z59" s="24"/>
      <c r="AA59" s="175"/>
      <c r="AB59" s="175">
        <v>42449</v>
      </c>
      <c r="AC59" s="84" t="s">
        <v>2885</v>
      </c>
      <c r="AD59" s="84"/>
      <c r="AE59" s="29" t="s">
        <v>4080</v>
      </c>
      <c r="AF59" s="10"/>
      <c r="AG59" s="10"/>
      <c r="AH59" s="10"/>
      <c r="AI59" s="10" t="s">
        <v>2174</v>
      </c>
      <c r="AJ59" s="10"/>
      <c r="AK59" s="10"/>
      <c r="AL59" s="7"/>
    </row>
    <row r="60" spans="1:38" s="57" customFormat="1" ht="18" customHeight="1" x14ac:dyDescent="0.3">
      <c r="A60" s="59" t="s">
        <v>2331</v>
      </c>
      <c r="B60" s="50"/>
      <c r="C60" s="49"/>
      <c r="D60" s="49"/>
      <c r="E60" s="49"/>
      <c r="F60" s="50"/>
      <c r="G60" s="50"/>
      <c r="H60" s="60"/>
      <c r="I60" s="112"/>
      <c r="J60" s="212"/>
      <c r="K60" s="56"/>
      <c r="L60" s="100"/>
      <c r="M60" s="100"/>
      <c r="N60" s="49"/>
      <c r="O60" s="49"/>
      <c r="P60" s="49"/>
      <c r="Q60" s="49"/>
      <c r="R60" s="49"/>
      <c r="S60" s="61"/>
      <c r="T60" s="61"/>
      <c r="U60" s="53"/>
      <c r="V60" s="53"/>
      <c r="W60" s="77"/>
      <c r="X60" s="81"/>
      <c r="Y60" s="132"/>
      <c r="Z60" s="50"/>
      <c r="AA60" s="176"/>
      <c r="AB60" s="176"/>
      <c r="AC60" s="137"/>
      <c r="AD60" s="137"/>
      <c r="AE60" s="70"/>
      <c r="AF60" s="61"/>
      <c r="AG60" s="61"/>
      <c r="AH60" s="61"/>
      <c r="AI60" s="61"/>
      <c r="AJ60" s="61"/>
      <c r="AK60" s="61"/>
      <c r="AL60" s="58"/>
    </row>
    <row r="61" spans="1:38" s="6" customFormat="1" ht="18" customHeight="1" x14ac:dyDescent="0.3">
      <c r="A61" s="29" t="s">
        <v>2330</v>
      </c>
      <c r="B61" s="24"/>
      <c r="C61" s="37" t="s">
        <v>1375</v>
      </c>
      <c r="D61" s="37"/>
      <c r="E61" s="37" t="s">
        <v>2928</v>
      </c>
      <c r="F61" s="24"/>
      <c r="G61" s="24" t="s">
        <v>5753</v>
      </c>
      <c r="H61" s="38" t="s">
        <v>2331</v>
      </c>
      <c r="I61" s="111"/>
      <c r="J61" s="214"/>
      <c r="K61" s="10"/>
      <c r="L61" s="102"/>
      <c r="M61" s="102"/>
      <c r="N61" s="28" t="s">
        <v>2181</v>
      </c>
      <c r="O61" s="37"/>
      <c r="P61" s="37"/>
      <c r="Q61" s="37"/>
      <c r="R61" s="37"/>
      <c r="S61" s="28" t="s">
        <v>2390</v>
      </c>
      <c r="T61" s="10"/>
      <c r="U61" s="21">
        <v>11</v>
      </c>
      <c r="V61" s="21">
        <v>11</v>
      </c>
      <c r="W61" s="76">
        <f>W60+V61</f>
        <v>11</v>
      </c>
      <c r="X61" s="80">
        <f>V61+X59</f>
        <v>103</v>
      </c>
      <c r="Y61" s="82" t="s">
        <v>3584</v>
      </c>
      <c r="Z61" s="24"/>
      <c r="AA61" s="175"/>
      <c r="AB61" s="175">
        <v>42449</v>
      </c>
      <c r="AC61" s="84" t="s">
        <v>2885</v>
      </c>
      <c r="AD61" s="84"/>
      <c r="AE61" s="29"/>
      <c r="AF61" s="10"/>
      <c r="AG61" s="10"/>
      <c r="AH61" s="10"/>
      <c r="AI61" s="10"/>
      <c r="AJ61" s="10"/>
      <c r="AK61" s="10"/>
      <c r="AL61" s="7"/>
    </row>
    <row r="62" spans="1:38" s="6" customFormat="1" ht="18" customHeight="1" x14ac:dyDescent="0.3">
      <c r="A62" s="29" t="s">
        <v>2333</v>
      </c>
      <c r="B62" s="24"/>
      <c r="C62" s="37" t="s">
        <v>1375</v>
      </c>
      <c r="D62" s="37"/>
      <c r="E62" s="37" t="s">
        <v>2928</v>
      </c>
      <c r="F62" s="24"/>
      <c r="G62" s="24" t="s">
        <v>5753</v>
      </c>
      <c r="H62" s="38" t="s">
        <v>2331</v>
      </c>
      <c r="I62" s="111"/>
      <c r="J62" s="214"/>
      <c r="K62" s="10"/>
      <c r="L62" s="102"/>
      <c r="M62" s="102"/>
      <c r="N62" s="28" t="s">
        <v>2181</v>
      </c>
      <c r="O62" s="37"/>
      <c r="P62" s="37"/>
      <c r="Q62" s="37"/>
      <c r="R62" s="37"/>
      <c r="S62" s="28" t="s">
        <v>2390</v>
      </c>
      <c r="T62" s="10"/>
      <c r="U62" s="21">
        <v>50</v>
      </c>
      <c r="V62" s="21">
        <v>50</v>
      </c>
      <c r="W62" s="76">
        <f>W61+V62</f>
        <v>61</v>
      </c>
      <c r="X62" s="80">
        <f>V62+X61</f>
        <v>153</v>
      </c>
      <c r="Y62" s="82" t="s">
        <v>3584</v>
      </c>
      <c r="Z62" s="24"/>
      <c r="AA62" s="175"/>
      <c r="AB62" s="175">
        <v>42449</v>
      </c>
      <c r="AC62" s="84" t="s">
        <v>2885</v>
      </c>
      <c r="AD62" s="84"/>
      <c r="AE62" s="29"/>
      <c r="AF62" s="10"/>
      <c r="AG62" s="10"/>
      <c r="AH62" s="10"/>
      <c r="AI62" s="10"/>
      <c r="AJ62" s="10"/>
      <c r="AK62" s="10"/>
      <c r="AL62" s="7"/>
    </row>
    <row r="63" spans="1:38" s="6" customFormat="1" ht="18" customHeight="1" x14ac:dyDescent="0.3">
      <c r="A63" s="29" t="s">
        <v>2653</v>
      </c>
      <c r="B63" s="24"/>
      <c r="C63" s="37" t="s">
        <v>1375</v>
      </c>
      <c r="D63" s="37"/>
      <c r="E63" s="37" t="s">
        <v>2928</v>
      </c>
      <c r="F63" s="24"/>
      <c r="G63" s="24" t="s">
        <v>5753</v>
      </c>
      <c r="H63" s="38" t="s">
        <v>2654</v>
      </c>
      <c r="I63" s="111"/>
      <c r="J63" s="214"/>
      <c r="K63" s="10"/>
      <c r="L63" s="102"/>
      <c r="M63" s="102"/>
      <c r="N63" s="28" t="s">
        <v>2181</v>
      </c>
      <c r="O63" s="37"/>
      <c r="P63" s="37"/>
      <c r="Q63" s="37"/>
      <c r="R63" s="37"/>
      <c r="S63" s="28" t="s">
        <v>2390</v>
      </c>
      <c r="T63" s="10"/>
      <c r="U63" s="21">
        <v>1</v>
      </c>
      <c r="V63" s="21">
        <v>1</v>
      </c>
      <c r="W63" s="76">
        <f>W62+V63</f>
        <v>62</v>
      </c>
      <c r="X63" s="80">
        <f>V63+X62</f>
        <v>154</v>
      </c>
      <c r="Y63" s="82" t="s">
        <v>3584</v>
      </c>
      <c r="Z63" s="24"/>
      <c r="AA63" s="175"/>
      <c r="AB63" s="175">
        <v>42449</v>
      </c>
      <c r="AC63" s="84" t="s">
        <v>2885</v>
      </c>
      <c r="AD63" s="84"/>
      <c r="AE63" s="29"/>
      <c r="AF63" s="10"/>
      <c r="AG63" s="10"/>
      <c r="AH63" s="10"/>
      <c r="AI63" s="10"/>
      <c r="AJ63" s="10"/>
      <c r="AK63" s="10"/>
      <c r="AL63" s="7"/>
    </row>
    <row r="64" spans="1:38" s="6" customFormat="1" ht="18" customHeight="1" x14ac:dyDescent="0.3">
      <c r="A64" s="29" t="s">
        <v>4851</v>
      </c>
      <c r="B64" s="24"/>
      <c r="C64" s="37" t="s">
        <v>4847</v>
      </c>
      <c r="D64" s="37"/>
      <c r="E64" s="37" t="s">
        <v>2928</v>
      </c>
      <c r="F64" s="24"/>
      <c r="G64" s="24" t="s">
        <v>5753</v>
      </c>
      <c r="H64" s="38" t="s">
        <v>2652</v>
      </c>
      <c r="I64" s="111"/>
      <c r="J64" s="214"/>
      <c r="K64" s="10"/>
      <c r="L64" s="102"/>
      <c r="M64" s="102"/>
      <c r="N64" s="28" t="s">
        <v>2181</v>
      </c>
      <c r="O64" s="37"/>
      <c r="P64" s="37"/>
      <c r="Q64" s="37"/>
      <c r="R64" s="37"/>
      <c r="S64" s="28" t="s">
        <v>2390</v>
      </c>
      <c r="T64" s="10"/>
      <c r="U64" s="21">
        <v>1</v>
      </c>
      <c r="V64" s="21">
        <v>1</v>
      </c>
      <c r="W64" s="76">
        <f>W63+V64</f>
        <v>63</v>
      </c>
      <c r="X64" s="80">
        <f>V64+X63</f>
        <v>155</v>
      </c>
      <c r="Y64" s="82" t="s">
        <v>3584</v>
      </c>
      <c r="Z64" s="24"/>
      <c r="AA64" s="175"/>
      <c r="AB64" s="175">
        <v>42449</v>
      </c>
      <c r="AC64" s="84" t="s">
        <v>2885</v>
      </c>
      <c r="AD64" s="84"/>
      <c r="AE64" s="29"/>
      <c r="AF64" s="10"/>
      <c r="AG64" s="10"/>
      <c r="AH64" s="10"/>
      <c r="AI64" s="10"/>
      <c r="AJ64" s="10"/>
      <c r="AK64" s="10"/>
      <c r="AL64" s="7"/>
    </row>
    <row r="65" spans="1:38" s="57" customFormat="1" ht="18" customHeight="1" x14ac:dyDescent="0.3">
      <c r="A65" s="45" t="s">
        <v>5618</v>
      </c>
      <c r="B65" s="50"/>
      <c r="C65" s="49"/>
      <c r="D65" s="49"/>
      <c r="E65" s="49"/>
      <c r="F65" s="50"/>
      <c r="G65" s="50"/>
      <c r="H65" s="55"/>
      <c r="I65" s="110"/>
      <c r="J65" s="212"/>
      <c r="K65" s="56"/>
      <c r="L65" s="100"/>
      <c r="M65" s="100"/>
      <c r="N65" s="49"/>
      <c r="O65" s="49"/>
      <c r="P65" s="49"/>
      <c r="Q65" s="49"/>
      <c r="R65" s="49"/>
      <c r="S65" s="56"/>
      <c r="T65" s="56"/>
      <c r="U65" s="53"/>
      <c r="V65" s="53"/>
      <c r="W65" s="77"/>
      <c r="X65" s="81"/>
      <c r="Y65" s="132"/>
      <c r="Z65" s="50"/>
      <c r="AA65" s="176"/>
      <c r="AB65" s="176"/>
      <c r="AC65" s="137"/>
      <c r="AD65" s="137"/>
      <c r="AE65" s="70"/>
      <c r="AF65" s="56"/>
      <c r="AG65" s="56"/>
      <c r="AH65" s="56"/>
      <c r="AI65" s="56"/>
      <c r="AJ65" s="56"/>
      <c r="AK65" s="56"/>
      <c r="AL65" s="58"/>
    </row>
    <row r="66" spans="1:38" s="6" customFormat="1" ht="18" customHeight="1" x14ac:dyDescent="0.3">
      <c r="A66" s="29" t="s">
        <v>2330</v>
      </c>
      <c r="B66" s="24"/>
      <c r="C66" s="37" t="s">
        <v>1375</v>
      </c>
      <c r="D66" s="37"/>
      <c r="E66" s="37" t="s">
        <v>2928</v>
      </c>
      <c r="F66" s="24"/>
      <c r="G66" s="24" t="s">
        <v>5753</v>
      </c>
      <c r="H66" s="38" t="s">
        <v>5619</v>
      </c>
      <c r="I66" s="111"/>
      <c r="J66" s="214"/>
      <c r="K66" s="10"/>
      <c r="L66" s="102"/>
      <c r="M66" s="102"/>
      <c r="N66" s="28" t="s">
        <v>5594</v>
      </c>
      <c r="O66" s="37"/>
      <c r="P66" s="37"/>
      <c r="Q66" s="37"/>
      <c r="R66" s="37"/>
      <c r="S66" s="28" t="s">
        <v>3412</v>
      </c>
      <c r="T66" s="10"/>
      <c r="U66" s="21">
        <v>11</v>
      </c>
      <c r="V66" s="21">
        <v>11</v>
      </c>
      <c r="W66" s="76">
        <f>W65+V66</f>
        <v>11</v>
      </c>
      <c r="X66" s="80">
        <f>V66+X64</f>
        <v>166</v>
      </c>
      <c r="Y66" s="82" t="s">
        <v>3591</v>
      </c>
      <c r="Z66" s="24" t="s">
        <v>2553</v>
      </c>
      <c r="AA66" s="175"/>
      <c r="AB66" s="175">
        <v>42979</v>
      </c>
      <c r="AC66" s="84" t="s">
        <v>2885</v>
      </c>
      <c r="AD66" s="84"/>
      <c r="AE66" s="29"/>
      <c r="AF66" s="10"/>
      <c r="AG66" s="10"/>
      <c r="AH66" s="10"/>
      <c r="AI66" s="10"/>
      <c r="AJ66" s="10"/>
      <c r="AK66" s="10"/>
      <c r="AL66" s="7"/>
    </row>
    <row r="67" spans="1:38" s="6" customFormat="1" ht="18" customHeight="1" x14ac:dyDescent="0.3">
      <c r="A67" s="29" t="s">
        <v>2333</v>
      </c>
      <c r="B67" s="24"/>
      <c r="C67" s="37" t="s">
        <v>1375</v>
      </c>
      <c r="D67" s="37"/>
      <c r="E67" s="37" t="s">
        <v>2928</v>
      </c>
      <c r="F67" s="24"/>
      <c r="G67" s="24" t="s">
        <v>5753</v>
      </c>
      <c r="H67" s="38" t="s">
        <v>5619</v>
      </c>
      <c r="I67" s="111"/>
      <c r="J67" s="214"/>
      <c r="K67" s="10"/>
      <c r="L67" s="102"/>
      <c r="M67" s="102"/>
      <c r="N67" s="28" t="s">
        <v>5594</v>
      </c>
      <c r="O67" s="37"/>
      <c r="P67" s="37"/>
      <c r="Q67" s="37"/>
      <c r="R67" s="37"/>
      <c r="S67" s="28" t="s">
        <v>3412</v>
      </c>
      <c r="T67" s="10"/>
      <c r="U67" s="21">
        <v>50</v>
      </c>
      <c r="V67" s="21">
        <v>50</v>
      </c>
      <c r="W67" s="76">
        <f>W66+V67</f>
        <v>61</v>
      </c>
      <c r="X67" s="80">
        <f>V67+X66</f>
        <v>216</v>
      </c>
      <c r="Y67" s="82" t="s">
        <v>3591</v>
      </c>
      <c r="Z67" s="24" t="s">
        <v>2553</v>
      </c>
      <c r="AA67" s="175"/>
      <c r="AB67" s="175">
        <v>42979</v>
      </c>
      <c r="AC67" s="84" t="s">
        <v>2885</v>
      </c>
      <c r="AD67" s="84"/>
      <c r="AE67" s="29"/>
      <c r="AF67" s="10"/>
      <c r="AG67" s="10"/>
      <c r="AH67" s="10"/>
      <c r="AI67" s="10"/>
      <c r="AJ67" s="10"/>
      <c r="AK67" s="10"/>
      <c r="AL67" s="7"/>
    </row>
    <row r="68" spans="1:38" s="6" customFormat="1" ht="18" customHeight="1" x14ac:dyDescent="0.3">
      <c r="A68" s="29" t="s">
        <v>2653</v>
      </c>
      <c r="B68" s="24"/>
      <c r="C68" s="37" t="s">
        <v>1375</v>
      </c>
      <c r="D68" s="37"/>
      <c r="E68" s="37" t="s">
        <v>2928</v>
      </c>
      <c r="F68" s="24"/>
      <c r="G68" s="24" t="s">
        <v>5753</v>
      </c>
      <c r="H68" s="38" t="s">
        <v>2654</v>
      </c>
      <c r="I68" s="111"/>
      <c r="J68" s="214"/>
      <c r="K68" s="10"/>
      <c r="L68" s="102"/>
      <c r="M68" s="102"/>
      <c r="N68" s="28" t="s">
        <v>5594</v>
      </c>
      <c r="O68" s="37"/>
      <c r="P68" s="37"/>
      <c r="Q68" s="37"/>
      <c r="R68" s="37"/>
      <c r="S68" s="28" t="s">
        <v>3412</v>
      </c>
      <c r="T68" s="10"/>
      <c r="U68" s="21">
        <v>1</v>
      </c>
      <c r="V68" s="21">
        <v>1</v>
      </c>
      <c r="W68" s="76">
        <f>W67+V68</f>
        <v>62</v>
      </c>
      <c r="X68" s="80">
        <f>V68+X67</f>
        <v>217</v>
      </c>
      <c r="Y68" s="82" t="s">
        <v>3591</v>
      </c>
      <c r="Z68" s="24" t="s">
        <v>2553</v>
      </c>
      <c r="AA68" s="175"/>
      <c r="AB68" s="175">
        <v>42979</v>
      </c>
      <c r="AC68" s="84" t="s">
        <v>2885</v>
      </c>
      <c r="AD68" s="84"/>
      <c r="AE68" s="29"/>
      <c r="AF68" s="10"/>
      <c r="AG68" s="10"/>
      <c r="AH68" s="10"/>
      <c r="AI68" s="10"/>
      <c r="AJ68" s="10"/>
      <c r="AK68" s="10"/>
      <c r="AL68" s="7"/>
    </row>
    <row r="69" spans="1:38" s="6" customFormat="1" ht="18" customHeight="1" x14ac:dyDescent="0.3">
      <c r="A69" s="29" t="s">
        <v>4851</v>
      </c>
      <c r="B69" s="24"/>
      <c r="C69" s="37" t="s">
        <v>4847</v>
      </c>
      <c r="D69" s="37"/>
      <c r="E69" s="37" t="s">
        <v>2928</v>
      </c>
      <c r="F69" s="24"/>
      <c r="G69" s="24" t="s">
        <v>5753</v>
      </c>
      <c r="H69" s="38" t="s">
        <v>2652</v>
      </c>
      <c r="I69" s="111"/>
      <c r="J69" s="214"/>
      <c r="K69" s="10"/>
      <c r="L69" s="102"/>
      <c r="M69" s="102"/>
      <c r="N69" s="28" t="s">
        <v>5594</v>
      </c>
      <c r="O69" s="37"/>
      <c r="P69" s="37"/>
      <c r="Q69" s="37"/>
      <c r="R69" s="37"/>
      <c r="S69" s="28" t="s">
        <v>2390</v>
      </c>
      <c r="T69" s="10"/>
      <c r="U69" s="21">
        <v>1</v>
      </c>
      <c r="V69" s="21">
        <v>1</v>
      </c>
      <c r="W69" s="76">
        <f>W68+V69</f>
        <v>63</v>
      </c>
      <c r="X69" s="80">
        <f>V69+X68</f>
        <v>218</v>
      </c>
      <c r="Y69" s="82" t="s">
        <v>3591</v>
      </c>
      <c r="Z69" s="24" t="s">
        <v>2553</v>
      </c>
      <c r="AA69" s="175"/>
      <c r="AB69" s="175">
        <v>42979</v>
      </c>
      <c r="AC69" s="84" t="s">
        <v>2885</v>
      </c>
      <c r="AD69" s="84"/>
      <c r="AE69" s="29"/>
      <c r="AF69" s="10"/>
      <c r="AG69" s="10"/>
      <c r="AH69" s="10"/>
      <c r="AI69" s="10"/>
      <c r="AJ69" s="10"/>
      <c r="AK69" s="10"/>
      <c r="AL69" s="7"/>
    </row>
    <row r="70" spans="1:38" s="57" customFormat="1" ht="18" customHeight="1" x14ac:dyDescent="0.3">
      <c r="A70" s="45" t="s">
        <v>2331</v>
      </c>
      <c r="B70" s="50"/>
      <c r="C70" s="49"/>
      <c r="D70" s="49"/>
      <c r="E70" s="49"/>
      <c r="F70" s="50"/>
      <c r="G70" s="50"/>
      <c r="H70" s="55"/>
      <c r="I70" s="110"/>
      <c r="J70" s="212"/>
      <c r="K70" s="56"/>
      <c r="L70" s="100"/>
      <c r="M70" s="100"/>
      <c r="N70" s="49"/>
      <c r="O70" s="49"/>
      <c r="P70" s="49"/>
      <c r="Q70" s="49"/>
      <c r="R70" s="49"/>
      <c r="S70" s="56"/>
      <c r="T70" s="56"/>
      <c r="U70" s="53"/>
      <c r="V70" s="53"/>
      <c r="W70" s="77"/>
      <c r="X70" s="81"/>
      <c r="Y70" s="132"/>
      <c r="Z70" s="50"/>
      <c r="AA70" s="176"/>
      <c r="AB70" s="176"/>
      <c r="AC70" s="137"/>
      <c r="AD70" s="137"/>
      <c r="AE70" s="70"/>
      <c r="AF70" s="56"/>
      <c r="AG70" s="56"/>
      <c r="AH70" s="56"/>
      <c r="AI70" s="56"/>
      <c r="AJ70" s="56"/>
      <c r="AK70" s="56"/>
      <c r="AL70" s="58"/>
    </row>
    <row r="71" spans="1:38" s="6" customFormat="1" ht="18" customHeight="1" x14ac:dyDescent="0.3">
      <c r="A71" s="29" t="s">
        <v>2330</v>
      </c>
      <c r="B71" s="24"/>
      <c r="C71" s="37" t="s">
        <v>1375</v>
      </c>
      <c r="D71" s="37"/>
      <c r="E71" s="37" t="s">
        <v>2928</v>
      </c>
      <c r="F71" s="24"/>
      <c r="G71" s="24" t="s">
        <v>5753</v>
      </c>
      <c r="H71" s="38" t="s">
        <v>5619</v>
      </c>
      <c r="I71" s="111"/>
      <c r="J71" s="214"/>
      <c r="K71" s="10"/>
      <c r="L71" s="102"/>
      <c r="M71" s="102"/>
      <c r="N71" s="28" t="s">
        <v>5594</v>
      </c>
      <c r="O71" s="37"/>
      <c r="P71" s="37"/>
      <c r="Q71" s="37"/>
      <c r="R71" s="37"/>
      <c r="S71" s="28" t="s">
        <v>3412</v>
      </c>
      <c r="T71" s="10"/>
      <c r="U71" s="21">
        <v>11</v>
      </c>
      <c r="V71" s="21">
        <v>11</v>
      </c>
      <c r="W71" s="76">
        <f>W70+V71</f>
        <v>11</v>
      </c>
      <c r="X71" s="80">
        <f>V71+X69</f>
        <v>229</v>
      </c>
      <c r="Y71" s="82" t="s">
        <v>4059</v>
      </c>
      <c r="Z71" s="24"/>
      <c r="AA71" s="175"/>
      <c r="AB71" s="175">
        <v>42979</v>
      </c>
      <c r="AC71" s="84" t="s">
        <v>2885</v>
      </c>
      <c r="AD71" s="84"/>
      <c r="AE71" s="29"/>
      <c r="AF71" s="10"/>
      <c r="AG71" s="10"/>
      <c r="AH71" s="10"/>
      <c r="AI71" s="10"/>
      <c r="AJ71" s="10"/>
      <c r="AK71" s="10"/>
      <c r="AL71" s="7"/>
    </row>
    <row r="72" spans="1:38" s="6" customFormat="1" ht="18" customHeight="1" x14ac:dyDescent="0.3">
      <c r="A72" s="29" t="s">
        <v>2333</v>
      </c>
      <c r="B72" s="24"/>
      <c r="C72" s="37" t="s">
        <v>1375</v>
      </c>
      <c r="D72" s="37"/>
      <c r="E72" s="37" t="s">
        <v>2928</v>
      </c>
      <c r="F72" s="24"/>
      <c r="G72" s="24" t="s">
        <v>5753</v>
      </c>
      <c r="H72" s="38" t="s">
        <v>5619</v>
      </c>
      <c r="I72" s="111"/>
      <c r="J72" s="214"/>
      <c r="K72" s="10"/>
      <c r="L72" s="102"/>
      <c r="M72" s="102"/>
      <c r="N72" s="28" t="s">
        <v>5594</v>
      </c>
      <c r="O72" s="37"/>
      <c r="P72" s="37"/>
      <c r="Q72" s="37"/>
      <c r="R72" s="37"/>
      <c r="S72" s="28" t="s">
        <v>3412</v>
      </c>
      <c r="T72" s="10"/>
      <c r="U72" s="21">
        <v>50</v>
      </c>
      <c r="V72" s="21">
        <v>50</v>
      </c>
      <c r="W72" s="76">
        <f>W71+V72</f>
        <v>61</v>
      </c>
      <c r="X72" s="80">
        <f>V72+X71</f>
        <v>279</v>
      </c>
      <c r="Y72" s="82" t="s">
        <v>4059</v>
      </c>
      <c r="Z72" s="24"/>
      <c r="AA72" s="175"/>
      <c r="AB72" s="175">
        <v>42979</v>
      </c>
      <c r="AC72" s="84" t="s">
        <v>2885</v>
      </c>
      <c r="AD72" s="84"/>
      <c r="AE72" s="29"/>
      <c r="AF72" s="10"/>
      <c r="AG72" s="10"/>
      <c r="AH72" s="10"/>
      <c r="AI72" s="10"/>
      <c r="AJ72" s="10"/>
      <c r="AK72" s="10"/>
      <c r="AL72" s="7"/>
    </row>
    <row r="73" spans="1:38" s="6" customFormat="1" ht="18" customHeight="1" x14ac:dyDescent="0.3">
      <c r="A73" s="29" t="s">
        <v>4851</v>
      </c>
      <c r="B73" s="24"/>
      <c r="C73" s="37" t="s">
        <v>4847</v>
      </c>
      <c r="D73" s="37"/>
      <c r="E73" s="37" t="s">
        <v>2928</v>
      </c>
      <c r="F73" s="24"/>
      <c r="G73" s="24" t="s">
        <v>5753</v>
      </c>
      <c r="H73" s="38" t="s">
        <v>2652</v>
      </c>
      <c r="I73" s="111"/>
      <c r="J73" s="214"/>
      <c r="K73" s="10"/>
      <c r="L73" s="102"/>
      <c r="M73" s="102"/>
      <c r="N73" s="28" t="s">
        <v>5594</v>
      </c>
      <c r="O73" s="37"/>
      <c r="P73" s="37"/>
      <c r="Q73" s="37"/>
      <c r="R73" s="37"/>
      <c r="S73" s="28" t="s">
        <v>2390</v>
      </c>
      <c r="T73" s="10"/>
      <c r="U73" s="21">
        <v>1</v>
      </c>
      <c r="V73" s="21">
        <v>1</v>
      </c>
      <c r="W73" s="76">
        <f>W72+V73</f>
        <v>62</v>
      </c>
      <c r="X73" s="80">
        <f>V73+X72</f>
        <v>280</v>
      </c>
      <c r="Y73" s="82" t="s">
        <v>4059</v>
      </c>
      <c r="Z73" s="24"/>
      <c r="AA73" s="175"/>
      <c r="AB73" s="175">
        <v>42979</v>
      </c>
      <c r="AC73" s="84" t="s">
        <v>2885</v>
      </c>
      <c r="AD73" s="84"/>
      <c r="AE73" s="29"/>
      <c r="AF73" s="10"/>
      <c r="AG73" s="10"/>
      <c r="AH73" s="10"/>
      <c r="AI73" s="10"/>
      <c r="AJ73" s="10"/>
      <c r="AK73" s="10"/>
      <c r="AL73" s="7"/>
    </row>
    <row r="74" spans="1:38" s="57" customFormat="1" ht="18" customHeight="1" x14ac:dyDescent="0.3">
      <c r="A74" s="45" t="s">
        <v>2109</v>
      </c>
      <c r="B74" s="50"/>
      <c r="C74" s="49"/>
      <c r="D74" s="49"/>
      <c r="E74" s="49"/>
      <c r="F74" s="50"/>
      <c r="G74" s="50"/>
      <c r="H74" s="46"/>
      <c r="I74" s="109"/>
      <c r="J74" s="212"/>
      <c r="K74" s="56"/>
      <c r="L74" s="100"/>
      <c r="M74" s="100"/>
      <c r="N74" s="49"/>
      <c r="O74" s="49"/>
      <c r="P74" s="49"/>
      <c r="Q74" s="49"/>
      <c r="R74" s="49"/>
      <c r="S74" s="47"/>
      <c r="T74" s="47"/>
      <c r="U74" s="53"/>
      <c r="V74" s="53"/>
      <c r="W74" s="77"/>
      <c r="X74" s="81"/>
      <c r="Y74" s="132"/>
      <c r="Z74" s="50"/>
      <c r="AA74" s="137"/>
      <c r="AB74" s="137"/>
      <c r="AC74" s="137"/>
      <c r="AD74" s="137"/>
      <c r="AE74" s="70"/>
      <c r="AF74" s="47"/>
      <c r="AG74" s="47"/>
      <c r="AH74" s="47"/>
      <c r="AI74" s="47"/>
      <c r="AJ74" s="47"/>
      <c r="AK74" s="47"/>
      <c r="AL74" s="58"/>
    </row>
    <row r="75" spans="1:38" s="6" customFormat="1" ht="18" customHeight="1" x14ac:dyDescent="0.3">
      <c r="A75" s="29" t="s">
        <v>5642</v>
      </c>
      <c r="B75" s="24"/>
      <c r="C75" s="37" t="s">
        <v>1375</v>
      </c>
      <c r="D75" s="37"/>
      <c r="E75" s="37" t="s">
        <v>2928</v>
      </c>
      <c r="F75" s="24"/>
      <c r="G75" s="24" t="s">
        <v>1951</v>
      </c>
      <c r="H75" s="38" t="s">
        <v>5631</v>
      </c>
      <c r="I75" s="111"/>
      <c r="J75" s="214" t="s">
        <v>5633</v>
      </c>
      <c r="K75" s="10"/>
      <c r="L75" s="102"/>
      <c r="M75" s="102"/>
      <c r="N75" s="28" t="s">
        <v>5632</v>
      </c>
      <c r="O75" s="37"/>
      <c r="P75" s="199"/>
      <c r="Q75" s="37" t="s">
        <v>3506</v>
      </c>
      <c r="R75" s="37"/>
      <c r="S75" s="10" t="s">
        <v>2433</v>
      </c>
      <c r="T75" s="10" t="s">
        <v>5591</v>
      </c>
      <c r="U75" s="21">
        <v>11</v>
      </c>
      <c r="V75" s="21">
        <v>11</v>
      </c>
      <c r="W75" s="76">
        <f>W74+V75</f>
        <v>11</v>
      </c>
      <c r="X75" s="80">
        <f>V75+X73</f>
        <v>291</v>
      </c>
      <c r="Y75" s="82" t="s">
        <v>3584</v>
      </c>
      <c r="Z75" s="24"/>
      <c r="AA75" s="175"/>
      <c r="AB75" s="175">
        <v>42887</v>
      </c>
      <c r="AC75" s="84" t="s">
        <v>2885</v>
      </c>
      <c r="AD75" s="84"/>
      <c r="AE75" s="29"/>
      <c r="AF75" s="10"/>
      <c r="AG75" s="10"/>
      <c r="AH75" s="10"/>
      <c r="AI75" s="10" t="s">
        <v>2336</v>
      </c>
      <c r="AJ75" s="10"/>
      <c r="AK75" s="10"/>
      <c r="AL75" s="7"/>
    </row>
    <row r="76" spans="1:38" s="57" customFormat="1" ht="18" customHeight="1" x14ac:dyDescent="0.3">
      <c r="A76" s="45" t="s">
        <v>2332</v>
      </c>
      <c r="B76" s="50"/>
      <c r="C76" s="49"/>
      <c r="D76" s="49"/>
      <c r="E76" s="49"/>
      <c r="F76" s="50"/>
      <c r="G76" s="50"/>
      <c r="H76" s="46"/>
      <c r="I76" s="109"/>
      <c r="J76" s="212"/>
      <c r="K76" s="56"/>
      <c r="L76" s="100"/>
      <c r="M76" s="100"/>
      <c r="N76" s="49"/>
      <c r="O76" s="49"/>
      <c r="P76" s="49"/>
      <c r="Q76" s="49"/>
      <c r="R76" s="49"/>
      <c r="S76" s="47"/>
      <c r="T76" s="47"/>
      <c r="U76" s="53"/>
      <c r="V76" s="53"/>
      <c r="W76" s="77"/>
      <c r="X76" s="81"/>
      <c r="Y76" s="132"/>
      <c r="Z76" s="50"/>
      <c r="AA76" s="137"/>
      <c r="AB76" s="137"/>
      <c r="AC76" s="137"/>
      <c r="AD76" s="137"/>
      <c r="AE76" s="70"/>
      <c r="AF76" s="47"/>
      <c r="AG76" s="47"/>
      <c r="AH76" s="47"/>
      <c r="AI76" s="47"/>
      <c r="AJ76" s="47"/>
      <c r="AK76" s="47"/>
      <c r="AL76" s="58"/>
    </row>
    <row r="77" spans="1:38" s="6" customFormat="1" ht="18" customHeight="1" x14ac:dyDescent="0.3">
      <c r="A77" s="29" t="s">
        <v>3918</v>
      </c>
      <c r="B77" s="24"/>
      <c r="C77" s="37" t="s">
        <v>1375</v>
      </c>
      <c r="D77" s="37"/>
      <c r="E77" s="37" t="s">
        <v>2928</v>
      </c>
      <c r="F77" s="24"/>
      <c r="G77" s="24" t="s">
        <v>5753</v>
      </c>
      <c r="H77" s="38" t="s">
        <v>5622</v>
      </c>
      <c r="I77" s="111"/>
      <c r="J77" s="214" t="s">
        <v>5621</v>
      </c>
      <c r="K77" s="10"/>
      <c r="L77" s="102"/>
      <c r="M77" s="102"/>
      <c r="N77" s="37" t="s">
        <v>3915</v>
      </c>
      <c r="O77" s="37"/>
      <c r="P77" s="37" t="s">
        <v>1781</v>
      </c>
      <c r="Q77" s="37" t="s">
        <v>3506</v>
      </c>
      <c r="R77" s="37" t="s">
        <v>1792</v>
      </c>
      <c r="S77" s="10" t="s">
        <v>2433</v>
      </c>
      <c r="T77" s="10"/>
      <c r="U77" s="21">
        <v>23</v>
      </c>
      <c r="V77" s="21">
        <v>23</v>
      </c>
      <c r="W77" s="76">
        <f>W76+V77</f>
        <v>23</v>
      </c>
      <c r="X77" s="80">
        <f>V77+X75</f>
        <v>314</v>
      </c>
      <c r="Y77" s="82" t="s">
        <v>3584</v>
      </c>
      <c r="Z77" s="24"/>
      <c r="AA77" s="175"/>
      <c r="AB77" s="175">
        <v>42887</v>
      </c>
      <c r="AC77" s="84" t="s">
        <v>2885</v>
      </c>
      <c r="AD77" s="84"/>
      <c r="AE77" s="29"/>
      <c r="AF77" s="10"/>
      <c r="AG77" s="10"/>
      <c r="AH77" s="10"/>
      <c r="AI77" s="10"/>
      <c r="AJ77" s="10"/>
      <c r="AK77" s="10"/>
      <c r="AL77" s="7"/>
    </row>
    <row r="78" spans="1:38" s="6" customFormat="1" ht="18" customHeight="1" x14ac:dyDescent="0.3">
      <c r="A78" s="29" t="s">
        <v>4852</v>
      </c>
      <c r="B78" s="24"/>
      <c r="C78" s="37" t="s">
        <v>4847</v>
      </c>
      <c r="D78" s="37"/>
      <c r="E78" s="37" t="s">
        <v>2928</v>
      </c>
      <c r="F78" s="24"/>
      <c r="G78" s="24" t="s">
        <v>5753</v>
      </c>
      <c r="H78" s="38" t="s">
        <v>5623</v>
      </c>
      <c r="I78" s="111"/>
      <c r="J78" s="214" t="s">
        <v>5621</v>
      </c>
      <c r="K78" s="10"/>
      <c r="L78" s="102"/>
      <c r="M78" s="102"/>
      <c r="N78" s="37" t="s">
        <v>3915</v>
      </c>
      <c r="O78" s="37"/>
      <c r="P78" s="37" t="s">
        <v>1781</v>
      </c>
      <c r="Q78" s="37" t="s">
        <v>3506</v>
      </c>
      <c r="R78" s="37" t="s">
        <v>1792</v>
      </c>
      <c r="S78" s="10" t="s">
        <v>3412</v>
      </c>
      <c r="T78" s="10"/>
      <c r="U78" s="21">
        <v>1</v>
      </c>
      <c r="V78" s="21">
        <v>1</v>
      </c>
      <c r="W78" s="76">
        <f>W77+V78</f>
        <v>24</v>
      </c>
      <c r="X78" s="80">
        <f>V78+X77</f>
        <v>315</v>
      </c>
      <c r="Y78" s="82" t="s">
        <v>3584</v>
      </c>
      <c r="Z78" s="24"/>
      <c r="AA78" s="175"/>
      <c r="AB78" s="175">
        <v>42887</v>
      </c>
      <c r="AC78" s="84" t="s">
        <v>2885</v>
      </c>
      <c r="AD78" s="84"/>
      <c r="AE78" s="29"/>
      <c r="AF78" s="10"/>
      <c r="AG78" s="10"/>
      <c r="AH78" s="10"/>
      <c r="AI78" s="10"/>
      <c r="AJ78" s="10"/>
      <c r="AK78" s="10"/>
      <c r="AL78" s="7"/>
    </row>
    <row r="79" spans="1:38" s="6" customFormat="1" ht="18" customHeight="1" x14ac:dyDescent="0.3">
      <c r="A79" s="29" t="s">
        <v>3916</v>
      </c>
      <c r="B79" s="24"/>
      <c r="C79" s="37" t="s">
        <v>1375</v>
      </c>
      <c r="D79" s="37"/>
      <c r="E79" s="37" t="s">
        <v>2928</v>
      </c>
      <c r="F79" s="24"/>
      <c r="G79" s="24" t="s">
        <v>5753</v>
      </c>
      <c r="H79" s="38" t="s">
        <v>3908</v>
      </c>
      <c r="I79" s="111"/>
      <c r="J79" s="214" t="s">
        <v>5621</v>
      </c>
      <c r="K79" s="10"/>
      <c r="L79" s="102"/>
      <c r="M79" s="102"/>
      <c r="N79" s="37" t="s">
        <v>3917</v>
      </c>
      <c r="O79" s="37"/>
      <c r="P79" s="37" t="s">
        <v>1781</v>
      </c>
      <c r="Q79" s="37" t="s">
        <v>3506</v>
      </c>
      <c r="R79" s="37" t="s">
        <v>1792</v>
      </c>
      <c r="S79" s="10" t="s">
        <v>2512</v>
      </c>
      <c r="T79" s="10"/>
      <c r="U79" s="21">
        <v>23</v>
      </c>
      <c r="V79" s="21">
        <v>24</v>
      </c>
      <c r="W79" s="76">
        <f>W78+V79</f>
        <v>48</v>
      </c>
      <c r="X79" s="80">
        <f>V79+X78</f>
        <v>339</v>
      </c>
      <c r="Y79" s="82" t="s">
        <v>3584</v>
      </c>
      <c r="Z79" s="24"/>
      <c r="AA79" s="175"/>
      <c r="AB79" s="175">
        <v>42887</v>
      </c>
      <c r="AC79" s="84" t="s">
        <v>2885</v>
      </c>
      <c r="AD79" s="84"/>
      <c r="AE79" s="29"/>
      <c r="AF79" s="10"/>
      <c r="AG79" s="10"/>
      <c r="AH79" s="10"/>
      <c r="AI79" s="10" t="s">
        <v>2833</v>
      </c>
      <c r="AJ79" s="10"/>
      <c r="AK79" s="10"/>
      <c r="AL79" s="7"/>
    </row>
    <row r="80" spans="1:38" s="57" customFormat="1" ht="18" customHeight="1" x14ac:dyDescent="0.3">
      <c r="A80" s="45" t="s">
        <v>2651</v>
      </c>
      <c r="B80" s="50"/>
      <c r="C80" s="49"/>
      <c r="D80" s="49"/>
      <c r="E80" s="49"/>
      <c r="F80" s="50"/>
      <c r="G80" s="50"/>
      <c r="H80" s="55"/>
      <c r="I80" s="110"/>
      <c r="J80" s="212"/>
      <c r="K80" s="56"/>
      <c r="L80" s="100"/>
      <c r="M80" s="100"/>
      <c r="N80" s="49"/>
      <c r="O80" s="49"/>
      <c r="P80" s="49"/>
      <c r="Q80" s="49"/>
      <c r="R80" s="49"/>
      <c r="S80" s="56"/>
      <c r="T80" s="56"/>
      <c r="U80" s="53"/>
      <c r="V80" s="53"/>
      <c r="W80" s="77"/>
      <c r="X80" s="81"/>
      <c r="Y80" s="132"/>
      <c r="Z80" s="50"/>
      <c r="AA80" s="137"/>
      <c r="AB80" s="137"/>
      <c r="AC80" s="137"/>
      <c r="AD80" s="137"/>
      <c r="AE80" s="70"/>
      <c r="AF80" s="56"/>
      <c r="AG80" s="56"/>
      <c r="AH80" s="56"/>
      <c r="AI80" s="56"/>
      <c r="AJ80" s="56"/>
      <c r="AK80" s="56"/>
      <c r="AL80" s="58"/>
    </row>
    <row r="81" spans="1:38" s="6" customFormat="1" ht="18" customHeight="1" x14ac:dyDescent="0.3">
      <c r="A81" s="29" t="s">
        <v>3909</v>
      </c>
      <c r="B81" s="24"/>
      <c r="C81" s="37" t="s">
        <v>1375</v>
      </c>
      <c r="D81" s="37"/>
      <c r="E81" s="37" t="s">
        <v>2831</v>
      </c>
      <c r="F81" s="24"/>
      <c r="G81" s="24" t="s">
        <v>5753</v>
      </c>
      <c r="H81" s="38" t="s">
        <v>3912</v>
      </c>
      <c r="I81" s="111"/>
      <c r="J81" s="215">
        <v>1959</v>
      </c>
      <c r="K81" s="10" t="s">
        <v>3914</v>
      </c>
      <c r="L81" s="102"/>
      <c r="M81" s="102"/>
      <c r="N81" s="37" t="s">
        <v>5339</v>
      </c>
      <c r="O81" s="37"/>
      <c r="P81" s="37" t="s">
        <v>5340</v>
      </c>
      <c r="Q81" s="37" t="s">
        <v>3506</v>
      </c>
      <c r="R81" s="37" t="s">
        <v>1792</v>
      </c>
      <c r="S81" s="10" t="s">
        <v>2390</v>
      </c>
      <c r="T81" s="10" t="s">
        <v>2916</v>
      </c>
      <c r="U81" s="21">
        <v>85</v>
      </c>
      <c r="V81" s="21">
        <v>85</v>
      </c>
      <c r="W81" s="76">
        <f>W80+V81</f>
        <v>85</v>
      </c>
      <c r="X81" s="80">
        <f>V81+X79</f>
        <v>424</v>
      </c>
      <c r="Y81" s="82" t="s">
        <v>3591</v>
      </c>
      <c r="Z81" s="24" t="s">
        <v>3581</v>
      </c>
      <c r="AA81" s="175"/>
      <c r="AB81" s="175">
        <v>43040</v>
      </c>
      <c r="AC81" s="84" t="s">
        <v>2885</v>
      </c>
      <c r="AD81" s="84"/>
      <c r="AE81" s="29"/>
      <c r="AF81" s="10"/>
      <c r="AG81" s="10"/>
      <c r="AH81" s="10"/>
      <c r="AI81" s="10" t="s">
        <v>2650</v>
      </c>
      <c r="AJ81" s="10"/>
      <c r="AK81" s="10"/>
      <c r="AL81" s="7"/>
    </row>
    <row r="82" spans="1:38" s="6" customFormat="1" ht="18" customHeight="1" x14ac:dyDescent="0.3">
      <c r="A82" s="29" t="s">
        <v>3910</v>
      </c>
      <c r="B82" s="24"/>
      <c r="C82" s="37" t="s">
        <v>1375</v>
      </c>
      <c r="D82" s="37"/>
      <c r="E82" s="37" t="s">
        <v>2831</v>
      </c>
      <c r="F82" s="24"/>
      <c r="G82" s="24" t="s">
        <v>5753</v>
      </c>
      <c r="H82" s="38" t="s">
        <v>3913</v>
      </c>
      <c r="I82" s="111"/>
      <c r="J82" s="215">
        <v>1959</v>
      </c>
      <c r="K82" s="10" t="s">
        <v>3914</v>
      </c>
      <c r="L82" s="102"/>
      <c r="M82" s="102"/>
      <c r="N82" s="37" t="s">
        <v>5339</v>
      </c>
      <c r="O82" s="37"/>
      <c r="P82" s="37" t="s">
        <v>5340</v>
      </c>
      <c r="Q82" s="37" t="s">
        <v>3506</v>
      </c>
      <c r="R82" s="37"/>
      <c r="S82" s="10" t="s">
        <v>2433</v>
      </c>
      <c r="T82" s="10"/>
      <c r="U82" s="21">
        <v>1</v>
      </c>
      <c r="V82" s="21">
        <v>1</v>
      </c>
      <c r="W82" s="76">
        <f>W81+V82</f>
        <v>86</v>
      </c>
      <c r="X82" s="80">
        <f>V82+X81</f>
        <v>425</v>
      </c>
      <c r="Y82" s="82" t="s">
        <v>3591</v>
      </c>
      <c r="Z82" s="24" t="s">
        <v>3581</v>
      </c>
      <c r="AA82" s="175"/>
      <c r="AB82" s="175">
        <v>43040</v>
      </c>
      <c r="AC82" s="84" t="s">
        <v>2885</v>
      </c>
      <c r="AD82" s="84"/>
      <c r="AE82" s="29"/>
      <c r="AF82" s="10"/>
      <c r="AG82" s="10"/>
      <c r="AH82" s="10"/>
      <c r="AI82" s="10"/>
      <c r="AJ82" s="10"/>
      <c r="AK82" s="10"/>
      <c r="AL82" s="7"/>
    </row>
    <row r="83" spans="1:38" s="6" customFormat="1" ht="18" customHeight="1" x14ac:dyDescent="0.3">
      <c r="A83" s="29" t="s">
        <v>3911</v>
      </c>
      <c r="B83" s="24"/>
      <c r="C83" s="37" t="s">
        <v>4847</v>
      </c>
      <c r="D83" s="37"/>
      <c r="E83" s="37" t="s">
        <v>2927</v>
      </c>
      <c r="F83" s="24"/>
      <c r="G83" s="24" t="s">
        <v>5753</v>
      </c>
      <c r="H83" s="38" t="s">
        <v>4853</v>
      </c>
      <c r="I83" s="111"/>
      <c r="J83" s="214"/>
      <c r="K83" s="10"/>
      <c r="L83" s="102"/>
      <c r="M83" s="102"/>
      <c r="N83" s="37"/>
      <c r="O83" s="37"/>
      <c r="P83" s="37"/>
      <c r="Q83" s="37"/>
      <c r="R83" s="37"/>
      <c r="S83" s="10"/>
      <c r="T83" s="10"/>
      <c r="U83" s="21">
        <v>0</v>
      </c>
      <c r="V83" s="21">
        <v>0</v>
      </c>
      <c r="W83" s="76">
        <f>W82+V83</f>
        <v>86</v>
      </c>
      <c r="X83" s="80">
        <f>V83+X82</f>
        <v>425</v>
      </c>
      <c r="Y83" s="82" t="s">
        <v>3591</v>
      </c>
      <c r="Z83" s="24" t="s">
        <v>2885</v>
      </c>
      <c r="AA83" s="175"/>
      <c r="AB83" s="175">
        <v>43040</v>
      </c>
      <c r="AC83" s="84" t="s">
        <v>2885</v>
      </c>
      <c r="AD83" s="84"/>
      <c r="AE83" s="29"/>
      <c r="AF83" s="10"/>
      <c r="AG83" s="10"/>
      <c r="AH83" s="10"/>
      <c r="AI83" s="10"/>
      <c r="AJ83" s="10"/>
      <c r="AK83" s="10"/>
      <c r="AL83" s="7"/>
    </row>
    <row r="84" spans="1:38" s="57" customFormat="1" ht="18" customHeight="1" x14ac:dyDescent="0.3">
      <c r="A84" s="52" t="s">
        <v>1763</v>
      </c>
      <c r="B84" s="90"/>
      <c r="C84" s="49"/>
      <c r="D84" s="49"/>
      <c r="E84" s="49"/>
      <c r="F84" s="50"/>
      <c r="G84" s="50"/>
      <c r="H84" s="46" t="s">
        <v>4063</v>
      </c>
      <c r="I84" s="109"/>
      <c r="J84" s="213"/>
      <c r="K84" s="129"/>
      <c r="L84" s="101"/>
      <c r="M84" s="101"/>
      <c r="N84" s="49"/>
      <c r="O84" s="49"/>
      <c r="P84" s="49"/>
      <c r="Q84" s="49"/>
      <c r="R84" s="49"/>
      <c r="S84" s="47"/>
      <c r="T84" s="47"/>
      <c r="U84" s="53"/>
      <c r="V84" s="53"/>
      <c r="W84" s="77"/>
      <c r="X84" s="81"/>
      <c r="Y84" s="92"/>
      <c r="Z84" s="90"/>
      <c r="AA84" s="174"/>
      <c r="AB84" s="174"/>
      <c r="AC84" s="91"/>
      <c r="AD84" s="91"/>
      <c r="AE84" s="54"/>
      <c r="AF84" s="47"/>
      <c r="AG84" s="47"/>
      <c r="AH84" s="47"/>
      <c r="AI84" s="47"/>
      <c r="AJ84" s="47"/>
      <c r="AK84" s="47"/>
    </row>
    <row r="85" spans="1:38" ht="15.45" customHeight="1" x14ac:dyDescent="0.25">
      <c r="A85" s="29" t="s">
        <v>3394</v>
      </c>
      <c r="C85" s="37" t="s">
        <v>1211</v>
      </c>
      <c r="E85" s="37" t="s">
        <v>2827</v>
      </c>
      <c r="F85" s="24" t="s">
        <v>2288</v>
      </c>
      <c r="O85" s="37" t="s">
        <v>1666</v>
      </c>
      <c r="P85" s="37" t="s">
        <v>546</v>
      </c>
      <c r="Q85" s="37" t="s">
        <v>3506</v>
      </c>
      <c r="R85" s="37" t="s">
        <v>1792</v>
      </c>
      <c r="S85" s="10" t="s">
        <v>2433</v>
      </c>
      <c r="U85" s="21">
        <v>1</v>
      </c>
      <c r="V85" s="21">
        <v>1</v>
      </c>
      <c r="W85" s="73">
        <v>1</v>
      </c>
      <c r="X85" s="80">
        <f>V85+X83</f>
        <v>426</v>
      </c>
      <c r="Y85" s="82" t="s">
        <v>3592</v>
      </c>
      <c r="Z85" s="24" t="s">
        <v>218</v>
      </c>
    </row>
    <row r="86" spans="1:38" ht="15.45" customHeight="1" x14ac:dyDescent="0.25">
      <c r="A86" s="29" t="s">
        <v>1759</v>
      </c>
      <c r="C86" s="37" t="s">
        <v>1211</v>
      </c>
      <c r="E86" s="37" t="s">
        <v>2827</v>
      </c>
      <c r="F86" s="24" t="s">
        <v>2284</v>
      </c>
      <c r="G86" s="25"/>
      <c r="P86" s="37" t="s">
        <v>1781</v>
      </c>
      <c r="Q86" s="37" t="s">
        <v>3506</v>
      </c>
      <c r="R86" s="37" t="s">
        <v>1792</v>
      </c>
      <c r="S86" s="10" t="s">
        <v>2433</v>
      </c>
      <c r="U86" s="21">
        <v>2</v>
      </c>
      <c r="V86" s="21">
        <v>2</v>
      </c>
      <c r="W86" s="73">
        <v>3</v>
      </c>
      <c r="X86" s="80">
        <f t="shared" ref="X86:X168" si="6">V86+X85</f>
        <v>428</v>
      </c>
      <c r="Y86" s="82" t="s">
        <v>3584</v>
      </c>
    </row>
    <row r="87" spans="1:38" ht="15.45" customHeight="1" x14ac:dyDescent="0.25">
      <c r="A87" s="29" t="s">
        <v>324</v>
      </c>
      <c r="C87" s="37" t="s">
        <v>1211</v>
      </c>
      <c r="E87" s="37" t="s">
        <v>2827</v>
      </c>
      <c r="F87" s="24" t="s">
        <v>2284</v>
      </c>
      <c r="G87" s="25"/>
      <c r="S87" s="10" t="s">
        <v>2433</v>
      </c>
      <c r="U87" s="21">
        <v>1</v>
      </c>
      <c r="V87" s="21">
        <v>1</v>
      </c>
      <c r="W87" s="73">
        <f t="shared" ref="W87:W169" si="7">W86+V87</f>
        <v>4</v>
      </c>
      <c r="X87" s="80">
        <f t="shared" si="6"/>
        <v>429</v>
      </c>
      <c r="Y87" s="82" t="s">
        <v>3592</v>
      </c>
      <c r="Z87" s="24" t="s">
        <v>2884</v>
      </c>
    </row>
    <row r="88" spans="1:38" ht="15.45" customHeight="1" x14ac:dyDescent="0.25">
      <c r="A88" s="29" t="s">
        <v>333</v>
      </c>
      <c r="C88" s="37" t="s">
        <v>1211</v>
      </c>
      <c r="E88" s="37" t="s">
        <v>2827</v>
      </c>
      <c r="F88" s="24" t="s">
        <v>2284</v>
      </c>
      <c r="G88" s="25"/>
      <c r="S88" s="10" t="s">
        <v>2433</v>
      </c>
      <c r="U88" s="21">
        <v>1</v>
      </c>
      <c r="V88" s="21">
        <v>1</v>
      </c>
      <c r="W88" s="73">
        <f t="shared" si="7"/>
        <v>5</v>
      </c>
      <c r="X88" s="80">
        <f t="shared" si="6"/>
        <v>430</v>
      </c>
      <c r="Y88" s="82" t="s">
        <v>3592</v>
      </c>
      <c r="Z88" s="24" t="s">
        <v>2884</v>
      </c>
    </row>
    <row r="89" spans="1:38" ht="15.45" customHeight="1" x14ac:dyDescent="0.25">
      <c r="A89" s="29" t="s">
        <v>3395</v>
      </c>
      <c r="C89" s="37" t="s">
        <v>1211</v>
      </c>
      <c r="E89" s="37" t="s">
        <v>2827</v>
      </c>
      <c r="F89" s="24" t="s">
        <v>2284</v>
      </c>
      <c r="G89" s="25"/>
      <c r="H89" s="38" t="s">
        <v>3396</v>
      </c>
      <c r="S89" s="10" t="s">
        <v>2433</v>
      </c>
      <c r="U89" s="21">
        <v>1</v>
      </c>
      <c r="V89" s="21">
        <v>1</v>
      </c>
      <c r="W89" s="73">
        <f t="shared" si="7"/>
        <v>6</v>
      </c>
      <c r="X89" s="80">
        <f t="shared" si="6"/>
        <v>431</v>
      </c>
      <c r="Y89" s="82" t="s">
        <v>3584</v>
      </c>
    </row>
    <row r="90" spans="1:38" ht="15.45" customHeight="1" x14ac:dyDescent="0.25">
      <c r="A90" s="29" t="s">
        <v>3395</v>
      </c>
      <c r="C90" s="37" t="s">
        <v>1211</v>
      </c>
      <c r="E90" s="37" t="s">
        <v>2827</v>
      </c>
      <c r="F90" s="24" t="s">
        <v>2284</v>
      </c>
      <c r="G90" s="25"/>
      <c r="H90" s="38" t="s">
        <v>3397</v>
      </c>
      <c r="Q90" s="37" t="s">
        <v>1870</v>
      </c>
      <c r="R90" s="37" t="s">
        <v>3664</v>
      </c>
      <c r="S90" s="10" t="s">
        <v>2433</v>
      </c>
      <c r="U90" s="21">
        <v>1</v>
      </c>
      <c r="V90" s="21">
        <v>1</v>
      </c>
      <c r="W90" s="73">
        <f t="shared" si="7"/>
        <v>7</v>
      </c>
      <c r="X90" s="80">
        <f t="shared" si="6"/>
        <v>432</v>
      </c>
      <c r="Y90" s="82" t="s">
        <v>3592</v>
      </c>
      <c r="Z90" s="24" t="s">
        <v>2888</v>
      </c>
    </row>
    <row r="91" spans="1:38" ht="15.45" customHeight="1" x14ac:dyDescent="0.25">
      <c r="A91" s="29" t="s">
        <v>3398</v>
      </c>
      <c r="C91" s="37" t="s">
        <v>1211</v>
      </c>
      <c r="E91" s="37" t="s">
        <v>2827</v>
      </c>
      <c r="F91" s="24" t="s">
        <v>2284</v>
      </c>
      <c r="G91" s="25"/>
      <c r="S91" s="10" t="s">
        <v>2433</v>
      </c>
      <c r="U91" s="21">
        <v>1</v>
      </c>
      <c r="V91" s="21">
        <v>1</v>
      </c>
      <c r="W91" s="73">
        <f t="shared" si="7"/>
        <v>8</v>
      </c>
      <c r="X91" s="80">
        <f t="shared" si="6"/>
        <v>433</v>
      </c>
      <c r="Y91" s="82" t="s">
        <v>3592</v>
      </c>
      <c r="Z91" s="24" t="s">
        <v>2884</v>
      </c>
    </row>
    <row r="92" spans="1:38" ht="15.45" customHeight="1" x14ac:dyDescent="0.25">
      <c r="A92" s="29" t="s">
        <v>4407</v>
      </c>
      <c r="C92" s="37" t="s">
        <v>1211</v>
      </c>
      <c r="E92" s="37" t="s">
        <v>2827</v>
      </c>
      <c r="F92" s="24" t="s">
        <v>2284</v>
      </c>
      <c r="G92" s="25"/>
      <c r="H92" s="38" t="s">
        <v>3879</v>
      </c>
      <c r="P92" s="37" t="s">
        <v>5350</v>
      </c>
      <c r="Q92" s="37" t="s">
        <v>417</v>
      </c>
      <c r="R92" s="37" t="s">
        <v>2014</v>
      </c>
      <c r="S92" s="10" t="s">
        <v>2433</v>
      </c>
      <c r="U92" s="21">
        <v>2</v>
      </c>
      <c r="V92" s="21">
        <v>2</v>
      </c>
      <c r="W92" s="73">
        <f t="shared" si="7"/>
        <v>10</v>
      </c>
      <c r="X92" s="80">
        <f t="shared" si="6"/>
        <v>435</v>
      </c>
      <c r="Y92" s="82" t="s">
        <v>3592</v>
      </c>
      <c r="Z92" s="24" t="s">
        <v>2888</v>
      </c>
    </row>
    <row r="93" spans="1:38" ht="15.45" customHeight="1" x14ac:dyDescent="0.25">
      <c r="A93" s="29" t="s">
        <v>4407</v>
      </c>
      <c r="C93" s="37" t="s">
        <v>2048</v>
      </c>
      <c r="E93" s="37" t="s">
        <v>2827</v>
      </c>
      <c r="F93" s="24" t="s">
        <v>2284</v>
      </c>
      <c r="G93" s="25"/>
      <c r="H93" s="38" t="s">
        <v>3878</v>
      </c>
      <c r="O93" s="37" t="s">
        <v>749</v>
      </c>
      <c r="P93" s="37" t="s">
        <v>1463</v>
      </c>
      <c r="Q93" s="37" t="s">
        <v>3506</v>
      </c>
      <c r="R93" s="37" t="s">
        <v>1792</v>
      </c>
      <c r="S93" s="10" t="s">
        <v>2433</v>
      </c>
      <c r="U93" s="21">
        <v>2</v>
      </c>
      <c r="V93" s="21">
        <v>2</v>
      </c>
      <c r="W93" s="73">
        <f t="shared" si="7"/>
        <v>12</v>
      </c>
      <c r="X93" s="80">
        <f t="shared" si="6"/>
        <v>437</v>
      </c>
      <c r="Y93" s="82" t="s">
        <v>3592</v>
      </c>
      <c r="Z93" s="24" t="s">
        <v>2884</v>
      </c>
    </row>
    <row r="94" spans="1:38" ht="15.45" customHeight="1" x14ac:dyDescent="0.25">
      <c r="A94" s="29" t="s">
        <v>5396</v>
      </c>
      <c r="C94" s="37" t="s">
        <v>1211</v>
      </c>
      <c r="E94" s="37" t="s">
        <v>2827</v>
      </c>
      <c r="F94" s="24" t="s">
        <v>2284</v>
      </c>
      <c r="G94" s="25"/>
      <c r="P94" s="37" t="s">
        <v>278</v>
      </c>
      <c r="Q94" s="37" t="s">
        <v>3506</v>
      </c>
      <c r="R94" s="37" t="s">
        <v>1792</v>
      </c>
      <c r="S94" s="10" t="s">
        <v>2433</v>
      </c>
      <c r="U94" s="21">
        <v>2</v>
      </c>
      <c r="V94" s="21">
        <v>2</v>
      </c>
      <c r="W94" s="73">
        <f t="shared" si="7"/>
        <v>14</v>
      </c>
      <c r="X94" s="80">
        <f t="shared" si="6"/>
        <v>439</v>
      </c>
      <c r="Y94" s="82" t="s">
        <v>3591</v>
      </c>
      <c r="Z94" s="24" t="s">
        <v>6238</v>
      </c>
      <c r="AA94" s="177">
        <v>44509</v>
      </c>
    </row>
    <row r="95" spans="1:38" ht="15.45" customHeight="1" x14ac:dyDescent="0.25">
      <c r="A95" s="29" t="s">
        <v>5925</v>
      </c>
      <c r="C95" s="37" t="s">
        <v>1211</v>
      </c>
      <c r="E95" s="37" t="s">
        <v>2827</v>
      </c>
      <c r="F95" s="24" t="s">
        <v>2284</v>
      </c>
      <c r="G95" s="25"/>
      <c r="H95" s="201" t="s">
        <v>5926</v>
      </c>
      <c r="J95" s="214" t="s">
        <v>5684</v>
      </c>
      <c r="O95" s="37" t="s">
        <v>5927</v>
      </c>
      <c r="P95" s="37" t="s">
        <v>546</v>
      </c>
      <c r="Q95" s="37" t="s">
        <v>3506</v>
      </c>
      <c r="R95" s="37" t="s">
        <v>1792</v>
      </c>
      <c r="S95" s="10" t="s">
        <v>2433</v>
      </c>
      <c r="U95" s="21">
        <v>1</v>
      </c>
      <c r="V95" s="21">
        <v>1</v>
      </c>
      <c r="W95" s="73">
        <f t="shared" si="7"/>
        <v>15</v>
      </c>
      <c r="X95" s="80">
        <f t="shared" si="6"/>
        <v>440</v>
      </c>
      <c r="Y95" s="82" t="s">
        <v>3591</v>
      </c>
      <c r="Z95" s="24" t="s">
        <v>2885</v>
      </c>
      <c r="AA95" s="175"/>
      <c r="AB95" s="175">
        <v>43040</v>
      </c>
      <c r="AC95" s="84" t="s">
        <v>2885</v>
      </c>
    </row>
    <row r="96" spans="1:38" ht="15.45" customHeight="1" x14ac:dyDescent="0.25">
      <c r="A96" s="29" t="s">
        <v>5395</v>
      </c>
      <c r="B96" s="24" t="s">
        <v>5393</v>
      </c>
      <c r="C96" s="37" t="s">
        <v>1211</v>
      </c>
      <c r="E96" s="37" t="s">
        <v>2827</v>
      </c>
      <c r="F96" s="24" t="s">
        <v>2284</v>
      </c>
      <c r="G96" s="25"/>
      <c r="P96" s="37" t="s">
        <v>400</v>
      </c>
      <c r="Q96" s="37" t="s">
        <v>5344</v>
      </c>
      <c r="R96" s="37" t="s">
        <v>3663</v>
      </c>
      <c r="S96" s="10" t="s">
        <v>2433</v>
      </c>
      <c r="U96" s="21">
        <v>1</v>
      </c>
      <c r="V96" s="21">
        <v>1</v>
      </c>
      <c r="W96" s="73">
        <f t="shared" si="7"/>
        <v>16</v>
      </c>
      <c r="X96" s="80">
        <f t="shared" si="6"/>
        <v>441</v>
      </c>
      <c r="Y96" s="82" t="s">
        <v>3592</v>
      </c>
      <c r="Z96" s="24" t="s">
        <v>2884</v>
      </c>
    </row>
    <row r="97" spans="1:31" ht="15.45" customHeight="1" x14ac:dyDescent="0.25">
      <c r="A97" s="29" t="s">
        <v>1760</v>
      </c>
      <c r="C97" s="37" t="s">
        <v>1211</v>
      </c>
      <c r="E97" s="37" t="s">
        <v>2827</v>
      </c>
      <c r="F97" s="24" t="s">
        <v>2284</v>
      </c>
      <c r="G97" s="25"/>
      <c r="O97" s="37" t="s">
        <v>5352</v>
      </c>
      <c r="P97" s="37" t="s">
        <v>5351</v>
      </c>
      <c r="Q97" s="37" t="s">
        <v>3506</v>
      </c>
      <c r="R97" s="37" t="s">
        <v>1792</v>
      </c>
      <c r="S97" s="10" t="s">
        <v>2433</v>
      </c>
      <c r="U97" s="21">
        <v>1</v>
      </c>
      <c r="V97" s="21">
        <v>1</v>
      </c>
      <c r="W97" s="73">
        <f t="shared" si="7"/>
        <v>17</v>
      </c>
      <c r="X97" s="80">
        <f t="shared" si="6"/>
        <v>442</v>
      </c>
      <c r="Y97" s="82" t="s">
        <v>3591</v>
      </c>
      <c r="Z97" s="24" t="s">
        <v>2887</v>
      </c>
    </row>
    <row r="98" spans="1:31" ht="15.45" customHeight="1" x14ac:dyDescent="0.25">
      <c r="A98" s="29" t="s">
        <v>1728</v>
      </c>
      <c r="C98" s="37" t="s">
        <v>1211</v>
      </c>
      <c r="E98" s="37" t="s">
        <v>2827</v>
      </c>
      <c r="F98" s="24" t="s">
        <v>2284</v>
      </c>
      <c r="G98" s="25"/>
      <c r="Q98" s="37" t="s">
        <v>1783</v>
      </c>
      <c r="R98" s="37" t="s">
        <v>1792</v>
      </c>
      <c r="S98" s="10" t="s">
        <v>2433</v>
      </c>
      <c r="U98" s="21">
        <v>1</v>
      </c>
      <c r="V98" s="21">
        <v>1</v>
      </c>
      <c r="W98" s="73">
        <f t="shared" si="7"/>
        <v>18</v>
      </c>
      <c r="X98" s="80">
        <f t="shared" si="6"/>
        <v>443</v>
      </c>
      <c r="Y98" s="82" t="s">
        <v>3584</v>
      </c>
    </row>
    <row r="99" spans="1:31" ht="15.45" customHeight="1" x14ac:dyDescent="0.25">
      <c r="A99" s="29" t="s">
        <v>1637</v>
      </c>
      <c r="C99" s="37" t="s">
        <v>1211</v>
      </c>
      <c r="E99" s="37" t="s">
        <v>2827</v>
      </c>
      <c r="F99" s="24" t="s">
        <v>2284</v>
      </c>
      <c r="G99" s="25"/>
      <c r="J99" s="214" t="s">
        <v>4034</v>
      </c>
      <c r="K99" s="10" t="s">
        <v>4035</v>
      </c>
      <c r="S99" s="10" t="s">
        <v>2433</v>
      </c>
      <c r="U99" s="21">
        <v>3</v>
      </c>
      <c r="V99" s="21">
        <v>3</v>
      </c>
      <c r="W99" s="73">
        <f t="shared" si="7"/>
        <v>21</v>
      </c>
      <c r="X99" s="80">
        <f t="shared" si="6"/>
        <v>446</v>
      </c>
      <c r="Y99" s="82" t="s">
        <v>3584</v>
      </c>
      <c r="AE99" s="24" t="s">
        <v>4083</v>
      </c>
    </row>
    <row r="100" spans="1:31" ht="15.45" customHeight="1" x14ac:dyDescent="0.25">
      <c r="A100" s="29" t="s">
        <v>3876</v>
      </c>
      <c r="C100" s="37" t="s">
        <v>1211</v>
      </c>
      <c r="E100" s="37" t="s">
        <v>2827</v>
      </c>
      <c r="F100" s="24" t="s">
        <v>2284</v>
      </c>
      <c r="G100" s="25"/>
      <c r="H100" s="38" t="s">
        <v>3877</v>
      </c>
      <c r="S100" s="10" t="s">
        <v>2433</v>
      </c>
      <c r="U100" s="21">
        <v>1</v>
      </c>
      <c r="V100" s="21">
        <v>1</v>
      </c>
      <c r="W100" s="73">
        <f t="shared" si="7"/>
        <v>22</v>
      </c>
      <c r="X100" s="80">
        <f t="shared" si="6"/>
        <v>447</v>
      </c>
      <c r="Y100" s="82" t="s">
        <v>3592</v>
      </c>
      <c r="Z100" s="24" t="s">
        <v>2884</v>
      </c>
    </row>
    <row r="101" spans="1:31" ht="15.45" customHeight="1" x14ac:dyDescent="0.25">
      <c r="A101" s="29" t="s">
        <v>168</v>
      </c>
      <c r="C101" s="37" t="s">
        <v>1211</v>
      </c>
      <c r="E101" s="37" t="s">
        <v>2827</v>
      </c>
      <c r="F101" s="24" t="s">
        <v>2284</v>
      </c>
      <c r="G101" s="25"/>
      <c r="S101" s="10" t="s">
        <v>2433</v>
      </c>
      <c r="U101" s="21">
        <v>1</v>
      </c>
      <c r="V101" s="21">
        <v>1</v>
      </c>
      <c r="W101" s="73">
        <f t="shared" si="7"/>
        <v>23</v>
      </c>
      <c r="X101" s="80">
        <f t="shared" si="6"/>
        <v>448</v>
      </c>
      <c r="Y101" s="82" t="s">
        <v>3592</v>
      </c>
      <c r="Z101" s="24" t="s">
        <v>2888</v>
      </c>
    </row>
    <row r="102" spans="1:31" ht="15.45" customHeight="1" x14ac:dyDescent="0.25">
      <c r="A102" s="29" t="s">
        <v>3874</v>
      </c>
      <c r="C102" s="37" t="s">
        <v>1211</v>
      </c>
      <c r="E102" s="37" t="s">
        <v>2827</v>
      </c>
      <c r="F102" s="24" t="s">
        <v>2284</v>
      </c>
      <c r="G102" s="25"/>
      <c r="H102" s="38" t="s">
        <v>3875</v>
      </c>
      <c r="S102" s="10" t="s">
        <v>2433</v>
      </c>
      <c r="U102" s="21">
        <v>3</v>
      </c>
      <c r="V102" s="21">
        <v>3</v>
      </c>
      <c r="W102" s="73">
        <f t="shared" si="7"/>
        <v>26</v>
      </c>
      <c r="X102" s="80">
        <f t="shared" si="6"/>
        <v>451</v>
      </c>
      <c r="Y102" s="82" t="s">
        <v>3592</v>
      </c>
      <c r="Z102" s="24" t="s">
        <v>2884</v>
      </c>
    </row>
    <row r="103" spans="1:31" ht="15.45" customHeight="1" x14ac:dyDescent="0.25">
      <c r="A103" s="29" t="s">
        <v>1638</v>
      </c>
      <c r="C103" s="37" t="s">
        <v>1211</v>
      </c>
      <c r="E103" s="37" t="s">
        <v>2827</v>
      </c>
      <c r="F103" s="24" t="s">
        <v>2284</v>
      </c>
      <c r="G103" s="25"/>
      <c r="S103" s="10" t="s">
        <v>2433</v>
      </c>
      <c r="U103" s="21">
        <v>1</v>
      </c>
      <c r="V103" s="21">
        <v>1</v>
      </c>
      <c r="W103" s="73">
        <f t="shared" si="7"/>
        <v>27</v>
      </c>
      <c r="X103" s="80">
        <f t="shared" si="6"/>
        <v>452</v>
      </c>
      <c r="Y103" s="82" t="s">
        <v>3592</v>
      </c>
      <c r="Z103" s="24" t="s">
        <v>2884</v>
      </c>
    </row>
    <row r="104" spans="1:31" ht="15.45" customHeight="1" x14ac:dyDescent="0.25">
      <c r="A104" s="29" t="s">
        <v>1732</v>
      </c>
      <c r="C104" s="37" t="s">
        <v>1211</v>
      </c>
      <c r="E104" s="37" t="s">
        <v>2827</v>
      </c>
      <c r="F104" s="24" t="s">
        <v>2284</v>
      </c>
      <c r="G104" s="25"/>
      <c r="P104" s="37" t="s">
        <v>1784</v>
      </c>
      <c r="Q104" s="37" t="s">
        <v>1998</v>
      </c>
      <c r="R104" s="37" t="s">
        <v>1792</v>
      </c>
      <c r="S104" s="10" t="s">
        <v>2433</v>
      </c>
      <c r="U104" s="21">
        <v>1</v>
      </c>
      <c r="V104" s="21">
        <v>1</v>
      </c>
      <c r="W104" s="73">
        <f t="shared" si="7"/>
        <v>28</v>
      </c>
      <c r="X104" s="80">
        <f t="shared" si="6"/>
        <v>453</v>
      </c>
      <c r="Y104" s="82" t="s">
        <v>3584</v>
      </c>
    </row>
    <row r="105" spans="1:31" ht="15.45" customHeight="1" x14ac:dyDescent="0.25">
      <c r="A105" s="29" t="s">
        <v>169</v>
      </c>
      <c r="C105" s="37" t="s">
        <v>1211</v>
      </c>
      <c r="E105" s="37" t="s">
        <v>2827</v>
      </c>
      <c r="F105" s="24" t="s">
        <v>2284</v>
      </c>
      <c r="G105" s="25"/>
      <c r="O105" s="37" t="s">
        <v>749</v>
      </c>
      <c r="P105" s="37" t="s">
        <v>1463</v>
      </c>
      <c r="Q105" s="37" t="s">
        <v>3506</v>
      </c>
      <c r="R105" s="37" t="s">
        <v>1792</v>
      </c>
      <c r="S105" s="10" t="s">
        <v>2433</v>
      </c>
      <c r="U105" s="21">
        <v>1</v>
      </c>
      <c r="V105" s="21">
        <v>1</v>
      </c>
      <c r="W105" s="73">
        <f t="shared" si="7"/>
        <v>29</v>
      </c>
      <c r="X105" s="80">
        <f t="shared" si="6"/>
        <v>454</v>
      </c>
      <c r="Y105" s="82" t="s">
        <v>3592</v>
      </c>
      <c r="Z105" s="24" t="s">
        <v>2884</v>
      </c>
    </row>
    <row r="106" spans="1:31" ht="15.45" customHeight="1" x14ac:dyDescent="0.25">
      <c r="A106" s="29" t="s">
        <v>1308</v>
      </c>
      <c r="C106" s="37" t="s">
        <v>1211</v>
      </c>
      <c r="E106" s="37" t="s">
        <v>2827</v>
      </c>
      <c r="F106" s="24" t="s">
        <v>2284</v>
      </c>
      <c r="G106" s="25"/>
      <c r="J106" s="214" t="s">
        <v>3694</v>
      </c>
      <c r="K106" s="10" t="s">
        <v>3762</v>
      </c>
      <c r="P106" s="37" t="s">
        <v>1785</v>
      </c>
      <c r="Q106" s="37" t="s">
        <v>3777</v>
      </c>
      <c r="R106" s="37" t="s">
        <v>1792</v>
      </c>
      <c r="S106" s="10" t="s">
        <v>2433</v>
      </c>
      <c r="U106" s="21">
        <v>1</v>
      </c>
      <c r="V106" s="21">
        <v>1</v>
      </c>
      <c r="W106" s="73">
        <f t="shared" si="7"/>
        <v>30</v>
      </c>
      <c r="X106" s="80">
        <f t="shared" si="6"/>
        <v>455</v>
      </c>
      <c r="Y106" s="82" t="s">
        <v>3584</v>
      </c>
    </row>
    <row r="107" spans="1:31" ht="15.45" customHeight="1" x14ac:dyDescent="0.25">
      <c r="A107" s="29" t="s">
        <v>1072</v>
      </c>
      <c r="C107" s="37" t="s">
        <v>1211</v>
      </c>
      <c r="E107" s="37" t="s">
        <v>2827</v>
      </c>
      <c r="F107" s="24" t="s">
        <v>2284</v>
      </c>
      <c r="G107" s="25"/>
      <c r="O107" s="37" t="s">
        <v>5353</v>
      </c>
      <c r="P107" s="37" t="s">
        <v>546</v>
      </c>
      <c r="Q107" s="37" t="s">
        <v>3506</v>
      </c>
      <c r="R107" s="37" t="s">
        <v>1792</v>
      </c>
      <c r="S107" s="10" t="s">
        <v>2433</v>
      </c>
      <c r="U107" s="21">
        <v>1</v>
      </c>
      <c r="V107" s="21">
        <v>1</v>
      </c>
      <c r="W107" s="73">
        <f t="shared" si="7"/>
        <v>31</v>
      </c>
      <c r="X107" s="80">
        <f t="shared" si="6"/>
        <v>456</v>
      </c>
      <c r="Y107" s="82" t="s">
        <v>3584</v>
      </c>
    </row>
    <row r="108" spans="1:31" ht="15.45" customHeight="1" x14ac:dyDescent="0.25">
      <c r="A108" s="29" t="s">
        <v>699</v>
      </c>
      <c r="C108" s="37" t="s">
        <v>1211</v>
      </c>
      <c r="E108" s="37" t="s">
        <v>2827</v>
      </c>
      <c r="F108" s="24" t="s">
        <v>2284</v>
      </c>
      <c r="G108" s="25"/>
      <c r="P108" s="37" t="s">
        <v>5341</v>
      </c>
      <c r="Q108" s="37" t="s">
        <v>5342</v>
      </c>
      <c r="R108" s="37" t="s">
        <v>1792</v>
      </c>
      <c r="S108" s="10" t="s">
        <v>2433</v>
      </c>
      <c r="U108" s="21">
        <v>1</v>
      </c>
      <c r="V108" s="21">
        <v>1</v>
      </c>
      <c r="W108" s="73">
        <f t="shared" si="7"/>
        <v>32</v>
      </c>
      <c r="X108" s="80">
        <f t="shared" si="6"/>
        <v>457</v>
      </c>
      <c r="Y108" s="82" t="s">
        <v>3592</v>
      </c>
      <c r="Z108" s="24" t="s">
        <v>2888</v>
      </c>
    </row>
    <row r="109" spans="1:31" ht="15.45" customHeight="1" x14ac:dyDescent="0.25">
      <c r="A109" s="29" t="s">
        <v>5397</v>
      </c>
      <c r="B109" s="24" t="s">
        <v>5394</v>
      </c>
      <c r="C109" s="37" t="s">
        <v>1211</v>
      </c>
      <c r="E109" s="37" t="s">
        <v>2827</v>
      </c>
      <c r="F109" s="24" t="s">
        <v>2284</v>
      </c>
      <c r="G109" s="25"/>
      <c r="Q109" s="37" t="s">
        <v>1644</v>
      </c>
      <c r="R109" s="37" t="s">
        <v>1792</v>
      </c>
      <c r="S109" s="10" t="s">
        <v>2433</v>
      </c>
      <c r="U109" s="21">
        <v>1</v>
      </c>
      <c r="V109" s="21">
        <v>1</v>
      </c>
      <c r="W109" s="73">
        <f t="shared" si="7"/>
        <v>33</v>
      </c>
      <c r="X109" s="80">
        <f t="shared" si="6"/>
        <v>458</v>
      </c>
      <c r="Y109" s="82" t="s">
        <v>3584</v>
      </c>
    </row>
    <row r="110" spans="1:31" ht="15.45" customHeight="1" x14ac:dyDescent="0.25">
      <c r="A110" s="29" t="s">
        <v>1307</v>
      </c>
      <c r="C110" s="37" t="s">
        <v>1211</v>
      </c>
      <c r="E110" s="37" t="s">
        <v>2827</v>
      </c>
      <c r="F110" s="24" t="s">
        <v>2284</v>
      </c>
      <c r="G110" s="25"/>
      <c r="O110" s="37" t="s">
        <v>749</v>
      </c>
      <c r="P110" s="37" t="s">
        <v>1463</v>
      </c>
      <c r="Q110" s="37" t="s">
        <v>3506</v>
      </c>
      <c r="R110" s="37" t="s">
        <v>1792</v>
      </c>
      <c r="S110" s="10" t="s">
        <v>2433</v>
      </c>
      <c r="U110" s="21">
        <v>3</v>
      </c>
      <c r="V110" s="21">
        <v>3</v>
      </c>
      <c r="W110" s="73">
        <f t="shared" si="7"/>
        <v>36</v>
      </c>
      <c r="X110" s="80">
        <f t="shared" si="6"/>
        <v>461</v>
      </c>
      <c r="Y110" s="82" t="s">
        <v>3584</v>
      </c>
    </row>
    <row r="111" spans="1:31" ht="15.45" customHeight="1" x14ac:dyDescent="0.25">
      <c r="A111" s="29" t="s">
        <v>1307</v>
      </c>
      <c r="C111" s="37" t="s">
        <v>1211</v>
      </c>
      <c r="E111" s="37" t="s">
        <v>2827</v>
      </c>
      <c r="F111" s="24" t="s">
        <v>2284</v>
      </c>
      <c r="G111" s="25"/>
      <c r="H111" s="38" t="s">
        <v>5939</v>
      </c>
      <c r="Q111" s="37" t="s">
        <v>1870</v>
      </c>
      <c r="R111" s="37" t="s">
        <v>3664</v>
      </c>
      <c r="S111" s="10" t="s">
        <v>2433</v>
      </c>
      <c r="U111" s="21">
        <v>1</v>
      </c>
      <c r="V111" s="21">
        <v>1</v>
      </c>
      <c r="W111" s="73">
        <f t="shared" si="7"/>
        <v>37</v>
      </c>
      <c r="X111" s="80">
        <f t="shared" si="6"/>
        <v>462</v>
      </c>
      <c r="Y111" s="82" t="s">
        <v>3592</v>
      </c>
      <c r="Z111" s="24" t="s">
        <v>2888</v>
      </c>
    </row>
    <row r="112" spans="1:31" ht="15.45" customHeight="1" x14ac:dyDescent="0.25">
      <c r="A112" s="29" t="s">
        <v>5937</v>
      </c>
      <c r="C112" s="37" t="s">
        <v>1211</v>
      </c>
      <c r="E112" s="37" t="s">
        <v>2827</v>
      </c>
      <c r="F112" s="24" t="s">
        <v>2284</v>
      </c>
      <c r="G112" s="25"/>
      <c r="H112" s="38" t="s">
        <v>5938</v>
      </c>
      <c r="J112" s="214" t="s">
        <v>5305</v>
      </c>
      <c r="Q112" s="37" t="s">
        <v>1870</v>
      </c>
      <c r="R112" s="37" t="s">
        <v>3664</v>
      </c>
      <c r="S112" s="10" t="s">
        <v>2433</v>
      </c>
      <c r="U112" s="21">
        <v>1</v>
      </c>
      <c r="V112" s="21">
        <v>1</v>
      </c>
      <c r="W112" s="73">
        <f t="shared" si="7"/>
        <v>38</v>
      </c>
      <c r="X112" s="80">
        <f t="shared" si="6"/>
        <v>463</v>
      </c>
      <c r="Y112" s="82" t="s">
        <v>3591</v>
      </c>
      <c r="Z112" s="24" t="s">
        <v>2885</v>
      </c>
      <c r="AB112" s="177">
        <v>44393</v>
      </c>
      <c r="AC112" s="84" t="s">
        <v>2885</v>
      </c>
    </row>
    <row r="113" spans="1:29" ht="15.45" customHeight="1" x14ac:dyDescent="0.25">
      <c r="A113" s="29" t="s">
        <v>1192</v>
      </c>
      <c r="C113" s="37" t="s">
        <v>1211</v>
      </c>
      <c r="E113" s="37" t="s">
        <v>2827</v>
      </c>
      <c r="F113" s="24" t="s">
        <v>2284</v>
      </c>
      <c r="G113" s="25"/>
      <c r="S113" s="10" t="s">
        <v>2433</v>
      </c>
      <c r="U113" s="21">
        <v>3</v>
      </c>
      <c r="V113" s="21">
        <v>3</v>
      </c>
      <c r="W113" s="73">
        <f t="shared" si="7"/>
        <v>41</v>
      </c>
      <c r="X113" s="80">
        <f t="shared" si="6"/>
        <v>466</v>
      </c>
      <c r="Y113" s="82" t="s">
        <v>3584</v>
      </c>
    </row>
    <row r="114" spans="1:29" ht="15.45" customHeight="1" x14ac:dyDescent="0.25">
      <c r="A114" s="29" t="s">
        <v>1192</v>
      </c>
      <c r="C114" s="37" t="s">
        <v>1211</v>
      </c>
      <c r="E114" s="37" t="s">
        <v>2827</v>
      </c>
      <c r="F114" s="24" t="s">
        <v>2284</v>
      </c>
      <c r="G114" s="25"/>
      <c r="O114" s="37" t="s">
        <v>1782</v>
      </c>
      <c r="P114" s="37" t="s">
        <v>5354</v>
      </c>
      <c r="Q114" s="37" t="s">
        <v>3506</v>
      </c>
      <c r="R114" s="37" t="s">
        <v>1792</v>
      </c>
      <c r="S114" s="10" t="s">
        <v>2433</v>
      </c>
      <c r="U114" s="21">
        <v>1</v>
      </c>
      <c r="V114" s="21">
        <v>1</v>
      </c>
      <c r="W114" s="73">
        <f t="shared" si="7"/>
        <v>42</v>
      </c>
      <c r="X114" s="80">
        <f t="shared" si="6"/>
        <v>467</v>
      </c>
      <c r="Y114" s="82" t="s">
        <v>3584</v>
      </c>
    </row>
    <row r="115" spans="1:29" ht="15.45" customHeight="1" x14ac:dyDescent="0.25">
      <c r="A115" s="29" t="s">
        <v>3873</v>
      </c>
      <c r="C115" s="37" t="s">
        <v>1211</v>
      </c>
      <c r="E115" s="37" t="s">
        <v>2827</v>
      </c>
      <c r="F115" s="24" t="s">
        <v>2284</v>
      </c>
      <c r="G115" s="25"/>
      <c r="H115" s="38" t="s">
        <v>3396</v>
      </c>
      <c r="Q115" s="37" t="s">
        <v>1723</v>
      </c>
      <c r="R115" s="37" t="s">
        <v>1811</v>
      </c>
      <c r="S115" s="10" t="s">
        <v>2433</v>
      </c>
      <c r="U115" s="21">
        <v>1</v>
      </c>
      <c r="V115" s="21">
        <v>1</v>
      </c>
      <c r="W115" s="73">
        <f t="shared" si="7"/>
        <v>43</v>
      </c>
      <c r="X115" s="80">
        <f t="shared" si="6"/>
        <v>468</v>
      </c>
      <c r="Y115" s="82" t="s">
        <v>3592</v>
      </c>
      <c r="Z115" s="24" t="s">
        <v>2888</v>
      </c>
    </row>
    <row r="116" spans="1:29" ht="15.45" customHeight="1" x14ac:dyDescent="0.25">
      <c r="A116" s="29" t="s">
        <v>1193</v>
      </c>
      <c r="C116" s="37" t="s">
        <v>1211</v>
      </c>
      <c r="E116" s="37" t="s">
        <v>2827</v>
      </c>
      <c r="F116" s="24" t="s">
        <v>2284</v>
      </c>
      <c r="G116" s="25"/>
      <c r="O116" s="37" t="s">
        <v>749</v>
      </c>
      <c r="P116" s="37" t="s">
        <v>1463</v>
      </c>
      <c r="Q116" s="37" t="s">
        <v>3506</v>
      </c>
      <c r="R116" s="37" t="s">
        <v>3664</v>
      </c>
      <c r="S116" s="10" t="s">
        <v>2433</v>
      </c>
      <c r="U116" s="21">
        <v>2</v>
      </c>
      <c r="V116" s="21">
        <v>2</v>
      </c>
      <c r="W116" s="73">
        <f t="shared" si="7"/>
        <v>45</v>
      </c>
      <c r="X116" s="80">
        <f t="shared" si="6"/>
        <v>470</v>
      </c>
      <c r="Y116" s="82" t="s">
        <v>3592</v>
      </c>
      <c r="Z116" s="24" t="s">
        <v>2884</v>
      </c>
    </row>
    <row r="117" spans="1:29" ht="15.45" customHeight="1" x14ac:dyDescent="0.25">
      <c r="A117" s="29" t="s">
        <v>1193</v>
      </c>
      <c r="C117" s="37" t="s">
        <v>1211</v>
      </c>
      <c r="E117" s="37" t="s">
        <v>2827</v>
      </c>
      <c r="F117" s="24" t="s">
        <v>2284</v>
      </c>
      <c r="G117" s="25"/>
      <c r="H117" s="201" t="s">
        <v>5940</v>
      </c>
      <c r="J117" s="214" t="s">
        <v>5305</v>
      </c>
      <c r="Q117" s="37" t="s">
        <v>1870</v>
      </c>
      <c r="S117" s="10" t="s">
        <v>3412</v>
      </c>
      <c r="U117" s="21">
        <v>1</v>
      </c>
      <c r="V117" s="21">
        <v>1</v>
      </c>
      <c r="W117" s="73">
        <f t="shared" si="7"/>
        <v>46</v>
      </c>
      <c r="X117" s="80">
        <f t="shared" si="6"/>
        <v>471</v>
      </c>
      <c r="Y117" s="82" t="s">
        <v>3591</v>
      </c>
      <c r="Z117" s="24" t="s">
        <v>2885</v>
      </c>
      <c r="AB117" s="177">
        <v>44393</v>
      </c>
      <c r="AC117" s="84" t="s">
        <v>2885</v>
      </c>
    </row>
    <row r="118" spans="1:29" ht="15.45" customHeight="1" x14ac:dyDescent="0.25">
      <c r="A118" s="29" t="s">
        <v>170</v>
      </c>
      <c r="C118" s="37" t="s">
        <v>1211</v>
      </c>
      <c r="E118" s="37" t="s">
        <v>2827</v>
      </c>
      <c r="F118" s="24" t="s">
        <v>2284</v>
      </c>
      <c r="G118" s="25"/>
      <c r="O118" s="37" t="s">
        <v>749</v>
      </c>
      <c r="P118" s="37" t="s">
        <v>1463</v>
      </c>
      <c r="Q118" s="37" t="s">
        <v>3506</v>
      </c>
      <c r="R118" s="37" t="s">
        <v>1792</v>
      </c>
      <c r="S118" s="10" t="s">
        <v>2433</v>
      </c>
      <c r="U118" s="21">
        <v>2</v>
      </c>
      <c r="V118" s="21">
        <v>2</v>
      </c>
      <c r="W118" s="73">
        <f t="shared" si="7"/>
        <v>48</v>
      </c>
      <c r="X118" s="80">
        <f t="shared" si="6"/>
        <v>473</v>
      </c>
      <c r="Y118" s="82" t="s">
        <v>3592</v>
      </c>
      <c r="Z118" s="24" t="s">
        <v>2884</v>
      </c>
    </row>
    <row r="119" spans="1:29" ht="15.45" customHeight="1" x14ac:dyDescent="0.25">
      <c r="A119" s="29" t="s">
        <v>171</v>
      </c>
      <c r="C119" s="37" t="s">
        <v>1211</v>
      </c>
      <c r="E119" s="37" t="s">
        <v>2827</v>
      </c>
      <c r="F119" s="24" t="s">
        <v>2284</v>
      </c>
      <c r="G119" s="25"/>
      <c r="O119" s="37" t="s">
        <v>749</v>
      </c>
      <c r="P119" s="37" t="s">
        <v>1463</v>
      </c>
      <c r="Q119" s="37" t="s">
        <v>3506</v>
      </c>
      <c r="R119" s="37" t="s">
        <v>1792</v>
      </c>
      <c r="S119" s="10" t="s">
        <v>2433</v>
      </c>
      <c r="U119" s="21">
        <v>2</v>
      </c>
      <c r="V119" s="21">
        <v>2</v>
      </c>
      <c r="W119" s="73">
        <f t="shared" si="7"/>
        <v>50</v>
      </c>
      <c r="X119" s="80">
        <f t="shared" si="6"/>
        <v>475</v>
      </c>
      <c r="Y119" s="82" t="s">
        <v>3592</v>
      </c>
      <c r="Z119" s="24" t="s">
        <v>2884</v>
      </c>
    </row>
    <row r="120" spans="1:29" ht="15.45" customHeight="1" x14ac:dyDescent="0.25">
      <c r="A120" s="29" t="s">
        <v>976</v>
      </c>
      <c r="C120" s="37" t="s">
        <v>1211</v>
      </c>
      <c r="E120" s="37" t="s">
        <v>2827</v>
      </c>
      <c r="F120" s="24" t="s">
        <v>2284</v>
      </c>
      <c r="G120" s="25"/>
      <c r="O120" s="37" t="s">
        <v>749</v>
      </c>
      <c r="P120" s="37" t="s">
        <v>1463</v>
      </c>
      <c r="Q120" s="37" t="s">
        <v>3506</v>
      </c>
      <c r="R120" s="37" t="s">
        <v>1792</v>
      </c>
      <c r="S120" s="10" t="s">
        <v>2433</v>
      </c>
      <c r="U120" s="21">
        <v>1</v>
      </c>
      <c r="V120" s="21">
        <v>1</v>
      </c>
      <c r="W120" s="73">
        <f t="shared" si="7"/>
        <v>51</v>
      </c>
      <c r="X120" s="80">
        <f t="shared" si="6"/>
        <v>476</v>
      </c>
      <c r="Y120" s="82" t="s">
        <v>3584</v>
      </c>
    </row>
    <row r="121" spans="1:29" ht="15.45" customHeight="1" x14ac:dyDescent="0.25">
      <c r="A121" s="29" t="s">
        <v>1760</v>
      </c>
      <c r="C121" s="37" t="s">
        <v>1211</v>
      </c>
      <c r="E121" s="37" t="s">
        <v>2827</v>
      </c>
      <c r="F121" s="24" t="s">
        <v>2284</v>
      </c>
      <c r="G121" s="25"/>
      <c r="J121" s="214" t="s">
        <v>4110</v>
      </c>
      <c r="K121" s="10" t="s">
        <v>4109</v>
      </c>
      <c r="O121" s="37" t="s">
        <v>1782</v>
      </c>
      <c r="P121" s="37" t="s">
        <v>5354</v>
      </c>
      <c r="Q121" s="37" t="s">
        <v>3506</v>
      </c>
      <c r="R121" s="37" t="s">
        <v>1792</v>
      </c>
      <c r="S121" s="10" t="s">
        <v>2433</v>
      </c>
      <c r="U121" s="21">
        <v>1</v>
      </c>
      <c r="V121" s="21">
        <v>1</v>
      </c>
      <c r="W121" s="73">
        <f t="shared" si="7"/>
        <v>52</v>
      </c>
      <c r="X121" s="80">
        <f t="shared" si="6"/>
        <v>477</v>
      </c>
      <c r="Y121" s="82" t="s">
        <v>3584</v>
      </c>
    </row>
    <row r="122" spans="1:29" ht="15.45" customHeight="1" x14ac:dyDescent="0.25">
      <c r="A122" s="29" t="s">
        <v>2392</v>
      </c>
      <c r="C122" s="37" t="s">
        <v>1211</v>
      </c>
      <c r="E122" s="37" t="s">
        <v>2827</v>
      </c>
      <c r="F122" s="24" t="s">
        <v>2282</v>
      </c>
      <c r="G122" s="25"/>
      <c r="S122" s="10" t="s">
        <v>2433</v>
      </c>
      <c r="U122" s="21">
        <v>1</v>
      </c>
      <c r="V122" s="21">
        <v>1</v>
      </c>
      <c r="W122" s="73">
        <f t="shared" si="7"/>
        <v>53</v>
      </c>
      <c r="X122" s="80">
        <f t="shared" si="6"/>
        <v>478</v>
      </c>
      <c r="Y122" s="82" t="s">
        <v>3592</v>
      </c>
      <c r="Z122" s="24" t="s">
        <v>430</v>
      </c>
    </row>
    <row r="123" spans="1:29" ht="15.45" customHeight="1" x14ac:dyDescent="0.25">
      <c r="A123" s="29" t="s">
        <v>2272</v>
      </c>
      <c r="C123" s="37" t="s">
        <v>1211</v>
      </c>
      <c r="E123" s="37" t="s">
        <v>2827</v>
      </c>
      <c r="F123" s="24" t="s">
        <v>2282</v>
      </c>
      <c r="G123" s="25"/>
      <c r="J123" s="214" t="s">
        <v>5684</v>
      </c>
      <c r="S123" s="10" t="s">
        <v>2433</v>
      </c>
      <c r="U123" s="21">
        <v>1</v>
      </c>
      <c r="V123" s="21">
        <v>1</v>
      </c>
      <c r="W123" s="73">
        <f t="shared" si="7"/>
        <v>54</v>
      </c>
      <c r="X123" s="80">
        <f t="shared" si="6"/>
        <v>479</v>
      </c>
      <c r="Y123" s="82" t="s">
        <v>3591</v>
      </c>
      <c r="Z123" s="24" t="s">
        <v>2885</v>
      </c>
      <c r="AB123" s="177">
        <v>41959</v>
      </c>
      <c r="AC123" s="84" t="s">
        <v>2885</v>
      </c>
    </row>
    <row r="124" spans="1:29" ht="14.25" customHeight="1" x14ac:dyDescent="0.25">
      <c r="A124" s="29" t="s">
        <v>43</v>
      </c>
      <c r="C124" s="37" t="s">
        <v>35</v>
      </c>
      <c r="E124" s="37" t="s">
        <v>2827</v>
      </c>
      <c r="F124" s="24" t="s">
        <v>2273</v>
      </c>
      <c r="P124" s="37" t="s">
        <v>44</v>
      </c>
      <c r="Q124" s="37" t="s">
        <v>3506</v>
      </c>
      <c r="R124" s="37" t="s">
        <v>1792</v>
      </c>
      <c r="S124" s="10" t="s">
        <v>2433</v>
      </c>
      <c r="U124" s="21">
        <v>1</v>
      </c>
      <c r="V124" s="21">
        <v>1</v>
      </c>
      <c r="W124" s="73">
        <f t="shared" si="7"/>
        <v>55</v>
      </c>
      <c r="X124" s="80">
        <f t="shared" si="6"/>
        <v>480</v>
      </c>
      <c r="Y124" s="82" t="s">
        <v>3591</v>
      </c>
      <c r="Z124" s="24" t="s">
        <v>45</v>
      </c>
    </row>
    <row r="125" spans="1:29" ht="14.25" customHeight="1" x14ac:dyDescent="0.25">
      <c r="A125" s="29" t="s">
        <v>3871</v>
      </c>
      <c r="C125" s="37" t="s">
        <v>35</v>
      </c>
      <c r="E125" s="37" t="s">
        <v>2827</v>
      </c>
      <c r="F125" s="24" t="s">
        <v>2282</v>
      </c>
      <c r="G125" s="25"/>
      <c r="H125" s="38" t="s">
        <v>3872</v>
      </c>
      <c r="O125" s="37" t="s">
        <v>5355</v>
      </c>
      <c r="P125" s="37" t="s">
        <v>1463</v>
      </c>
      <c r="Q125" s="37" t="s">
        <v>3506</v>
      </c>
      <c r="R125" s="37" t="s">
        <v>1792</v>
      </c>
      <c r="S125" s="10" t="s">
        <v>2433</v>
      </c>
      <c r="U125" s="21">
        <v>1</v>
      </c>
      <c r="V125" s="21">
        <v>1</v>
      </c>
      <c r="W125" s="73">
        <f t="shared" si="7"/>
        <v>56</v>
      </c>
      <c r="X125" s="80">
        <f t="shared" si="6"/>
        <v>481</v>
      </c>
      <c r="Y125" s="82" t="s">
        <v>3592</v>
      </c>
      <c r="Z125" s="24" t="s">
        <v>2884</v>
      </c>
    </row>
    <row r="126" spans="1:29" ht="15.45" customHeight="1" x14ac:dyDescent="0.25">
      <c r="A126" s="29" t="s">
        <v>5398</v>
      </c>
      <c r="B126" s="24" t="s">
        <v>5399</v>
      </c>
      <c r="C126" s="37" t="s">
        <v>1211</v>
      </c>
      <c r="E126" s="37" t="s">
        <v>2827</v>
      </c>
      <c r="F126" s="24" t="s">
        <v>2282</v>
      </c>
      <c r="G126" s="25"/>
      <c r="S126" s="10" t="s">
        <v>2433</v>
      </c>
      <c r="U126" s="21">
        <v>1</v>
      </c>
      <c r="V126" s="21">
        <v>1</v>
      </c>
      <c r="W126" s="73">
        <f t="shared" si="7"/>
        <v>57</v>
      </c>
      <c r="X126" s="80">
        <f t="shared" si="6"/>
        <v>482</v>
      </c>
      <c r="Y126" s="82" t="s">
        <v>3592</v>
      </c>
      <c r="Z126" s="24" t="s">
        <v>2884</v>
      </c>
    </row>
    <row r="127" spans="1:29" ht="15.45" customHeight="1" x14ac:dyDescent="0.25">
      <c r="A127" s="29" t="s">
        <v>349</v>
      </c>
      <c r="C127" s="37" t="s">
        <v>1211</v>
      </c>
      <c r="E127" s="37" t="s">
        <v>2827</v>
      </c>
      <c r="F127" s="24" t="s">
        <v>2282</v>
      </c>
      <c r="G127" s="25"/>
      <c r="S127" s="10" t="s">
        <v>2433</v>
      </c>
      <c r="U127" s="21">
        <v>1</v>
      </c>
      <c r="V127" s="21">
        <v>1</v>
      </c>
      <c r="W127" s="73">
        <f t="shared" si="7"/>
        <v>58</v>
      </c>
      <c r="X127" s="80">
        <f t="shared" si="6"/>
        <v>483</v>
      </c>
      <c r="Y127" s="82" t="s">
        <v>3592</v>
      </c>
      <c r="Z127" s="24" t="s">
        <v>2884</v>
      </c>
    </row>
    <row r="128" spans="1:29" ht="15.45" customHeight="1" x14ac:dyDescent="0.25">
      <c r="A128" s="29" t="s">
        <v>350</v>
      </c>
      <c r="C128" s="37" t="s">
        <v>1211</v>
      </c>
      <c r="E128" s="37" t="s">
        <v>2827</v>
      </c>
      <c r="F128" s="24" t="s">
        <v>2282</v>
      </c>
      <c r="G128" s="25"/>
      <c r="S128" s="10" t="s">
        <v>2433</v>
      </c>
      <c r="U128" s="21">
        <v>1</v>
      </c>
      <c r="V128" s="21">
        <v>1</v>
      </c>
      <c r="W128" s="73">
        <f t="shared" si="7"/>
        <v>59</v>
      </c>
      <c r="X128" s="80">
        <f t="shared" si="6"/>
        <v>484</v>
      </c>
      <c r="Y128" s="82" t="s">
        <v>3592</v>
      </c>
      <c r="Z128" s="24" t="s">
        <v>2884</v>
      </c>
    </row>
    <row r="129" spans="1:37" ht="15.45" customHeight="1" x14ac:dyDescent="0.25">
      <c r="A129" s="29" t="s">
        <v>192</v>
      </c>
      <c r="C129" s="37" t="s">
        <v>1211</v>
      </c>
      <c r="E129" s="37" t="s">
        <v>2827</v>
      </c>
      <c r="F129" s="24" t="s">
        <v>2282</v>
      </c>
      <c r="G129" s="25"/>
      <c r="P129" s="37" t="s">
        <v>546</v>
      </c>
      <c r="Q129" s="37" t="s">
        <v>3506</v>
      </c>
      <c r="R129" s="37" t="s">
        <v>1792</v>
      </c>
      <c r="S129" s="10" t="s">
        <v>2433</v>
      </c>
      <c r="U129" s="21">
        <v>1</v>
      </c>
      <c r="V129" s="21">
        <v>1</v>
      </c>
      <c r="W129" s="73">
        <f t="shared" si="7"/>
        <v>60</v>
      </c>
      <c r="X129" s="80">
        <f t="shared" si="6"/>
        <v>485</v>
      </c>
      <c r="Y129" s="82" t="s">
        <v>3592</v>
      </c>
      <c r="Z129" s="24" t="s">
        <v>1478</v>
      </c>
    </row>
    <row r="130" spans="1:37" ht="15.45" customHeight="1" x14ac:dyDescent="0.25">
      <c r="A130" s="29" t="s">
        <v>5400</v>
      </c>
      <c r="B130" s="24" t="s">
        <v>5399</v>
      </c>
      <c r="C130" s="37" t="s">
        <v>1211</v>
      </c>
      <c r="E130" s="37" t="s">
        <v>2827</v>
      </c>
      <c r="F130" s="24" t="s">
        <v>2282</v>
      </c>
      <c r="G130" s="25"/>
      <c r="P130" s="37" t="s">
        <v>5343</v>
      </c>
      <c r="Q130" s="37" t="s">
        <v>417</v>
      </c>
      <c r="R130" s="37" t="s">
        <v>2014</v>
      </c>
      <c r="S130" s="10" t="s">
        <v>2433</v>
      </c>
      <c r="U130" s="21">
        <v>1</v>
      </c>
      <c r="V130" s="21">
        <v>1</v>
      </c>
      <c r="W130" s="73">
        <f t="shared" si="7"/>
        <v>61</v>
      </c>
      <c r="X130" s="80">
        <f t="shared" si="6"/>
        <v>486</v>
      </c>
      <c r="Y130" s="82" t="s">
        <v>3592</v>
      </c>
      <c r="Z130" s="24" t="s">
        <v>2888</v>
      </c>
    </row>
    <row r="131" spans="1:37" ht="15.45" customHeight="1" x14ac:dyDescent="0.25">
      <c r="A131" s="29" t="s">
        <v>2034</v>
      </c>
      <c r="C131" s="37" t="s">
        <v>1211</v>
      </c>
      <c r="E131" s="37" t="s">
        <v>2827</v>
      </c>
      <c r="F131" s="24" t="s">
        <v>2282</v>
      </c>
      <c r="G131" s="25"/>
      <c r="O131" s="37" t="s">
        <v>5356</v>
      </c>
      <c r="P131" s="37" t="s">
        <v>2035</v>
      </c>
      <c r="Q131" s="37" t="s">
        <v>3506</v>
      </c>
      <c r="R131" s="37" t="s">
        <v>1792</v>
      </c>
      <c r="S131" s="10" t="s">
        <v>2433</v>
      </c>
      <c r="U131" s="21">
        <v>1</v>
      </c>
      <c r="V131" s="21">
        <v>1</v>
      </c>
      <c r="W131" s="73">
        <f t="shared" si="7"/>
        <v>62</v>
      </c>
      <c r="X131" s="80">
        <f t="shared" si="6"/>
        <v>487</v>
      </c>
      <c r="Y131" s="82" t="s">
        <v>3591</v>
      </c>
      <c r="Z131" s="24" t="s">
        <v>6238</v>
      </c>
      <c r="AA131" s="177">
        <v>44509</v>
      </c>
    </row>
    <row r="132" spans="1:37" ht="15.45" customHeight="1" x14ac:dyDescent="0.25">
      <c r="A132" s="29" t="s">
        <v>2034</v>
      </c>
      <c r="C132" s="37" t="s">
        <v>1211</v>
      </c>
      <c r="E132" s="37" t="s">
        <v>2827</v>
      </c>
      <c r="F132" s="24" t="s">
        <v>2282</v>
      </c>
      <c r="G132" s="25"/>
      <c r="P132" s="37" t="s">
        <v>2035</v>
      </c>
      <c r="Q132" s="37" t="s">
        <v>3506</v>
      </c>
      <c r="R132" s="37" t="s">
        <v>1792</v>
      </c>
      <c r="S132" s="10" t="s">
        <v>2433</v>
      </c>
      <c r="U132" s="21">
        <v>1</v>
      </c>
      <c r="V132" s="21">
        <v>1</v>
      </c>
      <c r="W132" s="73">
        <f t="shared" si="7"/>
        <v>63</v>
      </c>
      <c r="X132" s="80">
        <f t="shared" si="6"/>
        <v>488</v>
      </c>
      <c r="Y132" s="82" t="s">
        <v>3591</v>
      </c>
      <c r="Z132" s="24" t="s">
        <v>6238</v>
      </c>
      <c r="AA132" s="177">
        <v>44509</v>
      </c>
    </row>
    <row r="133" spans="1:37" ht="15.45" customHeight="1" x14ac:dyDescent="0.25">
      <c r="A133" s="31" t="s">
        <v>2271</v>
      </c>
      <c r="C133" s="37" t="s">
        <v>1211</v>
      </c>
      <c r="E133" s="37" t="s">
        <v>2827</v>
      </c>
      <c r="F133" s="24" t="s">
        <v>2383</v>
      </c>
      <c r="S133" s="10" t="s">
        <v>2433</v>
      </c>
      <c r="T133" s="11"/>
      <c r="U133" s="21">
        <v>1</v>
      </c>
      <c r="V133" s="21">
        <v>1</v>
      </c>
      <c r="W133" s="73">
        <f t="shared" si="7"/>
        <v>64</v>
      </c>
      <c r="X133" s="80">
        <f t="shared" si="6"/>
        <v>489</v>
      </c>
      <c r="Y133" s="82" t="s">
        <v>3584</v>
      </c>
      <c r="AF133" s="11"/>
      <c r="AG133" s="11"/>
      <c r="AH133" s="11"/>
      <c r="AI133" s="11"/>
      <c r="AJ133" s="11"/>
      <c r="AK133" s="11"/>
    </row>
    <row r="134" spans="1:37" ht="15.45" customHeight="1" x14ac:dyDescent="0.25">
      <c r="A134" s="31" t="s">
        <v>5902</v>
      </c>
      <c r="C134" s="37" t="s">
        <v>1211</v>
      </c>
      <c r="E134" s="37" t="s">
        <v>2827</v>
      </c>
      <c r="F134" s="24" t="s">
        <v>2383</v>
      </c>
      <c r="H134" s="38" t="s">
        <v>5909</v>
      </c>
      <c r="J134" s="214" t="s">
        <v>5286</v>
      </c>
      <c r="O134" s="37" t="s">
        <v>5916</v>
      </c>
      <c r="Q134" s="37" t="s">
        <v>3506</v>
      </c>
      <c r="R134" s="37" t="s">
        <v>1792</v>
      </c>
      <c r="S134" s="10" t="s">
        <v>2433</v>
      </c>
      <c r="T134" s="11"/>
      <c r="U134" s="21">
        <v>1</v>
      </c>
      <c r="V134" s="21">
        <v>1</v>
      </c>
      <c r="W134" s="73">
        <f t="shared" si="7"/>
        <v>65</v>
      </c>
      <c r="X134" s="80">
        <f t="shared" si="6"/>
        <v>490</v>
      </c>
      <c r="Y134" s="82" t="s">
        <v>3591</v>
      </c>
      <c r="Z134" s="24" t="s">
        <v>2885</v>
      </c>
      <c r="AB134" s="177">
        <v>44392</v>
      </c>
      <c r="AC134" s="84" t="s">
        <v>5308</v>
      </c>
      <c r="AF134" s="11"/>
      <c r="AG134" s="11"/>
      <c r="AH134" s="11"/>
      <c r="AI134" s="11"/>
      <c r="AJ134" s="11"/>
      <c r="AK134" s="11"/>
    </row>
    <row r="135" spans="1:37" ht="15.45" customHeight="1" x14ac:dyDescent="0.25">
      <c r="A135" s="31" t="s">
        <v>5903</v>
      </c>
      <c r="C135" s="37" t="s">
        <v>1211</v>
      </c>
      <c r="E135" s="37" t="s">
        <v>2827</v>
      </c>
      <c r="F135" s="24" t="s">
        <v>2383</v>
      </c>
      <c r="H135" s="38" t="s">
        <v>5910</v>
      </c>
      <c r="J135" s="214" t="s">
        <v>5286</v>
      </c>
      <c r="O135" s="37" t="s">
        <v>5916</v>
      </c>
      <c r="Q135" s="37" t="s">
        <v>3506</v>
      </c>
      <c r="R135" s="37" t="s">
        <v>1792</v>
      </c>
      <c r="S135" s="10" t="s">
        <v>2433</v>
      </c>
      <c r="T135" s="11"/>
      <c r="U135" s="21">
        <v>1</v>
      </c>
      <c r="V135" s="21">
        <v>1</v>
      </c>
      <c r="W135" s="73">
        <f t="shared" si="7"/>
        <v>66</v>
      </c>
      <c r="X135" s="80">
        <f t="shared" si="6"/>
        <v>491</v>
      </c>
      <c r="Y135" s="82" t="s">
        <v>3591</v>
      </c>
      <c r="Z135" s="24" t="s">
        <v>2885</v>
      </c>
      <c r="AB135" s="177">
        <v>44392</v>
      </c>
      <c r="AC135" s="84" t="s">
        <v>5308</v>
      </c>
      <c r="AF135" s="11"/>
      <c r="AG135" s="11"/>
      <c r="AH135" s="11"/>
      <c r="AI135" s="11"/>
      <c r="AJ135" s="11"/>
      <c r="AK135" s="11"/>
    </row>
    <row r="136" spans="1:37" ht="15.45" customHeight="1" x14ac:dyDescent="0.25">
      <c r="A136" s="31" t="s">
        <v>5904</v>
      </c>
      <c r="C136" s="37" t="s">
        <v>1211</v>
      </c>
      <c r="E136" s="37" t="s">
        <v>2827</v>
      </c>
      <c r="F136" s="24" t="s">
        <v>2383</v>
      </c>
      <c r="H136" s="38" t="s">
        <v>5911</v>
      </c>
      <c r="J136" s="214" t="s">
        <v>5286</v>
      </c>
      <c r="O136" s="37" t="s">
        <v>5916</v>
      </c>
      <c r="Q136" s="37" t="s">
        <v>3506</v>
      </c>
      <c r="R136" s="37" t="s">
        <v>1792</v>
      </c>
      <c r="S136" s="10" t="s">
        <v>2433</v>
      </c>
      <c r="T136" s="11"/>
      <c r="U136" s="21">
        <v>1</v>
      </c>
      <c r="V136" s="21">
        <v>1</v>
      </c>
      <c r="W136" s="73">
        <f t="shared" si="7"/>
        <v>67</v>
      </c>
      <c r="X136" s="80">
        <f t="shared" si="6"/>
        <v>492</v>
      </c>
      <c r="Y136" s="82" t="s">
        <v>3591</v>
      </c>
      <c r="Z136" s="24" t="s">
        <v>2885</v>
      </c>
      <c r="AB136" s="177">
        <v>44392</v>
      </c>
      <c r="AC136" s="84" t="s">
        <v>5308</v>
      </c>
      <c r="AF136" s="11"/>
      <c r="AG136" s="11"/>
      <c r="AH136" s="11"/>
      <c r="AI136" s="11"/>
      <c r="AJ136" s="11"/>
      <c r="AK136" s="11"/>
    </row>
    <row r="137" spans="1:37" ht="15.45" customHeight="1" x14ac:dyDescent="0.25">
      <c r="A137" s="31" t="s">
        <v>5905</v>
      </c>
      <c r="C137" s="37" t="s">
        <v>1211</v>
      </c>
      <c r="E137" s="37" t="s">
        <v>2827</v>
      </c>
      <c r="F137" s="24" t="s">
        <v>2383</v>
      </c>
      <c r="H137" s="38" t="s">
        <v>5912</v>
      </c>
      <c r="J137" s="214" t="s">
        <v>5286</v>
      </c>
      <c r="O137" s="37" t="s">
        <v>5916</v>
      </c>
      <c r="Q137" s="37" t="s">
        <v>3506</v>
      </c>
      <c r="R137" s="37" t="s">
        <v>1792</v>
      </c>
      <c r="S137" s="10" t="s">
        <v>2433</v>
      </c>
      <c r="T137" s="11"/>
      <c r="U137" s="21">
        <v>1</v>
      </c>
      <c r="V137" s="21">
        <v>1</v>
      </c>
      <c r="W137" s="73">
        <f t="shared" si="7"/>
        <v>68</v>
      </c>
      <c r="X137" s="80">
        <f t="shared" si="6"/>
        <v>493</v>
      </c>
      <c r="Y137" s="82" t="s">
        <v>3591</v>
      </c>
      <c r="Z137" s="24" t="s">
        <v>2885</v>
      </c>
      <c r="AB137" s="177">
        <v>44392</v>
      </c>
      <c r="AC137" s="84" t="s">
        <v>5308</v>
      </c>
      <c r="AF137" s="11"/>
      <c r="AG137" s="11"/>
      <c r="AH137" s="11"/>
      <c r="AI137" s="11"/>
      <c r="AJ137" s="11"/>
      <c r="AK137" s="11"/>
    </row>
    <row r="138" spans="1:37" ht="15.45" customHeight="1" x14ac:dyDescent="0.25">
      <c r="A138" s="31" t="s">
        <v>5907</v>
      </c>
      <c r="C138" s="37" t="s">
        <v>1211</v>
      </c>
      <c r="E138" s="37" t="s">
        <v>2827</v>
      </c>
      <c r="F138" s="24" t="s">
        <v>2383</v>
      </c>
      <c r="H138" s="38" t="s">
        <v>5913</v>
      </c>
      <c r="J138" s="214" t="s">
        <v>5286</v>
      </c>
      <c r="O138" s="37" t="s">
        <v>5916</v>
      </c>
      <c r="Q138" s="37" t="s">
        <v>3506</v>
      </c>
      <c r="R138" s="37" t="s">
        <v>1792</v>
      </c>
      <c r="S138" s="10" t="s">
        <v>2433</v>
      </c>
      <c r="T138" s="11"/>
      <c r="U138" s="21">
        <v>1</v>
      </c>
      <c r="V138" s="21">
        <v>1</v>
      </c>
      <c r="W138" s="73">
        <f t="shared" si="7"/>
        <v>69</v>
      </c>
      <c r="X138" s="80">
        <f t="shared" si="6"/>
        <v>494</v>
      </c>
      <c r="Y138" s="82" t="s">
        <v>3591</v>
      </c>
      <c r="Z138" s="24" t="s">
        <v>2885</v>
      </c>
      <c r="AB138" s="177">
        <v>44392</v>
      </c>
      <c r="AC138" s="84" t="s">
        <v>5308</v>
      </c>
      <c r="AF138" s="11"/>
      <c r="AG138" s="11"/>
      <c r="AH138" s="11"/>
      <c r="AI138" s="11"/>
      <c r="AJ138" s="11"/>
      <c r="AK138" s="11"/>
    </row>
    <row r="139" spans="1:37" ht="15.45" customHeight="1" x14ac:dyDescent="0.25">
      <c r="A139" s="31" t="s">
        <v>5908</v>
      </c>
      <c r="C139" s="37" t="s">
        <v>1211</v>
      </c>
      <c r="E139" s="37" t="s">
        <v>2827</v>
      </c>
      <c r="F139" s="24" t="s">
        <v>2383</v>
      </c>
      <c r="H139" s="38" t="s">
        <v>5914</v>
      </c>
      <c r="J139" s="214" t="s">
        <v>5286</v>
      </c>
      <c r="O139" s="37" t="s">
        <v>5916</v>
      </c>
      <c r="Q139" s="37" t="s">
        <v>3506</v>
      </c>
      <c r="R139" s="37" t="s">
        <v>1792</v>
      </c>
      <c r="S139" s="10" t="s">
        <v>2433</v>
      </c>
      <c r="T139" s="11"/>
      <c r="U139" s="21">
        <v>1</v>
      </c>
      <c r="V139" s="21">
        <v>1</v>
      </c>
      <c r="W139" s="73">
        <f t="shared" si="7"/>
        <v>70</v>
      </c>
      <c r="X139" s="80">
        <f t="shared" si="6"/>
        <v>495</v>
      </c>
      <c r="Y139" s="82" t="s">
        <v>3591</v>
      </c>
      <c r="Z139" s="24" t="s">
        <v>2885</v>
      </c>
      <c r="AB139" s="177">
        <v>44392</v>
      </c>
      <c r="AC139" s="84" t="s">
        <v>5308</v>
      </c>
      <c r="AF139" s="11"/>
      <c r="AG139" s="11"/>
      <c r="AH139" s="11"/>
      <c r="AI139" s="11"/>
      <c r="AJ139" s="11"/>
      <c r="AK139" s="11"/>
    </row>
    <row r="140" spans="1:37" ht="15.45" customHeight="1" x14ac:dyDescent="0.25">
      <c r="A140" s="31" t="s">
        <v>6290</v>
      </c>
      <c r="C140" s="37" t="s">
        <v>1211</v>
      </c>
      <c r="E140" s="37" t="s">
        <v>2827</v>
      </c>
      <c r="F140" s="24" t="s">
        <v>2383</v>
      </c>
      <c r="H140" s="38" t="s">
        <v>6291</v>
      </c>
      <c r="J140" s="214" t="s">
        <v>6289</v>
      </c>
      <c r="O140" s="37" t="s">
        <v>5813</v>
      </c>
      <c r="P140" s="37" t="s">
        <v>1463</v>
      </c>
      <c r="Q140" s="37" t="s">
        <v>3506</v>
      </c>
      <c r="R140" s="37" t="s">
        <v>1792</v>
      </c>
      <c r="S140" s="10" t="s">
        <v>2433</v>
      </c>
      <c r="T140" s="11"/>
      <c r="U140" s="21">
        <v>1</v>
      </c>
      <c r="V140" s="21">
        <v>1</v>
      </c>
      <c r="W140" s="73">
        <f t="shared" si="7"/>
        <v>71</v>
      </c>
      <c r="X140" s="80">
        <f t="shared" si="6"/>
        <v>496</v>
      </c>
      <c r="Y140" s="82" t="s">
        <v>3591</v>
      </c>
      <c r="Z140" s="24" t="s">
        <v>2885</v>
      </c>
      <c r="AB140" s="177">
        <v>44511</v>
      </c>
      <c r="AC140" s="84" t="s">
        <v>5308</v>
      </c>
      <c r="AF140" s="11"/>
      <c r="AG140" s="11"/>
      <c r="AH140" s="11"/>
      <c r="AI140" s="11"/>
      <c r="AJ140" s="11"/>
      <c r="AK140" s="11"/>
    </row>
    <row r="141" spans="1:37" ht="15.45" customHeight="1" x14ac:dyDescent="0.25">
      <c r="A141" s="31" t="s">
        <v>5906</v>
      </c>
      <c r="C141" s="37" t="s">
        <v>1211</v>
      </c>
      <c r="E141" s="37" t="s">
        <v>2827</v>
      </c>
      <c r="F141" s="24" t="s">
        <v>2383</v>
      </c>
      <c r="H141" s="38" t="s">
        <v>5915</v>
      </c>
      <c r="J141" s="214" t="s">
        <v>5286</v>
      </c>
      <c r="O141" s="37" t="s">
        <v>5813</v>
      </c>
      <c r="P141" s="37" t="s">
        <v>1463</v>
      </c>
      <c r="Q141" s="37" t="s">
        <v>3506</v>
      </c>
      <c r="R141" s="37" t="s">
        <v>1792</v>
      </c>
      <c r="S141" s="10" t="s">
        <v>2433</v>
      </c>
      <c r="T141" s="11"/>
      <c r="U141" s="21">
        <v>1</v>
      </c>
      <c r="V141" s="21">
        <v>1</v>
      </c>
      <c r="W141" s="73">
        <f t="shared" si="7"/>
        <v>72</v>
      </c>
      <c r="X141" s="80">
        <f t="shared" si="6"/>
        <v>497</v>
      </c>
      <c r="Y141" s="82" t="s">
        <v>3591</v>
      </c>
      <c r="Z141" s="24" t="s">
        <v>2885</v>
      </c>
      <c r="AB141" s="177">
        <v>44392</v>
      </c>
      <c r="AC141" s="84" t="s">
        <v>5308</v>
      </c>
      <c r="AF141" s="11"/>
      <c r="AG141" s="11"/>
      <c r="AH141" s="11"/>
      <c r="AI141" s="11"/>
      <c r="AJ141" s="11"/>
      <c r="AK141" s="11"/>
    </row>
    <row r="142" spans="1:37" ht="15.45" customHeight="1" x14ac:dyDescent="0.25">
      <c r="A142" s="31" t="s">
        <v>6318</v>
      </c>
      <c r="C142" s="37" t="s">
        <v>1211</v>
      </c>
      <c r="E142" s="37" t="s">
        <v>2827</v>
      </c>
      <c r="F142" s="24" t="s">
        <v>2383</v>
      </c>
      <c r="H142" s="201" t="s">
        <v>6319</v>
      </c>
      <c r="O142" s="37" t="s">
        <v>5813</v>
      </c>
      <c r="P142" s="37" t="s">
        <v>1463</v>
      </c>
      <c r="Q142" s="37" t="s">
        <v>3506</v>
      </c>
      <c r="R142" s="37" t="s">
        <v>1792</v>
      </c>
      <c r="S142" s="10" t="s">
        <v>2433</v>
      </c>
      <c r="T142" s="11"/>
      <c r="U142" s="21">
        <v>1</v>
      </c>
      <c r="V142" s="21">
        <v>1</v>
      </c>
      <c r="W142" s="73">
        <f t="shared" si="7"/>
        <v>73</v>
      </c>
      <c r="X142" s="80">
        <f t="shared" si="6"/>
        <v>498</v>
      </c>
      <c r="Y142" s="82" t="s">
        <v>3591</v>
      </c>
      <c r="Z142" s="24" t="s">
        <v>2885</v>
      </c>
      <c r="AB142" s="177">
        <v>44392</v>
      </c>
      <c r="AC142" s="84" t="s">
        <v>5308</v>
      </c>
      <c r="AF142" s="11"/>
      <c r="AG142" s="11"/>
      <c r="AH142" s="11"/>
      <c r="AI142" s="11"/>
      <c r="AJ142" s="11"/>
      <c r="AK142" s="11"/>
    </row>
    <row r="143" spans="1:37" ht="15.45" customHeight="1" x14ac:dyDescent="0.25">
      <c r="A143" s="29" t="s">
        <v>351</v>
      </c>
      <c r="C143" s="37" t="s">
        <v>1211</v>
      </c>
      <c r="E143" s="37" t="s">
        <v>2827</v>
      </c>
      <c r="F143" s="24" t="s">
        <v>2282</v>
      </c>
      <c r="G143" s="25"/>
      <c r="P143" s="37" t="s">
        <v>346</v>
      </c>
      <c r="R143" s="37" t="s">
        <v>1811</v>
      </c>
      <c r="S143" s="10" t="s">
        <v>2433</v>
      </c>
      <c r="U143" s="21">
        <v>1</v>
      </c>
      <c r="V143" s="21">
        <v>1</v>
      </c>
      <c r="W143" s="73">
        <f t="shared" si="7"/>
        <v>74</v>
      </c>
      <c r="X143" s="80">
        <f t="shared" si="6"/>
        <v>499</v>
      </c>
      <c r="Y143" s="82" t="s">
        <v>3592</v>
      </c>
      <c r="Z143" s="24" t="s">
        <v>2884</v>
      </c>
    </row>
    <row r="144" spans="1:37" ht="15.45" customHeight="1" x14ac:dyDescent="0.25">
      <c r="A144" s="29" t="s">
        <v>3671</v>
      </c>
      <c r="C144" s="37" t="s">
        <v>1211</v>
      </c>
      <c r="E144" s="37" t="s">
        <v>2827</v>
      </c>
      <c r="F144" s="24" t="s">
        <v>2282</v>
      </c>
      <c r="G144" s="25"/>
      <c r="J144" s="214" t="s">
        <v>3694</v>
      </c>
      <c r="K144" s="10" t="s">
        <v>3762</v>
      </c>
      <c r="O144" s="37" t="s">
        <v>5358</v>
      </c>
      <c r="P144" s="37" t="s">
        <v>5359</v>
      </c>
      <c r="Q144" s="37" t="s">
        <v>3506</v>
      </c>
      <c r="R144" s="37" t="s">
        <v>1792</v>
      </c>
      <c r="S144" s="10" t="s">
        <v>2433</v>
      </c>
      <c r="U144" s="21">
        <v>6</v>
      </c>
      <c r="V144" s="21">
        <v>6</v>
      </c>
      <c r="W144" s="73">
        <f t="shared" si="7"/>
        <v>80</v>
      </c>
      <c r="X144" s="80">
        <f t="shared" si="6"/>
        <v>505</v>
      </c>
      <c r="Y144" s="82" t="s">
        <v>3592</v>
      </c>
      <c r="Z144" s="24" t="s">
        <v>3593</v>
      </c>
    </row>
    <row r="145" spans="1:29" ht="15.45" customHeight="1" x14ac:dyDescent="0.25">
      <c r="A145" s="29" t="s">
        <v>3671</v>
      </c>
      <c r="C145" s="37" t="s">
        <v>1211</v>
      </c>
      <c r="E145" s="37" t="s">
        <v>2827</v>
      </c>
      <c r="F145" s="24" t="s">
        <v>2282</v>
      </c>
      <c r="G145" s="25"/>
      <c r="H145" s="38" t="s">
        <v>6207</v>
      </c>
      <c r="J145" s="214" t="s">
        <v>5279</v>
      </c>
      <c r="O145" s="37" t="s">
        <v>6208</v>
      </c>
      <c r="P145" s="37" t="s">
        <v>5516</v>
      </c>
      <c r="Q145" s="37" t="s">
        <v>3506</v>
      </c>
      <c r="R145" s="37" t="s">
        <v>1792</v>
      </c>
      <c r="S145" s="10" t="s">
        <v>2433</v>
      </c>
      <c r="U145" s="21">
        <v>1</v>
      </c>
      <c r="V145" s="21">
        <v>1</v>
      </c>
      <c r="W145" s="73">
        <f t="shared" si="7"/>
        <v>81</v>
      </c>
      <c r="X145" s="80">
        <f t="shared" si="6"/>
        <v>506</v>
      </c>
      <c r="Y145" s="82" t="s">
        <v>3591</v>
      </c>
      <c r="Z145" s="24" t="s">
        <v>4515</v>
      </c>
      <c r="AB145" s="177">
        <v>44494</v>
      </c>
      <c r="AC145" s="84" t="s">
        <v>5308</v>
      </c>
    </row>
    <row r="146" spans="1:29" ht="15.45" customHeight="1" x14ac:dyDescent="0.25">
      <c r="A146" s="29" t="s">
        <v>6209</v>
      </c>
      <c r="B146" s="24" t="s">
        <v>6212</v>
      </c>
      <c r="C146" s="37" t="s">
        <v>1211</v>
      </c>
      <c r="E146" s="37" t="s">
        <v>2827</v>
      </c>
      <c r="F146" s="24" t="s">
        <v>2282</v>
      </c>
      <c r="G146" s="25"/>
      <c r="H146" s="38" t="s">
        <v>6210</v>
      </c>
      <c r="J146" s="214" t="s">
        <v>5279</v>
      </c>
      <c r="O146" s="37" t="s">
        <v>6208</v>
      </c>
      <c r="P146" s="37" t="s">
        <v>5516</v>
      </c>
      <c r="Q146" s="37" t="s">
        <v>3506</v>
      </c>
      <c r="R146" s="37" t="s">
        <v>1792</v>
      </c>
      <c r="S146" s="10" t="s">
        <v>2433</v>
      </c>
      <c r="U146" s="21">
        <v>2</v>
      </c>
      <c r="V146" s="21">
        <v>2</v>
      </c>
      <c r="W146" s="73">
        <f t="shared" si="7"/>
        <v>83</v>
      </c>
      <c r="X146" s="80">
        <f t="shared" si="6"/>
        <v>508</v>
      </c>
      <c r="Y146" s="82" t="s">
        <v>3591</v>
      </c>
      <c r="Z146" s="24" t="s">
        <v>4515</v>
      </c>
      <c r="AB146" s="177">
        <v>44494</v>
      </c>
      <c r="AC146" s="84" t="s">
        <v>5308</v>
      </c>
    </row>
    <row r="147" spans="1:29" ht="15.45" customHeight="1" x14ac:dyDescent="0.25">
      <c r="A147" s="29" t="s">
        <v>6211</v>
      </c>
      <c r="C147" s="37" t="s">
        <v>1211</v>
      </c>
      <c r="E147" s="37" t="s">
        <v>2827</v>
      </c>
      <c r="F147" s="24" t="s">
        <v>2282</v>
      </c>
      <c r="G147" s="25"/>
      <c r="H147" s="38" t="s">
        <v>6216</v>
      </c>
      <c r="J147" s="214" t="s">
        <v>5279</v>
      </c>
      <c r="O147" s="37" t="s">
        <v>6208</v>
      </c>
      <c r="P147" s="37" t="s">
        <v>5516</v>
      </c>
      <c r="Q147" s="37" t="s">
        <v>3506</v>
      </c>
      <c r="R147" s="37" t="s">
        <v>1792</v>
      </c>
      <c r="S147" s="10" t="s">
        <v>2433</v>
      </c>
      <c r="U147" s="21">
        <v>1</v>
      </c>
      <c r="V147" s="21">
        <v>1</v>
      </c>
      <c r="W147" s="73">
        <f t="shared" si="7"/>
        <v>84</v>
      </c>
      <c r="X147" s="80">
        <f t="shared" si="6"/>
        <v>509</v>
      </c>
      <c r="Y147" s="82" t="s">
        <v>3591</v>
      </c>
      <c r="Z147" s="24" t="s">
        <v>4515</v>
      </c>
      <c r="AB147" s="177">
        <v>44494</v>
      </c>
      <c r="AC147" s="84" t="s">
        <v>5308</v>
      </c>
    </row>
    <row r="148" spans="1:29" ht="15.45" customHeight="1" x14ac:dyDescent="0.25">
      <c r="A148" s="29" t="s">
        <v>1976</v>
      </c>
      <c r="C148" s="37" t="s">
        <v>1211</v>
      </c>
      <c r="E148" s="37" t="s">
        <v>2827</v>
      </c>
      <c r="F148" s="24" t="s">
        <v>2282</v>
      </c>
      <c r="G148" s="25"/>
      <c r="Q148" s="37" t="s">
        <v>581</v>
      </c>
      <c r="R148" s="37" t="s">
        <v>1811</v>
      </c>
      <c r="S148" s="10" t="s">
        <v>2433</v>
      </c>
      <c r="U148" s="21">
        <v>2</v>
      </c>
      <c r="V148" s="21">
        <v>2</v>
      </c>
      <c r="W148" s="73">
        <f t="shared" si="7"/>
        <v>86</v>
      </c>
      <c r="X148" s="80">
        <f t="shared" si="6"/>
        <v>511</v>
      </c>
      <c r="Y148" s="82" t="s">
        <v>3592</v>
      </c>
      <c r="Z148" s="24" t="s">
        <v>2888</v>
      </c>
    </row>
    <row r="149" spans="1:29" ht="16.5" customHeight="1" x14ac:dyDescent="0.25">
      <c r="A149" s="29" t="s">
        <v>3869</v>
      </c>
      <c r="C149" s="37" t="s">
        <v>1211</v>
      </c>
      <c r="E149" s="37" t="s">
        <v>2827</v>
      </c>
      <c r="F149" s="24" t="s">
        <v>2282</v>
      </c>
      <c r="G149" s="25"/>
      <c r="H149" s="38" t="s">
        <v>3870</v>
      </c>
      <c r="O149" s="37" t="s">
        <v>5360</v>
      </c>
      <c r="P149" s="37" t="s">
        <v>5361</v>
      </c>
      <c r="Q149" s="37" t="s">
        <v>3506</v>
      </c>
      <c r="R149" s="37" t="s">
        <v>1792</v>
      </c>
      <c r="S149" s="10" t="s">
        <v>2433</v>
      </c>
      <c r="U149" s="21">
        <v>1</v>
      </c>
      <c r="V149" s="21">
        <v>1</v>
      </c>
      <c r="W149" s="73">
        <f t="shared" si="7"/>
        <v>87</v>
      </c>
      <c r="X149" s="80">
        <f t="shared" si="6"/>
        <v>512</v>
      </c>
      <c r="Y149" s="82" t="s">
        <v>3592</v>
      </c>
      <c r="Z149" s="24" t="s">
        <v>2888</v>
      </c>
    </row>
    <row r="150" spans="1:29" ht="15.45" customHeight="1" x14ac:dyDescent="0.25">
      <c r="A150" s="29" t="s">
        <v>5917</v>
      </c>
      <c r="C150" s="37" t="s">
        <v>1211</v>
      </c>
      <c r="E150" s="37" t="s">
        <v>2827</v>
      </c>
      <c r="F150" s="24" t="s">
        <v>2282</v>
      </c>
      <c r="G150" s="25"/>
      <c r="H150" s="38" t="s">
        <v>5918</v>
      </c>
      <c r="J150" s="214" t="s">
        <v>5305</v>
      </c>
      <c r="Q150" s="37" t="s">
        <v>5344</v>
      </c>
      <c r="R150" s="37" t="s">
        <v>3663</v>
      </c>
      <c r="S150" s="10" t="s">
        <v>3412</v>
      </c>
      <c r="U150" s="21">
        <v>1</v>
      </c>
      <c r="V150" s="21">
        <v>1</v>
      </c>
      <c r="W150" s="73">
        <f t="shared" si="7"/>
        <v>88</v>
      </c>
      <c r="X150" s="80">
        <f t="shared" si="6"/>
        <v>513</v>
      </c>
      <c r="Y150" s="82" t="s">
        <v>3591</v>
      </c>
      <c r="Z150" s="24" t="s">
        <v>2885</v>
      </c>
      <c r="AB150" s="177">
        <v>44392</v>
      </c>
      <c r="AC150" s="84" t="s">
        <v>5308</v>
      </c>
    </row>
    <row r="151" spans="1:29" ht="15.45" customHeight="1" x14ac:dyDescent="0.25">
      <c r="A151" s="29" t="s">
        <v>6470</v>
      </c>
      <c r="B151" s="24" t="s">
        <v>6212</v>
      </c>
      <c r="C151" s="37" t="s">
        <v>1211</v>
      </c>
      <c r="E151" s="37" t="s">
        <v>2827</v>
      </c>
      <c r="F151" s="24" t="s">
        <v>2282</v>
      </c>
      <c r="G151" s="25"/>
      <c r="H151" s="38" t="s">
        <v>6213</v>
      </c>
      <c r="J151" s="214" t="s">
        <v>5919</v>
      </c>
      <c r="P151" s="37" t="s">
        <v>346</v>
      </c>
      <c r="R151" s="37" t="s">
        <v>1811</v>
      </c>
      <c r="S151" s="10" t="s">
        <v>2433</v>
      </c>
      <c r="U151" s="21">
        <v>1</v>
      </c>
      <c r="V151" s="21">
        <v>1</v>
      </c>
      <c r="W151" s="73">
        <f t="shared" si="7"/>
        <v>89</v>
      </c>
      <c r="X151" s="80">
        <f t="shared" si="6"/>
        <v>514</v>
      </c>
      <c r="Y151" s="82" t="s">
        <v>3591</v>
      </c>
      <c r="Z151" s="24" t="s">
        <v>2885</v>
      </c>
      <c r="AB151" s="177">
        <v>44392</v>
      </c>
      <c r="AC151" s="84" t="s">
        <v>5308</v>
      </c>
    </row>
    <row r="152" spans="1:29" ht="15.45" customHeight="1" x14ac:dyDescent="0.25">
      <c r="A152" s="29" t="s">
        <v>6215</v>
      </c>
      <c r="B152" s="24" t="s">
        <v>6212</v>
      </c>
      <c r="C152" s="37" t="s">
        <v>1211</v>
      </c>
      <c r="E152" s="37" t="s">
        <v>2827</v>
      </c>
      <c r="F152" s="24" t="s">
        <v>2282</v>
      </c>
      <c r="G152" s="25"/>
      <c r="H152" s="38" t="s">
        <v>6214</v>
      </c>
      <c r="J152" s="214" t="s">
        <v>5919</v>
      </c>
      <c r="P152" s="37" t="s">
        <v>346</v>
      </c>
      <c r="R152" s="37" t="s">
        <v>1811</v>
      </c>
      <c r="S152" s="10" t="s">
        <v>2433</v>
      </c>
      <c r="U152" s="21">
        <v>1</v>
      </c>
      <c r="V152" s="21">
        <v>1</v>
      </c>
      <c r="W152" s="73">
        <f t="shared" si="7"/>
        <v>90</v>
      </c>
      <c r="X152" s="80">
        <f t="shared" si="6"/>
        <v>515</v>
      </c>
      <c r="Y152" s="82" t="s">
        <v>3591</v>
      </c>
      <c r="Z152" s="24" t="s">
        <v>2885</v>
      </c>
      <c r="AB152" s="177">
        <v>44392</v>
      </c>
      <c r="AC152" s="84" t="s">
        <v>5308</v>
      </c>
    </row>
    <row r="153" spans="1:29" ht="15.45" customHeight="1" x14ac:dyDescent="0.25">
      <c r="A153" s="29" t="s">
        <v>1315</v>
      </c>
      <c r="C153" s="37" t="s">
        <v>1211</v>
      </c>
      <c r="E153" s="37" t="s">
        <v>2827</v>
      </c>
      <c r="F153" s="24" t="s">
        <v>2282</v>
      </c>
      <c r="G153" s="25"/>
      <c r="S153" s="10" t="s">
        <v>2433</v>
      </c>
      <c r="U153" s="21">
        <v>2</v>
      </c>
      <c r="V153" s="21">
        <v>2</v>
      </c>
      <c r="W153" s="73">
        <f t="shared" si="7"/>
        <v>92</v>
      </c>
      <c r="X153" s="80">
        <f t="shared" si="6"/>
        <v>517</v>
      </c>
      <c r="Y153" s="82" t="s">
        <v>3584</v>
      </c>
    </row>
    <row r="154" spans="1:29" ht="15.45" customHeight="1" x14ac:dyDescent="0.25">
      <c r="A154" s="29" t="s">
        <v>5401</v>
      </c>
      <c r="B154" s="24" t="s">
        <v>5402</v>
      </c>
      <c r="C154" s="37" t="s">
        <v>1211</v>
      </c>
      <c r="E154" s="37" t="s">
        <v>2827</v>
      </c>
      <c r="F154" s="24" t="s">
        <v>2282</v>
      </c>
      <c r="G154" s="25"/>
      <c r="S154" s="10" t="s">
        <v>2433</v>
      </c>
      <c r="U154" s="21">
        <v>1</v>
      </c>
      <c r="V154" s="21">
        <v>1</v>
      </c>
      <c r="W154" s="73">
        <f t="shared" si="7"/>
        <v>93</v>
      </c>
      <c r="X154" s="80">
        <f t="shared" si="6"/>
        <v>518</v>
      </c>
      <c r="Y154" s="82" t="s">
        <v>3584</v>
      </c>
    </row>
    <row r="155" spans="1:29" ht="15.45" customHeight="1" x14ac:dyDescent="0.25">
      <c r="A155" s="29" t="s">
        <v>3867</v>
      </c>
      <c r="C155" s="37" t="s">
        <v>1211</v>
      </c>
      <c r="E155" s="37" t="s">
        <v>2827</v>
      </c>
      <c r="F155" s="24" t="s">
        <v>2282</v>
      </c>
      <c r="G155" s="25"/>
      <c r="H155" s="38" t="s">
        <v>3868</v>
      </c>
      <c r="O155" s="37" t="s">
        <v>5362</v>
      </c>
      <c r="P155" s="37" t="s">
        <v>1463</v>
      </c>
      <c r="Q155" s="37" t="s">
        <v>3506</v>
      </c>
      <c r="R155" s="37" t="s">
        <v>1792</v>
      </c>
      <c r="S155" s="10" t="s">
        <v>2433</v>
      </c>
      <c r="U155" s="21">
        <v>1</v>
      </c>
      <c r="V155" s="21">
        <v>1</v>
      </c>
      <c r="W155" s="73">
        <f t="shared" si="7"/>
        <v>94</v>
      </c>
      <c r="X155" s="80">
        <f t="shared" si="6"/>
        <v>519</v>
      </c>
      <c r="Y155" s="82" t="s">
        <v>3592</v>
      </c>
      <c r="Z155" s="24" t="s">
        <v>2884</v>
      </c>
    </row>
    <row r="156" spans="1:29" ht="15.45" customHeight="1" x14ac:dyDescent="0.25">
      <c r="A156" s="29" t="s">
        <v>1196</v>
      </c>
      <c r="C156" s="37" t="s">
        <v>1211</v>
      </c>
      <c r="E156" s="37" t="s">
        <v>2827</v>
      </c>
      <c r="F156" s="24" t="s">
        <v>2282</v>
      </c>
      <c r="G156" s="25"/>
      <c r="O156" s="37" t="s">
        <v>5362</v>
      </c>
      <c r="P156" s="37" t="s">
        <v>1463</v>
      </c>
      <c r="Q156" s="37" t="s">
        <v>3506</v>
      </c>
      <c r="R156" s="37" t="s">
        <v>1792</v>
      </c>
      <c r="S156" s="10" t="s">
        <v>2433</v>
      </c>
      <c r="U156" s="21">
        <v>1</v>
      </c>
      <c r="V156" s="21">
        <v>1</v>
      </c>
      <c r="W156" s="73">
        <f t="shared" si="7"/>
        <v>95</v>
      </c>
      <c r="X156" s="80">
        <f t="shared" si="6"/>
        <v>520</v>
      </c>
      <c r="Y156" s="82" t="s">
        <v>3584</v>
      </c>
    </row>
    <row r="157" spans="1:29" ht="15.45" customHeight="1" x14ac:dyDescent="0.25">
      <c r="A157" s="29" t="s">
        <v>1196</v>
      </c>
      <c r="C157" s="37" t="s">
        <v>1211</v>
      </c>
      <c r="E157" s="37" t="s">
        <v>2827</v>
      </c>
      <c r="F157" s="24" t="s">
        <v>2282</v>
      </c>
      <c r="G157" s="25"/>
      <c r="O157" s="37" t="s">
        <v>5362</v>
      </c>
      <c r="P157" s="37" t="s">
        <v>1463</v>
      </c>
      <c r="Q157" s="37" t="s">
        <v>3506</v>
      </c>
      <c r="R157" s="37" t="s">
        <v>1792</v>
      </c>
      <c r="S157" s="10" t="s">
        <v>2433</v>
      </c>
      <c r="U157" s="21">
        <v>1</v>
      </c>
      <c r="V157" s="21">
        <v>1</v>
      </c>
      <c r="W157" s="73">
        <f t="shared" si="7"/>
        <v>96</v>
      </c>
      <c r="X157" s="80">
        <f t="shared" si="6"/>
        <v>521</v>
      </c>
      <c r="Y157" s="82" t="s">
        <v>3592</v>
      </c>
      <c r="Z157" s="24" t="s">
        <v>2888</v>
      </c>
    </row>
    <row r="158" spans="1:29" ht="15.45" customHeight="1" x14ac:dyDescent="0.25">
      <c r="A158" s="29" t="s">
        <v>2393</v>
      </c>
      <c r="C158" s="37" t="s">
        <v>1211</v>
      </c>
      <c r="E158" s="37" t="s">
        <v>2827</v>
      </c>
      <c r="F158" s="24" t="s">
        <v>2282</v>
      </c>
      <c r="G158" s="25"/>
      <c r="O158" s="37" t="s">
        <v>5362</v>
      </c>
      <c r="P158" s="37" t="s">
        <v>1463</v>
      </c>
      <c r="Q158" s="37" t="s">
        <v>3506</v>
      </c>
      <c r="R158" s="37" t="s">
        <v>1792</v>
      </c>
      <c r="S158" s="10" t="s">
        <v>2433</v>
      </c>
      <c r="U158" s="21">
        <v>2</v>
      </c>
      <c r="V158" s="21">
        <v>2</v>
      </c>
      <c r="W158" s="73">
        <f t="shared" si="7"/>
        <v>98</v>
      </c>
      <c r="X158" s="80">
        <f t="shared" si="6"/>
        <v>523</v>
      </c>
      <c r="Y158" s="82" t="s">
        <v>3592</v>
      </c>
      <c r="Z158" s="24" t="s">
        <v>2884</v>
      </c>
    </row>
    <row r="159" spans="1:29" ht="15.45" customHeight="1" x14ac:dyDescent="0.25">
      <c r="A159" s="29" t="s">
        <v>1791</v>
      </c>
      <c r="C159" s="37" t="s">
        <v>35</v>
      </c>
      <c r="E159" s="37" t="s">
        <v>2827</v>
      </c>
      <c r="F159" s="24" t="s">
        <v>2282</v>
      </c>
      <c r="G159" s="25"/>
      <c r="O159" s="37" t="s">
        <v>5487</v>
      </c>
      <c r="P159" s="37" t="s">
        <v>5486</v>
      </c>
      <c r="Q159" s="37" t="s">
        <v>3506</v>
      </c>
      <c r="R159" s="37" t="s">
        <v>1792</v>
      </c>
      <c r="S159" s="10" t="s">
        <v>2433</v>
      </c>
      <c r="U159" s="21">
        <v>1</v>
      </c>
      <c r="V159" s="21">
        <v>1</v>
      </c>
      <c r="W159" s="73">
        <f t="shared" si="7"/>
        <v>99</v>
      </c>
      <c r="X159" s="80">
        <f t="shared" si="6"/>
        <v>524</v>
      </c>
      <c r="Y159" s="82" t="s">
        <v>3591</v>
      </c>
      <c r="Z159" s="24" t="s">
        <v>6238</v>
      </c>
      <c r="AA159" s="177">
        <v>44509</v>
      </c>
    </row>
    <row r="160" spans="1:29" ht="15.45" customHeight="1" x14ac:dyDescent="0.25">
      <c r="A160" s="29" t="s">
        <v>1316</v>
      </c>
      <c r="C160" s="37" t="s">
        <v>1211</v>
      </c>
      <c r="E160" s="37" t="s">
        <v>2827</v>
      </c>
      <c r="F160" s="24" t="s">
        <v>2282</v>
      </c>
      <c r="G160" s="25"/>
      <c r="O160" s="37" t="s">
        <v>749</v>
      </c>
      <c r="P160" s="37" t="s">
        <v>1463</v>
      </c>
      <c r="Q160" s="37" t="s">
        <v>3506</v>
      </c>
      <c r="R160" s="37" t="s">
        <v>1792</v>
      </c>
      <c r="S160" s="10" t="s">
        <v>2433</v>
      </c>
      <c r="U160" s="21">
        <v>2</v>
      </c>
      <c r="V160" s="21">
        <v>2</v>
      </c>
      <c r="W160" s="73">
        <f t="shared" si="7"/>
        <v>101</v>
      </c>
      <c r="X160" s="80">
        <f t="shared" si="6"/>
        <v>526</v>
      </c>
      <c r="Y160" s="82" t="s">
        <v>3584</v>
      </c>
    </row>
    <row r="161" spans="1:29" ht="15.45" customHeight="1" x14ac:dyDescent="0.25">
      <c r="A161" s="29" t="s">
        <v>1317</v>
      </c>
      <c r="C161" s="37" t="s">
        <v>1211</v>
      </c>
      <c r="E161" s="37" t="s">
        <v>2827</v>
      </c>
      <c r="F161" s="24" t="s">
        <v>2282</v>
      </c>
      <c r="G161" s="25"/>
      <c r="J161" s="214" t="s">
        <v>4061</v>
      </c>
      <c r="K161" s="10" t="s">
        <v>4062</v>
      </c>
      <c r="O161" s="37" t="s">
        <v>2055</v>
      </c>
      <c r="P161" s="37" t="s">
        <v>2056</v>
      </c>
      <c r="Q161" s="37" t="s">
        <v>3506</v>
      </c>
      <c r="R161" s="37" t="s">
        <v>1792</v>
      </c>
      <c r="S161" s="10" t="s">
        <v>2433</v>
      </c>
      <c r="U161" s="21">
        <v>1</v>
      </c>
      <c r="V161" s="21">
        <v>1</v>
      </c>
      <c r="W161" s="73">
        <f t="shared" si="7"/>
        <v>102</v>
      </c>
      <c r="X161" s="80">
        <f t="shared" si="6"/>
        <v>527</v>
      </c>
      <c r="Y161" s="82" t="s">
        <v>3584</v>
      </c>
    </row>
    <row r="162" spans="1:29" ht="15.45" customHeight="1" x14ac:dyDescent="0.25">
      <c r="A162" s="29" t="s">
        <v>251</v>
      </c>
      <c r="C162" s="37" t="s">
        <v>1211</v>
      </c>
      <c r="E162" s="37" t="s">
        <v>2827</v>
      </c>
      <c r="F162" s="24" t="s">
        <v>2282</v>
      </c>
      <c r="G162" s="25"/>
      <c r="O162" s="37" t="s">
        <v>749</v>
      </c>
      <c r="P162" s="37" t="s">
        <v>1463</v>
      </c>
      <c r="Q162" s="37" t="s">
        <v>3506</v>
      </c>
      <c r="R162" s="37" t="s">
        <v>1792</v>
      </c>
      <c r="S162" s="10" t="s">
        <v>2433</v>
      </c>
      <c r="U162" s="21">
        <v>1</v>
      </c>
      <c r="V162" s="21">
        <v>1</v>
      </c>
      <c r="W162" s="73">
        <f t="shared" si="7"/>
        <v>103</v>
      </c>
      <c r="X162" s="80">
        <f t="shared" si="6"/>
        <v>528</v>
      </c>
      <c r="Y162" s="82" t="s">
        <v>3592</v>
      </c>
      <c r="Z162" s="24" t="s">
        <v>3594</v>
      </c>
    </row>
    <row r="163" spans="1:29" ht="15.45" customHeight="1" x14ac:dyDescent="0.25">
      <c r="A163" s="29" t="s">
        <v>38</v>
      </c>
      <c r="C163" s="37" t="s">
        <v>35</v>
      </c>
      <c r="E163" s="37" t="s">
        <v>2827</v>
      </c>
      <c r="F163" s="24" t="s">
        <v>2282</v>
      </c>
      <c r="G163" s="25"/>
      <c r="O163" s="37" t="s">
        <v>5363</v>
      </c>
      <c r="P163" s="37" t="s">
        <v>2035</v>
      </c>
      <c r="Q163" s="37" t="s">
        <v>3506</v>
      </c>
      <c r="R163" s="37" t="s">
        <v>1792</v>
      </c>
      <c r="S163" s="10" t="s">
        <v>2433</v>
      </c>
      <c r="U163" s="21">
        <v>1</v>
      </c>
      <c r="V163" s="21">
        <v>1</v>
      </c>
      <c r="W163" s="73">
        <f t="shared" si="7"/>
        <v>104</v>
      </c>
      <c r="X163" s="80">
        <f t="shared" si="6"/>
        <v>529</v>
      </c>
      <c r="Y163" s="82" t="s">
        <v>3592</v>
      </c>
      <c r="Z163" s="24" t="s">
        <v>37</v>
      </c>
    </row>
    <row r="164" spans="1:29" ht="15.45" customHeight="1" x14ac:dyDescent="0.25">
      <c r="A164" s="29" t="s">
        <v>2059</v>
      </c>
      <c r="C164" s="37" t="s">
        <v>1211</v>
      </c>
      <c r="E164" s="37" t="s">
        <v>2827</v>
      </c>
      <c r="F164" s="24" t="s">
        <v>2282</v>
      </c>
      <c r="G164" s="25"/>
      <c r="O164" s="37" t="s">
        <v>5364</v>
      </c>
      <c r="P164" s="37" t="s">
        <v>1463</v>
      </c>
      <c r="Q164" s="37" t="s">
        <v>3506</v>
      </c>
      <c r="R164" s="37" t="s">
        <v>1792</v>
      </c>
      <c r="S164" s="10" t="s">
        <v>2433</v>
      </c>
      <c r="U164" s="21">
        <v>1</v>
      </c>
      <c r="V164" s="21">
        <v>1</v>
      </c>
      <c r="W164" s="73">
        <f t="shared" si="7"/>
        <v>105</v>
      </c>
      <c r="X164" s="80">
        <f t="shared" si="6"/>
        <v>530</v>
      </c>
      <c r="Y164" s="82" t="s">
        <v>3591</v>
      </c>
      <c r="Z164" s="24" t="s">
        <v>6238</v>
      </c>
      <c r="AA164" s="177">
        <v>44509</v>
      </c>
    </row>
    <row r="165" spans="1:29" ht="15.45" customHeight="1" x14ac:dyDescent="0.25">
      <c r="A165" s="29" t="s">
        <v>1432</v>
      </c>
      <c r="C165" s="37" t="s">
        <v>1211</v>
      </c>
      <c r="E165" s="37" t="s">
        <v>2827</v>
      </c>
      <c r="F165" s="24" t="s">
        <v>2282</v>
      </c>
      <c r="G165" s="25"/>
      <c r="P165" s="37" t="s">
        <v>1843</v>
      </c>
      <c r="Q165" s="37" t="s">
        <v>3506</v>
      </c>
      <c r="R165" s="37" t="s">
        <v>1792</v>
      </c>
      <c r="S165" s="10" t="s">
        <v>2433</v>
      </c>
      <c r="U165" s="21">
        <v>1</v>
      </c>
      <c r="V165" s="21">
        <v>1</v>
      </c>
      <c r="W165" s="73">
        <f t="shared" si="7"/>
        <v>106</v>
      </c>
      <c r="X165" s="80">
        <f t="shared" si="6"/>
        <v>531</v>
      </c>
      <c r="Y165" s="82" t="s">
        <v>3584</v>
      </c>
    </row>
    <row r="166" spans="1:29" ht="15.45" customHeight="1" x14ac:dyDescent="0.25">
      <c r="A166" s="29" t="s">
        <v>5932</v>
      </c>
      <c r="C166" s="37" t="s">
        <v>1211</v>
      </c>
      <c r="E166" s="37" t="s">
        <v>2827</v>
      </c>
      <c r="F166" s="24" t="s">
        <v>2282</v>
      </c>
      <c r="G166" s="25"/>
      <c r="H166" s="201" t="s">
        <v>6467</v>
      </c>
      <c r="J166" s="214" t="s">
        <v>5305</v>
      </c>
      <c r="P166" s="37" t="s">
        <v>5933</v>
      </c>
      <c r="Q166" s="37" t="s">
        <v>1837</v>
      </c>
      <c r="R166" s="37" t="s">
        <v>3666</v>
      </c>
      <c r="S166" s="10" t="s">
        <v>3412</v>
      </c>
      <c r="U166" s="21">
        <v>1</v>
      </c>
      <c r="V166" s="21">
        <v>1</v>
      </c>
      <c r="W166" s="73">
        <f t="shared" si="7"/>
        <v>107</v>
      </c>
      <c r="X166" s="80">
        <f t="shared" si="6"/>
        <v>532</v>
      </c>
      <c r="Y166" s="82" t="s">
        <v>3591</v>
      </c>
      <c r="Z166" s="24" t="s">
        <v>2885</v>
      </c>
      <c r="AB166" s="177">
        <v>44392</v>
      </c>
      <c r="AC166" s="84" t="s">
        <v>5308</v>
      </c>
    </row>
    <row r="167" spans="1:29" ht="15.45" customHeight="1" x14ac:dyDescent="0.25">
      <c r="A167" s="29" t="s">
        <v>6468</v>
      </c>
      <c r="B167" s="24" t="s">
        <v>6469</v>
      </c>
      <c r="C167" s="37" t="s">
        <v>1211</v>
      </c>
      <c r="E167" s="37" t="s">
        <v>2827</v>
      </c>
      <c r="F167" s="24" t="s">
        <v>2285</v>
      </c>
      <c r="G167" s="25"/>
      <c r="Q167" s="37" t="s">
        <v>581</v>
      </c>
      <c r="R167" s="37" t="s">
        <v>1811</v>
      </c>
      <c r="S167" s="10" t="s">
        <v>2433</v>
      </c>
      <c r="U167" s="21">
        <v>1</v>
      </c>
      <c r="V167" s="21">
        <v>1</v>
      </c>
      <c r="W167" s="73">
        <f t="shared" si="7"/>
        <v>108</v>
      </c>
      <c r="X167" s="80">
        <f t="shared" si="6"/>
        <v>533</v>
      </c>
      <c r="Y167" s="82" t="s">
        <v>3591</v>
      </c>
      <c r="Z167" s="24" t="s">
        <v>6238</v>
      </c>
      <c r="AA167" s="177">
        <v>44509</v>
      </c>
    </row>
    <row r="168" spans="1:29" ht="15.45" customHeight="1" x14ac:dyDescent="0.25">
      <c r="A168" s="29" t="s">
        <v>6468</v>
      </c>
      <c r="B168" s="24" t="s">
        <v>6469</v>
      </c>
      <c r="C168" s="37" t="s">
        <v>1211</v>
      </c>
      <c r="E168" s="37" t="s">
        <v>2827</v>
      </c>
      <c r="F168" s="24" t="s">
        <v>2285</v>
      </c>
      <c r="G168" s="25"/>
      <c r="O168" s="37" t="s">
        <v>5363</v>
      </c>
      <c r="P168" s="37" t="s">
        <v>2035</v>
      </c>
      <c r="Q168" s="37" t="s">
        <v>3506</v>
      </c>
      <c r="R168" s="37" t="s">
        <v>1792</v>
      </c>
      <c r="S168" s="10" t="s">
        <v>2433</v>
      </c>
      <c r="U168" s="21">
        <v>1</v>
      </c>
      <c r="V168" s="21">
        <v>1</v>
      </c>
      <c r="W168" s="73">
        <f t="shared" si="7"/>
        <v>109</v>
      </c>
      <c r="X168" s="80">
        <f t="shared" si="6"/>
        <v>534</v>
      </c>
      <c r="Y168" s="82" t="s">
        <v>3591</v>
      </c>
      <c r="Z168" s="24" t="s">
        <v>6238</v>
      </c>
      <c r="AA168" s="177">
        <v>44509</v>
      </c>
    </row>
    <row r="169" spans="1:29" ht="15.45" customHeight="1" x14ac:dyDescent="0.25">
      <c r="A169" s="29" t="s">
        <v>6468</v>
      </c>
      <c r="B169" s="24" t="s">
        <v>6469</v>
      </c>
      <c r="C169" s="37" t="s">
        <v>1211</v>
      </c>
      <c r="E169" s="37" t="s">
        <v>2827</v>
      </c>
      <c r="F169" s="24" t="s">
        <v>2285</v>
      </c>
      <c r="G169" s="25"/>
      <c r="H169" s="38" t="s">
        <v>6466</v>
      </c>
      <c r="O169" s="37" t="s">
        <v>5365</v>
      </c>
      <c r="P169" s="37" t="s">
        <v>546</v>
      </c>
      <c r="Q169" s="37" t="s">
        <v>3506</v>
      </c>
      <c r="R169" s="37" t="s">
        <v>1792</v>
      </c>
      <c r="S169" s="10" t="s">
        <v>2433</v>
      </c>
      <c r="U169" s="21">
        <v>1</v>
      </c>
      <c r="V169" s="21">
        <v>1</v>
      </c>
      <c r="W169" s="73">
        <f t="shared" si="7"/>
        <v>110</v>
      </c>
      <c r="X169" s="80">
        <f t="shared" ref="X169:X233" si="8">V169+X168</f>
        <v>535</v>
      </c>
      <c r="Y169" s="82" t="s">
        <v>3591</v>
      </c>
      <c r="Z169" s="24" t="s">
        <v>3596</v>
      </c>
      <c r="AA169" s="177">
        <v>44509</v>
      </c>
    </row>
    <row r="170" spans="1:29" ht="15.45" customHeight="1" x14ac:dyDescent="0.25">
      <c r="A170" s="29" t="s">
        <v>6468</v>
      </c>
      <c r="B170" s="24" t="s">
        <v>6469</v>
      </c>
      <c r="C170" s="37" t="s">
        <v>1211</v>
      </c>
      <c r="E170" s="37" t="s">
        <v>2827</v>
      </c>
      <c r="F170" s="24" t="s">
        <v>2285</v>
      </c>
      <c r="G170" s="25"/>
      <c r="S170" s="10" t="s">
        <v>2433</v>
      </c>
      <c r="U170" s="21">
        <v>1</v>
      </c>
      <c r="V170" s="21">
        <v>1</v>
      </c>
      <c r="W170" s="73">
        <f t="shared" ref="W170:W234" si="9">W169+V170</f>
        <v>111</v>
      </c>
      <c r="X170" s="80">
        <f t="shared" si="8"/>
        <v>536</v>
      </c>
      <c r="Y170" s="82" t="s">
        <v>3592</v>
      </c>
      <c r="Z170" s="24" t="s">
        <v>2884</v>
      </c>
    </row>
    <row r="171" spans="1:29" ht="15.45" customHeight="1" x14ac:dyDescent="0.25">
      <c r="A171" s="29" t="s">
        <v>219</v>
      </c>
      <c r="C171" s="37" t="s">
        <v>35</v>
      </c>
      <c r="E171" s="37" t="s">
        <v>2827</v>
      </c>
      <c r="F171" s="24" t="s">
        <v>2285</v>
      </c>
      <c r="G171" s="25"/>
      <c r="O171" s="37" t="s">
        <v>5366</v>
      </c>
      <c r="P171" s="37" t="s">
        <v>546</v>
      </c>
      <c r="Q171" s="37" t="s">
        <v>3506</v>
      </c>
      <c r="R171" s="37" t="s">
        <v>1792</v>
      </c>
      <c r="S171" s="10" t="s">
        <v>2433</v>
      </c>
      <c r="U171" s="21">
        <v>1</v>
      </c>
      <c r="V171" s="21">
        <v>1</v>
      </c>
      <c r="W171" s="73">
        <f t="shared" si="9"/>
        <v>112</v>
      </c>
      <c r="X171" s="80">
        <f t="shared" si="8"/>
        <v>537</v>
      </c>
      <c r="Y171" s="82" t="s">
        <v>3592</v>
      </c>
      <c r="Z171" s="24" t="s">
        <v>37</v>
      </c>
    </row>
    <row r="172" spans="1:29" ht="15.45" customHeight="1" x14ac:dyDescent="0.25">
      <c r="A172" s="29" t="s">
        <v>1699</v>
      </c>
      <c r="C172" s="37" t="s">
        <v>1211</v>
      </c>
      <c r="E172" s="37" t="s">
        <v>2827</v>
      </c>
      <c r="F172" s="24" t="s">
        <v>2283</v>
      </c>
      <c r="G172" s="25"/>
      <c r="P172" s="37" t="s">
        <v>1485</v>
      </c>
      <c r="Q172" s="37" t="s">
        <v>3506</v>
      </c>
      <c r="R172" s="37" t="s">
        <v>1792</v>
      </c>
      <c r="S172" s="10" t="s">
        <v>2433</v>
      </c>
      <c r="U172" s="21">
        <v>1</v>
      </c>
      <c r="V172" s="21">
        <v>1</v>
      </c>
      <c r="W172" s="73">
        <f t="shared" si="9"/>
        <v>113</v>
      </c>
      <c r="X172" s="80">
        <f t="shared" si="8"/>
        <v>538</v>
      </c>
      <c r="Y172" s="82" t="s">
        <v>3591</v>
      </c>
      <c r="Z172" s="24" t="s">
        <v>6238</v>
      </c>
      <c r="AA172" s="177">
        <v>44509</v>
      </c>
    </row>
    <row r="173" spans="1:29" ht="15.45" customHeight="1" x14ac:dyDescent="0.25">
      <c r="A173" s="29" t="s">
        <v>5930</v>
      </c>
      <c r="C173" s="37" t="s">
        <v>1211</v>
      </c>
      <c r="E173" s="37" t="s">
        <v>2827</v>
      </c>
      <c r="F173" s="24" t="s">
        <v>2283</v>
      </c>
      <c r="G173" s="25"/>
      <c r="H173" s="201" t="s">
        <v>5931</v>
      </c>
      <c r="J173" s="214" t="s">
        <v>5305</v>
      </c>
      <c r="O173" s="37" t="s">
        <v>2826</v>
      </c>
      <c r="S173" s="10" t="s">
        <v>2983</v>
      </c>
      <c r="U173" s="21">
        <v>1</v>
      </c>
      <c r="V173" s="21">
        <v>1</v>
      </c>
      <c r="W173" s="73">
        <f t="shared" si="9"/>
        <v>114</v>
      </c>
      <c r="X173" s="80">
        <f t="shared" si="8"/>
        <v>539</v>
      </c>
      <c r="Y173" s="82" t="s">
        <v>3591</v>
      </c>
      <c r="Z173" s="24" t="s">
        <v>2885</v>
      </c>
      <c r="AB173" s="177">
        <v>44392</v>
      </c>
      <c r="AC173" s="84" t="s">
        <v>5308</v>
      </c>
    </row>
    <row r="174" spans="1:29" ht="15.45" customHeight="1" x14ac:dyDescent="0.25">
      <c r="A174" s="29" t="s">
        <v>3861</v>
      </c>
      <c r="C174" s="37" t="s">
        <v>1211</v>
      </c>
      <c r="E174" s="37" t="s">
        <v>2827</v>
      </c>
      <c r="F174" s="24" t="s">
        <v>2283</v>
      </c>
      <c r="G174" s="25"/>
      <c r="H174" s="38" t="s">
        <v>3862</v>
      </c>
      <c r="P174" s="37" t="s">
        <v>193</v>
      </c>
      <c r="Q174" s="37" t="s">
        <v>1998</v>
      </c>
      <c r="R174" s="37" t="s">
        <v>1792</v>
      </c>
      <c r="S174" s="10" t="s">
        <v>2433</v>
      </c>
      <c r="U174" s="21">
        <v>1</v>
      </c>
      <c r="V174" s="21">
        <v>1</v>
      </c>
      <c r="W174" s="73">
        <f t="shared" si="9"/>
        <v>115</v>
      </c>
      <c r="X174" s="80">
        <f t="shared" si="8"/>
        <v>540</v>
      </c>
      <c r="Y174" s="82" t="s">
        <v>3584</v>
      </c>
    </row>
    <row r="175" spans="1:29" ht="15.45" customHeight="1" x14ac:dyDescent="0.25">
      <c r="A175" s="29" t="s">
        <v>90</v>
      </c>
      <c r="C175" s="37" t="s">
        <v>1211</v>
      </c>
      <c r="E175" s="37" t="s">
        <v>2827</v>
      </c>
      <c r="F175" s="24" t="s">
        <v>2283</v>
      </c>
      <c r="G175" s="25"/>
      <c r="P175" s="37" t="s">
        <v>194</v>
      </c>
      <c r="Q175" s="37" t="s">
        <v>3506</v>
      </c>
      <c r="R175" s="37" t="s">
        <v>1792</v>
      </c>
      <c r="S175" s="10" t="s">
        <v>2433</v>
      </c>
      <c r="U175" s="21">
        <v>1</v>
      </c>
      <c r="V175" s="21">
        <v>1</v>
      </c>
      <c r="W175" s="73">
        <f t="shared" si="9"/>
        <v>116</v>
      </c>
      <c r="X175" s="80">
        <f t="shared" si="8"/>
        <v>541</v>
      </c>
      <c r="Y175" s="82" t="s">
        <v>3592</v>
      </c>
      <c r="Z175" s="24" t="s">
        <v>2884</v>
      </c>
    </row>
    <row r="176" spans="1:29" ht="15.45" customHeight="1" x14ac:dyDescent="0.25">
      <c r="A176" s="29" t="s">
        <v>91</v>
      </c>
      <c r="C176" s="37" t="s">
        <v>1211</v>
      </c>
      <c r="E176" s="37" t="s">
        <v>2827</v>
      </c>
      <c r="F176" s="24" t="s">
        <v>2280</v>
      </c>
      <c r="G176" s="25"/>
      <c r="P176" s="37" t="s">
        <v>720</v>
      </c>
      <c r="Q176" s="37" t="s">
        <v>5344</v>
      </c>
      <c r="R176" s="37" t="s">
        <v>3663</v>
      </c>
      <c r="S176" s="10" t="s">
        <v>2433</v>
      </c>
      <c r="U176" s="21">
        <v>1</v>
      </c>
      <c r="V176" s="21">
        <v>1</v>
      </c>
      <c r="W176" s="73">
        <f t="shared" si="9"/>
        <v>117</v>
      </c>
      <c r="X176" s="80">
        <f t="shared" si="8"/>
        <v>542</v>
      </c>
      <c r="Y176" s="82" t="s">
        <v>3592</v>
      </c>
      <c r="Z176" s="24" t="s">
        <v>2884</v>
      </c>
    </row>
    <row r="177" spans="1:29" ht="15.45" customHeight="1" x14ac:dyDescent="0.25">
      <c r="A177" s="29" t="s">
        <v>253</v>
      </c>
      <c r="C177" s="37" t="s">
        <v>1211</v>
      </c>
      <c r="E177" s="37" t="s">
        <v>2827</v>
      </c>
      <c r="F177" s="24" t="s">
        <v>2283</v>
      </c>
      <c r="G177" s="25"/>
      <c r="O177" s="37" t="s">
        <v>5367</v>
      </c>
      <c r="P177" s="37" t="s">
        <v>51</v>
      </c>
      <c r="Q177" s="37" t="s">
        <v>3506</v>
      </c>
      <c r="R177" s="37" t="s">
        <v>1792</v>
      </c>
      <c r="S177" s="10" t="s">
        <v>2433</v>
      </c>
      <c r="U177" s="21">
        <v>1</v>
      </c>
      <c r="V177" s="21">
        <v>1</v>
      </c>
      <c r="W177" s="73">
        <f t="shared" si="9"/>
        <v>118</v>
      </c>
      <c r="X177" s="80">
        <f t="shared" si="8"/>
        <v>543</v>
      </c>
      <c r="Y177" s="82" t="s">
        <v>3592</v>
      </c>
      <c r="Z177" s="24" t="s">
        <v>2884</v>
      </c>
      <c r="AA177" s="178"/>
      <c r="AB177" s="178"/>
    </row>
    <row r="178" spans="1:29" ht="15.45" customHeight="1" x14ac:dyDescent="0.25">
      <c r="A178" s="29" t="s">
        <v>92</v>
      </c>
      <c r="C178" s="37" t="s">
        <v>1211</v>
      </c>
      <c r="E178" s="37" t="s">
        <v>2827</v>
      </c>
      <c r="F178" s="24" t="s">
        <v>2282</v>
      </c>
      <c r="G178" s="25"/>
      <c r="O178" s="37" t="s">
        <v>5368</v>
      </c>
      <c r="P178" s="37" t="s">
        <v>1463</v>
      </c>
      <c r="Q178" s="37" t="s">
        <v>3506</v>
      </c>
      <c r="R178" s="37" t="s">
        <v>1792</v>
      </c>
      <c r="S178" s="10" t="s">
        <v>2433</v>
      </c>
      <c r="U178" s="21">
        <v>1</v>
      </c>
      <c r="V178" s="21">
        <v>1</v>
      </c>
      <c r="W178" s="73">
        <f t="shared" si="9"/>
        <v>119</v>
      </c>
      <c r="X178" s="80">
        <f t="shared" si="8"/>
        <v>544</v>
      </c>
      <c r="Y178" s="82" t="s">
        <v>3592</v>
      </c>
      <c r="Z178" s="24" t="s">
        <v>2884</v>
      </c>
    </row>
    <row r="179" spans="1:29" ht="15.45" customHeight="1" x14ac:dyDescent="0.25">
      <c r="A179" s="29" t="s">
        <v>3864</v>
      </c>
      <c r="C179" s="37" t="s">
        <v>1211</v>
      </c>
      <c r="E179" s="37" t="s">
        <v>2827</v>
      </c>
      <c r="F179" s="24" t="s">
        <v>4702</v>
      </c>
      <c r="G179" s="25"/>
      <c r="H179" s="38" t="s">
        <v>3863</v>
      </c>
      <c r="O179" s="37" t="s">
        <v>5369</v>
      </c>
      <c r="S179" s="10" t="s">
        <v>2433</v>
      </c>
      <c r="U179" s="21">
        <v>1</v>
      </c>
      <c r="V179" s="21">
        <v>1</v>
      </c>
      <c r="W179" s="73">
        <f t="shared" si="9"/>
        <v>120</v>
      </c>
      <c r="X179" s="80">
        <f t="shared" si="8"/>
        <v>545</v>
      </c>
      <c r="Y179" s="82" t="s">
        <v>3584</v>
      </c>
    </row>
    <row r="180" spans="1:29" ht="15.45" customHeight="1" x14ac:dyDescent="0.25">
      <c r="A180" s="29" t="s">
        <v>3865</v>
      </c>
      <c r="C180" s="37" t="s">
        <v>1211</v>
      </c>
      <c r="E180" s="37" t="s">
        <v>2827</v>
      </c>
      <c r="F180" s="24" t="s">
        <v>4702</v>
      </c>
      <c r="G180" s="25"/>
      <c r="H180" s="38" t="s">
        <v>3866</v>
      </c>
      <c r="J180" s="214" t="s">
        <v>4061</v>
      </c>
      <c r="K180" s="10" t="s">
        <v>4062</v>
      </c>
      <c r="O180" s="37" t="s">
        <v>5370</v>
      </c>
      <c r="P180" s="37" t="s">
        <v>2056</v>
      </c>
      <c r="Q180" s="37" t="s">
        <v>3506</v>
      </c>
      <c r="R180" s="37" t="s">
        <v>1792</v>
      </c>
      <c r="S180" s="10" t="s">
        <v>2433</v>
      </c>
      <c r="U180" s="21">
        <v>2</v>
      </c>
      <c r="V180" s="21">
        <v>2</v>
      </c>
      <c r="W180" s="73">
        <f t="shared" si="9"/>
        <v>122</v>
      </c>
      <c r="X180" s="80">
        <f t="shared" si="8"/>
        <v>547</v>
      </c>
      <c r="Y180" s="82" t="s">
        <v>3584</v>
      </c>
    </row>
    <row r="181" spans="1:29" ht="15.45" customHeight="1" x14ac:dyDescent="0.25">
      <c r="A181" s="29" t="s">
        <v>5403</v>
      </c>
      <c r="C181" s="37" t="s">
        <v>35</v>
      </c>
      <c r="E181" s="37" t="s">
        <v>2827</v>
      </c>
      <c r="F181" s="24" t="s">
        <v>2282</v>
      </c>
      <c r="G181" s="25"/>
      <c r="H181" s="38" t="s">
        <v>5404</v>
      </c>
      <c r="O181" s="37" t="s">
        <v>5371</v>
      </c>
      <c r="P181" s="37" t="s">
        <v>1485</v>
      </c>
      <c r="Q181" s="37" t="s">
        <v>3506</v>
      </c>
      <c r="R181" s="37" t="s">
        <v>1792</v>
      </c>
      <c r="S181" s="10" t="s">
        <v>2433</v>
      </c>
      <c r="U181" s="21">
        <v>1</v>
      </c>
      <c r="V181" s="21">
        <v>1</v>
      </c>
      <c r="W181" s="73">
        <f t="shared" si="9"/>
        <v>123</v>
      </c>
      <c r="X181" s="80">
        <f t="shared" si="8"/>
        <v>548</v>
      </c>
      <c r="Y181" s="82" t="s">
        <v>3584</v>
      </c>
    </row>
    <row r="182" spans="1:29" ht="15.45" customHeight="1" x14ac:dyDescent="0.25">
      <c r="A182" s="29" t="s">
        <v>5405</v>
      </c>
      <c r="B182" s="24" t="s">
        <v>5406</v>
      </c>
      <c r="C182" s="37" t="s">
        <v>1211</v>
      </c>
      <c r="E182" s="37" t="s">
        <v>2827</v>
      </c>
      <c r="F182" s="24" t="s">
        <v>2280</v>
      </c>
      <c r="G182" s="25"/>
      <c r="P182" s="37" t="s">
        <v>197</v>
      </c>
      <c r="Q182" s="37" t="s">
        <v>5344</v>
      </c>
      <c r="R182" s="37" t="s">
        <v>3663</v>
      </c>
      <c r="S182" s="10" t="s">
        <v>2433</v>
      </c>
      <c r="U182" s="21">
        <v>1</v>
      </c>
      <c r="V182" s="21">
        <v>1</v>
      </c>
      <c r="W182" s="73">
        <f t="shared" si="9"/>
        <v>124</v>
      </c>
      <c r="X182" s="80">
        <f t="shared" si="8"/>
        <v>549</v>
      </c>
      <c r="Y182" s="82" t="s">
        <v>3584</v>
      </c>
    </row>
    <row r="183" spans="1:29" ht="15.45" customHeight="1" x14ac:dyDescent="0.25">
      <c r="A183" s="29" t="s">
        <v>1357</v>
      </c>
      <c r="C183" s="37" t="s">
        <v>1211</v>
      </c>
      <c r="E183" s="37" t="s">
        <v>2827</v>
      </c>
      <c r="F183" s="24" t="s">
        <v>2284</v>
      </c>
      <c r="G183" s="25"/>
      <c r="P183" s="37" t="s">
        <v>202</v>
      </c>
      <c r="Q183" s="37" t="s">
        <v>1998</v>
      </c>
      <c r="R183" s="37" t="s">
        <v>1792</v>
      </c>
      <c r="S183" s="10" t="s">
        <v>2433</v>
      </c>
      <c r="U183" s="21">
        <v>1</v>
      </c>
      <c r="V183" s="21">
        <v>1</v>
      </c>
      <c r="W183" s="73">
        <f t="shared" si="9"/>
        <v>125</v>
      </c>
      <c r="X183" s="80">
        <f t="shared" si="8"/>
        <v>550</v>
      </c>
      <c r="Y183" s="82" t="s">
        <v>3584</v>
      </c>
    </row>
    <row r="184" spans="1:29" ht="15.45" customHeight="1" x14ac:dyDescent="0.25">
      <c r="A184" s="29" t="s">
        <v>1466</v>
      </c>
      <c r="B184" s="24" t="s">
        <v>3678</v>
      </c>
      <c r="C184" s="37" t="s">
        <v>1211</v>
      </c>
      <c r="E184" s="37" t="s">
        <v>2827</v>
      </c>
      <c r="F184" s="24" t="s">
        <v>2280</v>
      </c>
      <c r="G184" s="25"/>
      <c r="J184" s="214" t="s">
        <v>3694</v>
      </c>
      <c r="K184" s="10" t="s">
        <v>3762</v>
      </c>
      <c r="P184" s="37" t="s">
        <v>284</v>
      </c>
      <c r="Q184" s="37" t="s">
        <v>1955</v>
      </c>
      <c r="R184" s="37" t="s">
        <v>1792</v>
      </c>
      <c r="S184" s="10" t="s">
        <v>2433</v>
      </c>
      <c r="U184" s="21">
        <v>1</v>
      </c>
      <c r="V184" s="21">
        <v>1</v>
      </c>
      <c r="W184" s="73">
        <f t="shared" si="9"/>
        <v>126</v>
      </c>
      <c r="X184" s="80">
        <f t="shared" si="8"/>
        <v>551</v>
      </c>
      <c r="Y184" s="82" t="s">
        <v>3584</v>
      </c>
    </row>
    <row r="185" spans="1:29" ht="15.45" customHeight="1" x14ac:dyDescent="0.25">
      <c r="A185" s="29" t="s">
        <v>1928</v>
      </c>
      <c r="C185" s="37" t="s">
        <v>1211</v>
      </c>
      <c r="E185" s="37" t="s">
        <v>2827</v>
      </c>
      <c r="F185" s="24" t="s">
        <v>2280</v>
      </c>
      <c r="G185" s="25"/>
      <c r="S185" s="10" t="s">
        <v>2433</v>
      </c>
      <c r="U185" s="21">
        <v>1</v>
      </c>
      <c r="V185" s="21">
        <v>1</v>
      </c>
      <c r="W185" s="73">
        <f t="shared" si="9"/>
        <v>127</v>
      </c>
      <c r="X185" s="80">
        <f t="shared" si="8"/>
        <v>552</v>
      </c>
      <c r="Y185" s="82" t="s">
        <v>3584</v>
      </c>
    </row>
    <row r="186" spans="1:29" ht="15.45" customHeight="1" x14ac:dyDescent="0.25">
      <c r="A186" s="29" t="s">
        <v>2291</v>
      </c>
      <c r="C186" s="37" t="s">
        <v>1211</v>
      </c>
      <c r="E186" s="37" t="s">
        <v>2827</v>
      </c>
      <c r="F186" s="24" t="s">
        <v>2280</v>
      </c>
      <c r="G186" s="25"/>
      <c r="S186" s="10" t="s">
        <v>2433</v>
      </c>
      <c r="U186" s="21">
        <v>2</v>
      </c>
      <c r="V186" s="21">
        <v>2</v>
      </c>
      <c r="W186" s="73">
        <f t="shared" si="9"/>
        <v>129</v>
      </c>
      <c r="X186" s="80">
        <f t="shared" si="8"/>
        <v>554</v>
      </c>
      <c r="Y186" s="82" t="s">
        <v>3584</v>
      </c>
    </row>
    <row r="187" spans="1:29" ht="15.45" customHeight="1" x14ac:dyDescent="0.25">
      <c r="A187" s="29" t="s">
        <v>93</v>
      </c>
      <c r="C187" s="37" t="s">
        <v>1211</v>
      </c>
      <c r="E187" s="37" t="s">
        <v>2827</v>
      </c>
      <c r="F187" s="24" t="s">
        <v>2280</v>
      </c>
      <c r="G187" s="25"/>
      <c r="O187" s="37" t="s">
        <v>5372</v>
      </c>
      <c r="P187" s="37" t="s">
        <v>1463</v>
      </c>
      <c r="Q187" s="37" t="s">
        <v>3506</v>
      </c>
      <c r="R187" s="37" t="s">
        <v>1792</v>
      </c>
      <c r="S187" s="10" t="s">
        <v>2433</v>
      </c>
      <c r="U187" s="21">
        <v>1</v>
      </c>
      <c r="V187" s="21">
        <v>1</v>
      </c>
      <c r="W187" s="73">
        <f t="shared" si="9"/>
        <v>130</v>
      </c>
      <c r="X187" s="80">
        <f t="shared" si="8"/>
        <v>555</v>
      </c>
      <c r="Y187" s="82" t="s">
        <v>3592</v>
      </c>
      <c r="Z187" s="24" t="s">
        <v>585</v>
      </c>
    </row>
    <row r="188" spans="1:29" ht="15.45" customHeight="1" x14ac:dyDescent="0.25">
      <c r="A188" s="29" t="s">
        <v>2290</v>
      </c>
      <c r="B188" s="24" t="s">
        <v>5718</v>
      </c>
      <c r="C188" s="37" t="s">
        <v>1211</v>
      </c>
      <c r="E188" s="37" t="s">
        <v>2827</v>
      </c>
      <c r="F188" s="24" t="s">
        <v>2280</v>
      </c>
      <c r="G188" s="25"/>
      <c r="H188" s="201" t="s">
        <v>5719</v>
      </c>
      <c r="J188" s="214" t="s">
        <v>5327</v>
      </c>
      <c r="O188" s="37" t="s">
        <v>5373</v>
      </c>
      <c r="P188" s="37" t="s">
        <v>546</v>
      </c>
      <c r="Q188" s="37" t="s">
        <v>3506</v>
      </c>
      <c r="R188" s="37" t="s">
        <v>1792</v>
      </c>
      <c r="S188" s="10" t="s">
        <v>2433</v>
      </c>
      <c r="U188" s="21">
        <v>1</v>
      </c>
      <c r="V188" s="21">
        <v>1</v>
      </c>
      <c r="W188" s="73">
        <f t="shared" si="9"/>
        <v>131</v>
      </c>
      <c r="X188" s="80">
        <f t="shared" si="8"/>
        <v>556</v>
      </c>
      <c r="Y188" s="82" t="s">
        <v>3591</v>
      </c>
      <c r="Z188" s="24" t="s">
        <v>2885</v>
      </c>
      <c r="AB188" s="177">
        <v>38791</v>
      </c>
      <c r="AC188" s="84" t="s">
        <v>2885</v>
      </c>
    </row>
    <row r="189" spans="1:29" ht="15.45" customHeight="1" x14ac:dyDescent="0.25">
      <c r="A189" s="29" t="s">
        <v>5928</v>
      </c>
      <c r="C189" s="37" t="s">
        <v>1211</v>
      </c>
      <c r="E189" s="37" t="s">
        <v>2827</v>
      </c>
      <c r="F189" s="24" t="s">
        <v>2280</v>
      </c>
      <c r="G189" s="25"/>
      <c r="H189" s="201" t="s">
        <v>5929</v>
      </c>
      <c r="J189" s="214" t="s">
        <v>5919</v>
      </c>
      <c r="O189" s="37" t="s">
        <v>2826</v>
      </c>
      <c r="Q189" s="37" t="s">
        <v>3506</v>
      </c>
      <c r="R189" s="37" t="s">
        <v>1792</v>
      </c>
      <c r="S189" s="10" t="s">
        <v>2983</v>
      </c>
      <c r="U189" s="21">
        <v>3</v>
      </c>
      <c r="V189" s="21">
        <v>3</v>
      </c>
      <c r="W189" s="73">
        <f t="shared" si="9"/>
        <v>134</v>
      </c>
      <c r="X189" s="80">
        <f t="shared" si="8"/>
        <v>559</v>
      </c>
      <c r="Y189" s="82" t="s">
        <v>3591</v>
      </c>
      <c r="Z189" s="24" t="s">
        <v>2885</v>
      </c>
      <c r="AB189" s="177">
        <v>44392</v>
      </c>
      <c r="AC189" s="84" t="s">
        <v>2885</v>
      </c>
    </row>
    <row r="190" spans="1:29" ht="15.45" customHeight="1" x14ac:dyDescent="0.25">
      <c r="A190" s="29" t="s">
        <v>1928</v>
      </c>
      <c r="C190" s="37" t="s">
        <v>1211</v>
      </c>
      <c r="E190" s="37" t="s">
        <v>2827</v>
      </c>
      <c r="F190" s="24" t="s">
        <v>2280</v>
      </c>
      <c r="G190" s="25"/>
      <c r="S190" s="10" t="s">
        <v>2433</v>
      </c>
      <c r="U190" s="21">
        <v>2</v>
      </c>
      <c r="V190" s="21">
        <v>2</v>
      </c>
      <c r="W190" s="73">
        <f t="shared" si="9"/>
        <v>136</v>
      </c>
      <c r="X190" s="80">
        <f t="shared" si="8"/>
        <v>561</v>
      </c>
      <c r="Y190" s="82" t="s">
        <v>3592</v>
      </c>
      <c r="Z190" s="24" t="s">
        <v>2884</v>
      </c>
    </row>
    <row r="191" spans="1:29" ht="15.45" customHeight="1" x14ac:dyDescent="0.25">
      <c r="A191" s="29" t="s">
        <v>700</v>
      </c>
      <c r="C191" s="37" t="s">
        <v>1211</v>
      </c>
      <c r="E191" s="37" t="s">
        <v>2827</v>
      </c>
      <c r="F191" s="24" t="s">
        <v>2280</v>
      </c>
      <c r="G191" s="25"/>
      <c r="O191" s="37" t="s">
        <v>2055</v>
      </c>
      <c r="P191" s="37" t="s">
        <v>2056</v>
      </c>
      <c r="Q191" s="37" t="s">
        <v>3506</v>
      </c>
      <c r="R191" s="37" t="s">
        <v>1792</v>
      </c>
      <c r="S191" s="10" t="s">
        <v>2433</v>
      </c>
      <c r="U191" s="21">
        <v>1</v>
      </c>
      <c r="V191" s="21">
        <v>1</v>
      </c>
      <c r="W191" s="73">
        <f t="shared" si="9"/>
        <v>137</v>
      </c>
      <c r="X191" s="80">
        <f t="shared" si="8"/>
        <v>562</v>
      </c>
      <c r="Y191" s="82" t="s">
        <v>3584</v>
      </c>
    </row>
    <row r="192" spans="1:29" ht="15.45" customHeight="1" x14ac:dyDescent="0.25">
      <c r="A192" s="29" t="s">
        <v>94</v>
      </c>
      <c r="C192" s="37" t="s">
        <v>1211</v>
      </c>
      <c r="E192" s="37" t="s">
        <v>2827</v>
      </c>
      <c r="F192" s="24" t="s">
        <v>2280</v>
      </c>
      <c r="G192" s="25"/>
      <c r="S192" s="10" t="s">
        <v>2433</v>
      </c>
      <c r="U192" s="21">
        <v>2</v>
      </c>
      <c r="V192" s="21">
        <v>2</v>
      </c>
      <c r="W192" s="73">
        <f t="shared" si="9"/>
        <v>139</v>
      </c>
      <c r="X192" s="80">
        <f t="shared" si="8"/>
        <v>564</v>
      </c>
      <c r="Y192" s="82" t="s">
        <v>3592</v>
      </c>
      <c r="Z192" s="24" t="s">
        <v>2884</v>
      </c>
    </row>
    <row r="193" spans="1:29" ht="15.45" customHeight="1" x14ac:dyDescent="0.25">
      <c r="A193" s="29" t="s">
        <v>1444</v>
      </c>
      <c r="C193" s="37" t="s">
        <v>1211</v>
      </c>
      <c r="E193" s="37" t="s">
        <v>2827</v>
      </c>
      <c r="F193" s="24" t="s">
        <v>2280</v>
      </c>
      <c r="G193" s="25"/>
      <c r="S193" s="10" t="s">
        <v>2433</v>
      </c>
      <c r="U193" s="21">
        <v>1</v>
      </c>
      <c r="V193" s="21">
        <v>1</v>
      </c>
      <c r="W193" s="73">
        <f t="shared" si="9"/>
        <v>140</v>
      </c>
      <c r="X193" s="80">
        <f t="shared" si="8"/>
        <v>565</v>
      </c>
      <c r="Y193" s="82" t="s">
        <v>3584</v>
      </c>
    </row>
    <row r="194" spans="1:29" ht="15.45" customHeight="1" x14ac:dyDescent="0.25">
      <c r="A194" s="29" t="s">
        <v>2054</v>
      </c>
      <c r="C194" s="37" t="s">
        <v>1211</v>
      </c>
      <c r="E194" s="37" t="s">
        <v>2827</v>
      </c>
      <c r="F194" s="24" t="s">
        <v>2280</v>
      </c>
      <c r="G194" s="25"/>
      <c r="P194" s="37" t="s">
        <v>4964</v>
      </c>
      <c r="Q194" s="37" t="s">
        <v>3506</v>
      </c>
      <c r="R194" s="37" t="s">
        <v>1792</v>
      </c>
      <c r="S194" s="10" t="s">
        <v>2433</v>
      </c>
      <c r="U194" s="21">
        <v>1</v>
      </c>
      <c r="V194" s="21">
        <v>1</v>
      </c>
      <c r="W194" s="73">
        <f t="shared" si="9"/>
        <v>141</v>
      </c>
      <c r="X194" s="80">
        <f t="shared" si="8"/>
        <v>566</v>
      </c>
      <c r="Y194" s="82" t="s">
        <v>3591</v>
      </c>
      <c r="Z194" s="24" t="s">
        <v>6238</v>
      </c>
      <c r="AA194" s="177">
        <v>44509</v>
      </c>
    </row>
    <row r="195" spans="1:29" ht="15.45" customHeight="1" x14ac:dyDescent="0.25">
      <c r="A195" s="29" t="s">
        <v>1445</v>
      </c>
      <c r="C195" s="37" t="s">
        <v>1211</v>
      </c>
      <c r="E195" s="37" t="s">
        <v>2827</v>
      </c>
      <c r="F195" s="24" t="s">
        <v>2280</v>
      </c>
      <c r="G195" s="25"/>
      <c r="P195" s="37" t="s">
        <v>701</v>
      </c>
      <c r="Q195" s="37" t="s">
        <v>3506</v>
      </c>
      <c r="R195" s="37" t="s">
        <v>1792</v>
      </c>
      <c r="S195" s="10" t="s">
        <v>2433</v>
      </c>
      <c r="U195" s="21">
        <v>6</v>
      </c>
      <c r="V195" s="21">
        <v>6</v>
      </c>
      <c r="W195" s="73">
        <f t="shared" si="9"/>
        <v>147</v>
      </c>
      <c r="X195" s="80">
        <f t="shared" si="8"/>
        <v>572</v>
      </c>
      <c r="Y195" s="82" t="s">
        <v>3592</v>
      </c>
      <c r="Z195" s="24" t="s">
        <v>2884</v>
      </c>
    </row>
    <row r="196" spans="1:29" ht="15.45" customHeight="1" x14ac:dyDescent="0.25">
      <c r="A196" s="29" t="s">
        <v>2276</v>
      </c>
      <c r="B196" s="24" t="s">
        <v>5407</v>
      </c>
      <c r="C196" s="37" t="s">
        <v>1211</v>
      </c>
      <c r="E196" s="37" t="s">
        <v>2827</v>
      </c>
      <c r="F196" s="24" t="s">
        <v>2280</v>
      </c>
      <c r="G196" s="25"/>
      <c r="H196" s="38" t="s">
        <v>7159</v>
      </c>
      <c r="I196" s="111" t="s">
        <v>4959</v>
      </c>
      <c r="P196" s="37" t="s">
        <v>4964</v>
      </c>
      <c r="Q196" s="37" t="s">
        <v>3506</v>
      </c>
      <c r="R196" s="37" t="s">
        <v>1792</v>
      </c>
      <c r="S196" s="10" t="s">
        <v>2433</v>
      </c>
      <c r="U196" s="21">
        <v>1</v>
      </c>
      <c r="V196" s="21">
        <v>1</v>
      </c>
      <c r="W196" s="73">
        <f t="shared" si="9"/>
        <v>148</v>
      </c>
      <c r="X196" s="80">
        <f t="shared" si="8"/>
        <v>573</v>
      </c>
      <c r="Y196" s="82" t="s">
        <v>3584</v>
      </c>
    </row>
    <row r="197" spans="1:29" ht="15.45" customHeight="1" x14ac:dyDescent="0.25">
      <c r="A197" s="29" t="s">
        <v>4965</v>
      </c>
      <c r="C197" s="37" t="s">
        <v>1211</v>
      </c>
      <c r="E197" s="37" t="s">
        <v>2827</v>
      </c>
      <c r="F197" s="24" t="s">
        <v>2280</v>
      </c>
      <c r="G197" s="25"/>
      <c r="H197" s="38" t="s">
        <v>4966</v>
      </c>
      <c r="J197" s="214" t="s">
        <v>4962</v>
      </c>
      <c r="K197" s="10" t="s">
        <v>4963</v>
      </c>
      <c r="P197" s="37" t="s">
        <v>4964</v>
      </c>
      <c r="Q197" s="37" t="s">
        <v>3506</v>
      </c>
      <c r="R197" s="37" t="s">
        <v>1792</v>
      </c>
      <c r="S197" s="10" t="s">
        <v>3412</v>
      </c>
      <c r="T197" s="10" t="s">
        <v>4960</v>
      </c>
      <c r="U197" s="21">
        <v>1</v>
      </c>
      <c r="V197" s="21">
        <v>1</v>
      </c>
      <c r="W197" s="73">
        <f t="shared" si="9"/>
        <v>149</v>
      </c>
      <c r="X197" s="80">
        <f t="shared" si="8"/>
        <v>574</v>
      </c>
      <c r="Y197" s="82" t="s">
        <v>3591</v>
      </c>
      <c r="Z197" s="24" t="s">
        <v>4961</v>
      </c>
      <c r="AB197" s="177">
        <v>43628</v>
      </c>
      <c r="AC197" s="84" t="s">
        <v>2885</v>
      </c>
    </row>
    <row r="198" spans="1:29" ht="15.45" customHeight="1" x14ac:dyDescent="0.25">
      <c r="A198" s="29" t="s">
        <v>1106</v>
      </c>
      <c r="C198" s="37" t="s">
        <v>1211</v>
      </c>
      <c r="E198" s="37" t="s">
        <v>2827</v>
      </c>
      <c r="F198" s="24" t="s">
        <v>2280</v>
      </c>
      <c r="G198" s="25"/>
      <c r="S198" s="10" t="s">
        <v>2433</v>
      </c>
      <c r="U198" s="21">
        <v>1</v>
      </c>
      <c r="V198" s="21">
        <v>1</v>
      </c>
      <c r="W198" s="73">
        <f t="shared" si="9"/>
        <v>150</v>
      </c>
      <c r="X198" s="80">
        <f t="shared" si="8"/>
        <v>575</v>
      </c>
      <c r="Y198" s="82" t="s">
        <v>3584</v>
      </c>
    </row>
    <row r="199" spans="1:29" ht="15.45" customHeight="1" x14ac:dyDescent="0.25">
      <c r="A199" s="29" t="s">
        <v>39</v>
      </c>
      <c r="C199" s="37" t="s">
        <v>35</v>
      </c>
      <c r="E199" s="37" t="s">
        <v>2827</v>
      </c>
      <c r="F199" s="24" t="s">
        <v>2280</v>
      </c>
      <c r="G199" s="25"/>
      <c r="O199" s="37" t="s">
        <v>5488</v>
      </c>
      <c r="P199" s="37" t="s">
        <v>5489</v>
      </c>
      <c r="Q199" s="37" t="s">
        <v>5344</v>
      </c>
      <c r="R199" s="37" t="s">
        <v>3663</v>
      </c>
      <c r="S199" s="10" t="s">
        <v>2433</v>
      </c>
      <c r="U199" s="21">
        <v>1</v>
      </c>
      <c r="V199" s="21">
        <v>1</v>
      </c>
      <c r="W199" s="73">
        <f t="shared" si="9"/>
        <v>151</v>
      </c>
      <c r="X199" s="80">
        <f t="shared" si="8"/>
        <v>576</v>
      </c>
      <c r="Y199" s="82" t="s">
        <v>3592</v>
      </c>
      <c r="Z199" s="24" t="s">
        <v>37</v>
      </c>
    </row>
    <row r="200" spans="1:29" ht="15.45" customHeight="1" x14ac:dyDescent="0.25">
      <c r="A200" s="29" t="s">
        <v>1107</v>
      </c>
      <c r="C200" s="37" t="s">
        <v>1211</v>
      </c>
      <c r="E200" s="37" t="s">
        <v>2827</v>
      </c>
      <c r="F200" s="24" t="s">
        <v>2280</v>
      </c>
      <c r="G200" s="25"/>
      <c r="P200" s="37" t="s">
        <v>220</v>
      </c>
      <c r="S200" s="10" t="s">
        <v>2433</v>
      </c>
      <c r="U200" s="21">
        <v>8</v>
      </c>
      <c r="V200" s="21">
        <v>8</v>
      </c>
      <c r="W200" s="73">
        <f t="shared" si="9"/>
        <v>159</v>
      </c>
      <c r="X200" s="80">
        <f t="shared" si="8"/>
        <v>584</v>
      </c>
      <c r="Y200" s="82" t="s">
        <v>3584</v>
      </c>
    </row>
    <row r="201" spans="1:29" ht="15.45" customHeight="1" x14ac:dyDescent="0.25">
      <c r="A201" s="29" t="s">
        <v>1107</v>
      </c>
      <c r="B201" s="24" t="s">
        <v>5408</v>
      </c>
      <c r="E201" s="37" t="s">
        <v>2928</v>
      </c>
      <c r="F201" s="24" t="s">
        <v>3677</v>
      </c>
      <c r="G201" s="25"/>
      <c r="J201" s="214" t="s">
        <v>3694</v>
      </c>
      <c r="K201" s="10" t="s">
        <v>3699</v>
      </c>
      <c r="Q201" s="37" t="s">
        <v>1783</v>
      </c>
      <c r="R201" s="37" t="s">
        <v>1792</v>
      </c>
      <c r="S201" s="10" t="s">
        <v>3412</v>
      </c>
      <c r="U201" s="21">
        <v>1</v>
      </c>
      <c r="V201" s="21">
        <v>1</v>
      </c>
      <c r="W201" s="73">
        <f t="shared" si="9"/>
        <v>160</v>
      </c>
      <c r="X201" s="80">
        <f t="shared" si="8"/>
        <v>585</v>
      </c>
      <c r="Y201" s="82" t="s">
        <v>3584</v>
      </c>
      <c r="AB201" s="177">
        <v>43193</v>
      </c>
      <c r="AC201" s="84" t="s">
        <v>2885</v>
      </c>
    </row>
    <row r="202" spans="1:29" ht="15.45" customHeight="1" x14ac:dyDescent="0.25">
      <c r="A202" s="29" t="s">
        <v>1896</v>
      </c>
      <c r="C202" s="37" t="s">
        <v>1211</v>
      </c>
      <c r="E202" s="37" t="s">
        <v>2827</v>
      </c>
      <c r="F202" s="24" t="s">
        <v>2280</v>
      </c>
      <c r="G202" s="25"/>
      <c r="P202" s="37" t="s">
        <v>5345</v>
      </c>
      <c r="Q202" s="37" t="s">
        <v>3506</v>
      </c>
      <c r="R202" s="37" t="s">
        <v>1792</v>
      </c>
      <c r="S202" s="10" t="s">
        <v>2433</v>
      </c>
      <c r="U202" s="21">
        <v>1</v>
      </c>
      <c r="V202" s="21">
        <v>1</v>
      </c>
      <c r="W202" s="73">
        <f t="shared" si="9"/>
        <v>161</v>
      </c>
      <c r="X202" s="80">
        <f t="shared" si="8"/>
        <v>586</v>
      </c>
      <c r="Y202" s="82" t="s">
        <v>3584</v>
      </c>
    </row>
    <row r="203" spans="1:29" ht="15.45" customHeight="1" x14ac:dyDescent="0.25">
      <c r="A203" s="29" t="s">
        <v>1897</v>
      </c>
      <c r="C203" s="37" t="s">
        <v>1211</v>
      </c>
      <c r="E203" s="37" t="s">
        <v>2827</v>
      </c>
      <c r="F203" s="24" t="s">
        <v>2280</v>
      </c>
      <c r="G203" s="25"/>
      <c r="S203" s="10" t="s">
        <v>2433</v>
      </c>
      <c r="U203" s="21">
        <v>2</v>
      </c>
      <c r="V203" s="21">
        <v>2</v>
      </c>
      <c r="W203" s="73">
        <f t="shared" si="9"/>
        <v>163</v>
      </c>
      <c r="X203" s="80">
        <f t="shared" si="8"/>
        <v>588</v>
      </c>
      <c r="Y203" s="82" t="s">
        <v>3584</v>
      </c>
    </row>
    <row r="204" spans="1:29" ht="15.45" customHeight="1" x14ac:dyDescent="0.25">
      <c r="A204" s="29" t="s">
        <v>3860</v>
      </c>
      <c r="B204" s="24" t="s">
        <v>5409</v>
      </c>
      <c r="C204" s="37" t="s">
        <v>1211</v>
      </c>
      <c r="E204" s="37" t="s">
        <v>2827</v>
      </c>
      <c r="F204" s="24" t="s">
        <v>2279</v>
      </c>
      <c r="G204" s="25"/>
      <c r="P204" s="37" t="s">
        <v>285</v>
      </c>
      <c r="Q204" s="37" t="s">
        <v>1644</v>
      </c>
      <c r="R204" s="37" t="s">
        <v>3664</v>
      </c>
      <c r="S204" s="10" t="s">
        <v>2433</v>
      </c>
      <c r="U204" s="21">
        <v>1</v>
      </c>
      <c r="V204" s="21">
        <v>1</v>
      </c>
      <c r="W204" s="73">
        <f t="shared" si="9"/>
        <v>164</v>
      </c>
      <c r="X204" s="80">
        <f t="shared" si="8"/>
        <v>589</v>
      </c>
      <c r="Y204" s="82" t="s">
        <v>3584</v>
      </c>
    </row>
    <row r="205" spans="1:29" ht="15.45" customHeight="1" x14ac:dyDescent="0.25">
      <c r="A205" s="29" t="s">
        <v>5410</v>
      </c>
      <c r="B205" s="24" t="s">
        <v>3860</v>
      </c>
      <c r="C205" s="37" t="s">
        <v>1211</v>
      </c>
      <c r="E205" s="37" t="s">
        <v>2827</v>
      </c>
      <c r="F205" s="24" t="s">
        <v>2279</v>
      </c>
      <c r="G205" s="25"/>
      <c r="Q205" s="37" t="s">
        <v>1644</v>
      </c>
      <c r="R205" s="37" t="s">
        <v>3664</v>
      </c>
      <c r="S205" s="10" t="s">
        <v>2433</v>
      </c>
      <c r="U205" s="21">
        <v>1</v>
      </c>
      <c r="V205" s="21">
        <v>1</v>
      </c>
      <c r="W205" s="73">
        <f t="shared" si="9"/>
        <v>165</v>
      </c>
      <c r="X205" s="80">
        <f t="shared" si="8"/>
        <v>590</v>
      </c>
      <c r="Y205" s="82" t="s">
        <v>3584</v>
      </c>
    </row>
    <row r="206" spans="1:29" ht="15.45" customHeight="1" x14ac:dyDescent="0.25">
      <c r="A206" s="29" t="s">
        <v>0</v>
      </c>
      <c r="C206" s="37" t="s">
        <v>35</v>
      </c>
      <c r="E206" s="37" t="s">
        <v>2827</v>
      </c>
      <c r="F206" s="24" t="s">
        <v>2279</v>
      </c>
      <c r="G206" s="25"/>
      <c r="O206" s="37" t="s">
        <v>5490</v>
      </c>
      <c r="P206" s="37" t="s">
        <v>5491</v>
      </c>
      <c r="Q206" s="37" t="s">
        <v>5344</v>
      </c>
      <c r="R206" s="37" t="s">
        <v>3663</v>
      </c>
      <c r="S206" s="10" t="s">
        <v>2433</v>
      </c>
      <c r="U206" s="21">
        <v>1</v>
      </c>
      <c r="V206" s="21">
        <v>1</v>
      </c>
      <c r="W206" s="73">
        <f t="shared" si="9"/>
        <v>166</v>
      </c>
      <c r="X206" s="80">
        <f t="shared" si="8"/>
        <v>591</v>
      </c>
      <c r="Y206" s="82" t="s">
        <v>3592</v>
      </c>
      <c r="Z206" s="24" t="s">
        <v>37</v>
      </c>
    </row>
    <row r="207" spans="1:29" ht="15.45" customHeight="1" x14ac:dyDescent="0.25">
      <c r="A207" s="29" t="s">
        <v>3859</v>
      </c>
      <c r="B207" s="24" t="s">
        <v>7192</v>
      </c>
      <c r="C207" s="37" t="s">
        <v>1211</v>
      </c>
      <c r="E207" s="37" t="s">
        <v>2827</v>
      </c>
      <c r="F207" s="24" t="s">
        <v>2279</v>
      </c>
      <c r="G207" s="25"/>
      <c r="O207" s="37" t="s">
        <v>5492</v>
      </c>
      <c r="P207" s="37" t="s">
        <v>1463</v>
      </c>
      <c r="Q207" s="37" t="s">
        <v>3506</v>
      </c>
      <c r="R207" s="37" t="s">
        <v>1792</v>
      </c>
      <c r="S207" s="10" t="s">
        <v>2433</v>
      </c>
      <c r="U207" s="21">
        <v>3</v>
      </c>
      <c r="V207" s="21">
        <v>3</v>
      </c>
      <c r="W207" s="73">
        <f t="shared" si="9"/>
        <v>169</v>
      </c>
      <c r="X207" s="80">
        <f t="shared" si="8"/>
        <v>594</v>
      </c>
      <c r="Y207" s="82" t="s">
        <v>3592</v>
      </c>
      <c r="Z207" s="24" t="s">
        <v>2884</v>
      </c>
    </row>
    <row r="208" spans="1:29" ht="15.45" customHeight="1" x14ac:dyDescent="0.25">
      <c r="A208" s="29" t="s">
        <v>1299</v>
      </c>
      <c r="C208" s="37" t="s">
        <v>1211</v>
      </c>
      <c r="E208" s="37" t="s">
        <v>2827</v>
      </c>
      <c r="F208" s="24" t="s">
        <v>2279</v>
      </c>
      <c r="G208" s="25"/>
      <c r="J208" s="214" t="s">
        <v>3691</v>
      </c>
      <c r="K208" s="10" t="s">
        <v>3717</v>
      </c>
      <c r="O208" s="37" t="s">
        <v>5492</v>
      </c>
      <c r="P208" s="37" t="s">
        <v>1463</v>
      </c>
      <c r="Q208" s="37" t="s">
        <v>3506</v>
      </c>
      <c r="R208" s="37" t="s">
        <v>1792</v>
      </c>
      <c r="S208" s="10" t="s">
        <v>2433</v>
      </c>
      <c r="U208" s="21">
        <v>3</v>
      </c>
      <c r="V208" s="21">
        <v>3</v>
      </c>
      <c r="W208" s="73">
        <f t="shared" si="9"/>
        <v>172</v>
      </c>
      <c r="X208" s="80">
        <f t="shared" si="8"/>
        <v>597</v>
      </c>
      <c r="Y208" s="82" t="s">
        <v>3584</v>
      </c>
    </row>
    <row r="209" spans="1:29" ht="15.45" customHeight="1" x14ac:dyDescent="0.25">
      <c r="A209" s="29" t="s">
        <v>95</v>
      </c>
      <c r="C209" s="37" t="s">
        <v>1211</v>
      </c>
      <c r="E209" s="37" t="s">
        <v>2827</v>
      </c>
      <c r="F209" s="24" t="s">
        <v>2279</v>
      </c>
      <c r="G209" s="25"/>
      <c r="O209" s="37" t="s">
        <v>5352</v>
      </c>
      <c r="P209" s="37" t="s">
        <v>5351</v>
      </c>
      <c r="Q209" s="37" t="s">
        <v>3506</v>
      </c>
      <c r="R209" s="37" t="s">
        <v>1792</v>
      </c>
      <c r="S209" s="10" t="s">
        <v>2433</v>
      </c>
      <c r="U209" s="21">
        <v>1</v>
      </c>
      <c r="V209" s="21">
        <v>1</v>
      </c>
      <c r="W209" s="73">
        <f t="shared" si="9"/>
        <v>173</v>
      </c>
      <c r="X209" s="80">
        <f t="shared" si="8"/>
        <v>598</v>
      </c>
      <c r="Y209" s="82" t="s">
        <v>3591</v>
      </c>
      <c r="Z209" s="24" t="s">
        <v>2887</v>
      </c>
    </row>
    <row r="210" spans="1:29" ht="15.45" customHeight="1" x14ac:dyDescent="0.25">
      <c r="A210" s="29" t="s">
        <v>3880</v>
      </c>
      <c r="B210" s="24" t="s">
        <v>3857</v>
      </c>
      <c r="C210" s="37" t="s">
        <v>1211</v>
      </c>
      <c r="E210" s="37" t="s">
        <v>2827</v>
      </c>
      <c r="F210" s="24" t="s">
        <v>2279</v>
      </c>
      <c r="G210" s="25"/>
      <c r="H210" s="38" t="s">
        <v>3858</v>
      </c>
      <c r="J210" s="214" t="s">
        <v>3694</v>
      </c>
      <c r="K210" s="10" t="s">
        <v>3699</v>
      </c>
      <c r="P210" s="37" t="s">
        <v>418</v>
      </c>
      <c r="Q210" s="37" t="s">
        <v>5346</v>
      </c>
      <c r="R210" s="37" t="s">
        <v>1792</v>
      </c>
      <c r="S210" s="10" t="s">
        <v>2433</v>
      </c>
      <c r="U210" s="21">
        <v>1</v>
      </c>
      <c r="V210" s="21">
        <v>1</v>
      </c>
      <c r="W210" s="73">
        <f t="shared" si="9"/>
        <v>174</v>
      </c>
      <c r="X210" s="80">
        <f t="shared" si="8"/>
        <v>599</v>
      </c>
      <c r="Y210" s="82" t="s">
        <v>3584</v>
      </c>
    </row>
    <row r="211" spans="1:29" ht="15.45" customHeight="1" x14ac:dyDescent="0.25">
      <c r="A211" s="29" t="s">
        <v>3853</v>
      </c>
      <c r="C211" s="37" t="s">
        <v>1211</v>
      </c>
      <c r="E211" s="37" t="s">
        <v>2827</v>
      </c>
      <c r="F211" s="24" t="s">
        <v>2279</v>
      </c>
      <c r="G211" s="25"/>
      <c r="H211" s="38" t="s">
        <v>3854</v>
      </c>
      <c r="S211" s="10" t="s">
        <v>2433</v>
      </c>
      <c r="U211" s="21">
        <v>1</v>
      </c>
      <c r="V211" s="21">
        <v>1</v>
      </c>
      <c r="W211" s="73">
        <f t="shared" si="9"/>
        <v>175</v>
      </c>
      <c r="X211" s="80">
        <f t="shared" si="8"/>
        <v>600</v>
      </c>
      <c r="Y211" s="82" t="s">
        <v>3591</v>
      </c>
      <c r="Z211" s="24" t="s">
        <v>6238</v>
      </c>
      <c r="AA211" s="177">
        <v>44509</v>
      </c>
    </row>
    <row r="212" spans="1:29" ht="15.45" customHeight="1" x14ac:dyDescent="0.25">
      <c r="A212" s="29" t="s">
        <v>1299</v>
      </c>
      <c r="C212" s="37" t="s">
        <v>1211</v>
      </c>
      <c r="E212" s="37" t="s">
        <v>2827</v>
      </c>
      <c r="F212" s="24" t="s">
        <v>2279</v>
      </c>
      <c r="G212" s="25"/>
      <c r="P212" s="37" t="s">
        <v>2036</v>
      </c>
      <c r="R212" s="37" t="s">
        <v>1792</v>
      </c>
      <c r="S212" s="10" t="s">
        <v>2433</v>
      </c>
      <c r="U212" s="21">
        <v>1</v>
      </c>
      <c r="V212" s="21">
        <v>1</v>
      </c>
      <c r="W212" s="73">
        <f t="shared" si="9"/>
        <v>176</v>
      </c>
      <c r="X212" s="80">
        <f t="shared" si="8"/>
        <v>601</v>
      </c>
      <c r="Y212" s="82" t="s">
        <v>3591</v>
      </c>
      <c r="Z212" s="24" t="s">
        <v>6238</v>
      </c>
      <c r="AA212" s="177">
        <v>44509</v>
      </c>
    </row>
    <row r="213" spans="1:29" ht="15.45" customHeight="1" x14ac:dyDescent="0.25">
      <c r="A213" s="29" t="s">
        <v>3855</v>
      </c>
      <c r="C213" s="37" t="s">
        <v>1211</v>
      </c>
      <c r="E213" s="37" t="s">
        <v>2827</v>
      </c>
      <c r="F213" s="24" t="s">
        <v>2279</v>
      </c>
      <c r="G213" s="25"/>
      <c r="H213" s="38" t="s">
        <v>3849</v>
      </c>
      <c r="P213" s="37" t="s">
        <v>5343</v>
      </c>
      <c r="Q213" s="37" t="s">
        <v>417</v>
      </c>
      <c r="R213" s="37" t="s">
        <v>2014</v>
      </c>
      <c r="S213" s="10" t="s">
        <v>2433</v>
      </c>
      <c r="U213" s="21">
        <v>1</v>
      </c>
      <c r="V213" s="21">
        <v>1</v>
      </c>
      <c r="W213" s="73">
        <f t="shared" si="9"/>
        <v>177</v>
      </c>
      <c r="X213" s="80">
        <f t="shared" si="8"/>
        <v>602</v>
      </c>
      <c r="Y213" s="82" t="s">
        <v>3592</v>
      </c>
      <c r="Z213" s="24" t="s">
        <v>2888</v>
      </c>
    </row>
    <row r="214" spans="1:29" ht="15.45" customHeight="1" x14ac:dyDescent="0.25">
      <c r="A214" s="29" t="s">
        <v>3856</v>
      </c>
      <c r="C214" s="37" t="s">
        <v>1211</v>
      </c>
      <c r="E214" s="37" t="s">
        <v>2827</v>
      </c>
      <c r="F214" s="24" t="s">
        <v>2279</v>
      </c>
      <c r="G214" s="25"/>
      <c r="H214" s="38" t="s">
        <v>3850</v>
      </c>
      <c r="Q214" s="37" t="s">
        <v>1849</v>
      </c>
      <c r="R214" s="37" t="s">
        <v>1811</v>
      </c>
      <c r="S214" s="10" t="s">
        <v>2433</v>
      </c>
      <c r="U214" s="21">
        <v>1</v>
      </c>
      <c r="V214" s="21">
        <v>1</v>
      </c>
      <c r="W214" s="73">
        <f t="shared" si="9"/>
        <v>178</v>
      </c>
      <c r="X214" s="80">
        <f t="shared" si="8"/>
        <v>603</v>
      </c>
      <c r="Y214" s="82" t="s">
        <v>3592</v>
      </c>
      <c r="Z214" s="24" t="s">
        <v>2888</v>
      </c>
    </row>
    <row r="215" spans="1:29" ht="15.45" customHeight="1" x14ac:dyDescent="0.25">
      <c r="A215" s="29" t="s">
        <v>3851</v>
      </c>
      <c r="C215" s="37" t="s">
        <v>1211</v>
      </c>
      <c r="E215" s="37" t="s">
        <v>2827</v>
      </c>
      <c r="F215" s="24" t="s">
        <v>2279</v>
      </c>
      <c r="G215" s="25"/>
      <c r="H215" s="38" t="s">
        <v>3852</v>
      </c>
      <c r="O215" s="37" t="s">
        <v>696</v>
      </c>
      <c r="P215" s="37" t="s">
        <v>4527</v>
      </c>
      <c r="Q215" s="37" t="s">
        <v>3506</v>
      </c>
      <c r="R215" s="37" t="s">
        <v>1792</v>
      </c>
      <c r="S215" s="10" t="s">
        <v>2433</v>
      </c>
      <c r="U215" s="21">
        <v>1</v>
      </c>
      <c r="V215" s="21">
        <v>1</v>
      </c>
      <c r="W215" s="73">
        <f t="shared" si="9"/>
        <v>179</v>
      </c>
      <c r="X215" s="80">
        <f t="shared" si="8"/>
        <v>604</v>
      </c>
      <c r="Y215" s="82" t="s">
        <v>3592</v>
      </c>
      <c r="Z215" s="24" t="s">
        <v>2884</v>
      </c>
    </row>
    <row r="216" spans="1:29" ht="15.45" customHeight="1" x14ac:dyDescent="0.25">
      <c r="A216" s="29" t="s">
        <v>1790</v>
      </c>
      <c r="C216" s="37" t="s">
        <v>1211</v>
      </c>
      <c r="E216" s="37" t="s">
        <v>2827</v>
      </c>
      <c r="F216" s="24" t="s">
        <v>2281</v>
      </c>
      <c r="G216" s="25"/>
      <c r="O216" s="37" t="s">
        <v>696</v>
      </c>
      <c r="P216" s="37" t="s">
        <v>4527</v>
      </c>
      <c r="Q216" s="37" t="s">
        <v>3506</v>
      </c>
      <c r="R216" s="37" t="s">
        <v>1792</v>
      </c>
      <c r="S216" s="10" t="s">
        <v>2433</v>
      </c>
      <c r="U216" s="21">
        <v>2</v>
      </c>
      <c r="V216" s="21">
        <v>2</v>
      </c>
      <c r="W216" s="73">
        <f t="shared" si="9"/>
        <v>181</v>
      </c>
      <c r="X216" s="80">
        <f t="shared" si="8"/>
        <v>606</v>
      </c>
      <c r="Y216" s="82" t="s">
        <v>3584</v>
      </c>
    </row>
    <row r="217" spans="1:29" ht="17.25" customHeight="1" x14ac:dyDescent="0.25">
      <c r="A217" s="29" t="s">
        <v>7296</v>
      </c>
      <c r="B217" s="24" t="s">
        <v>7294</v>
      </c>
      <c r="C217" s="37" t="s">
        <v>1211</v>
      </c>
      <c r="E217" s="37" t="s">
        <v>2827</v>
      </c>
      <c r="F217" s="24" t="s">
        <v>2281</v>
      </c>
      <c r="H217" s="38" t="s">
        <v>5411</v>
      </c>
      <c r="S217" s="10" t="s">
        <v>2433</v>
      </c>
      <c r="U217" s="21">
        <v>1</v>
      </c>
      <c r="V217" s="21">
        <v>1</v>
      </c>
      <c r="W217" s="73">
        <f t="shared" si="9"/>
        <v>182</v>
      </c>
      <c r="X217" s="80">
        <f t="shared" si="8"/>
        <v>607</v>
      </c>
      <c r="Y217" s="82" t="s">
        <v>3584</v>
      </c>
    </row>
    <row r="218" spans="1:29" ht="15.45" customHeight="1" x14ac:dyDescent="0.25">
      <c r="A218" s="29" t="s">
        <v>7293</v>
      </c>
      <c r="B218" s="24" t="s">
        <v>7294</v>
      </c>
      <c r="C218" s="37" t="s">
        <v>1211</v>
      </c>
      <c r="E218" s="37" t="s">
        <v>2827</v>
      </c>
      <c r="F218" s="24" t="s">
        <v>2279</v>
      </c>
      <c r="G218" s="25"/>
      <c r="O218" s="37" t="s">
        <v>696</v>
      </c>
      <c r="P218" s="37" t="s">
        <v>4527</v>
      </c>
      <c r="Q218" s="37" t="s">
        <v>3506</v>
      </c>
      <c r="R218" s="37" t="s">
        <v>1792</v>
      </c>
      <c r="S218" s="10" t="s">
        <v>2433</v>
      </c>
      <c r="U218" s="21">
        <v>1</v>
      </c>
      <c r="V218" s="21">
        <v>1</v>
      </c>
      <c r="W218" s="73">
        <f t="shared" si="9"/>
        <v>183</v>
      </c>
      <c r="X218" s="80">
        <f t="shared" si="8"/>
        <v>608</v>
      </c>
      <c r="Y218" s="82" t="s">
        <v>3592</v>
      </c>
      <c r="Z218" s="24" t="s">
        <v>218</v>
      </c>
    </row>
    <row r="219" spans="1:29" ht="15.45" customHeight="1" x14ac:dyDescent="0.25">
      <c r="A219" s="29" t="s">
        <v>7295</v>
      </c>
      <c r="B219" s="24" t="s">
        <v>7297</v>
      </c>
      <c r="C219" s="37" t="s">
        <v>1211</v>
      </c>
      <c r="E219" s="37" t="s">
        <v>2827</v>
      </c>
      <c r="F219" s="24" t="s">
        <v>2279</v>
      </c>
      <c r="G219" s="25"/>
      <c r="H219" s="38" t="s">
        <v>3881</v>
      </c>
      <c r="O219" s="37" t="s">
        <v>696</v>
      </c>
      <c r="P219" s="37" t="s">
        <v>4527</v>
      </c>
      <c r="Q219" s="37" t="s">
        <v>3506</v>
      </c>
      <c r="R219" s="37" t="s">
        <v>1792</v>
      </c>
      <c r="S219" s="10" t="s">
        <v>2433</v>
      </c>
      <c r="U219" s="21">
        <v>3</v>
      </c>
      <c r="V219" s="21">
        <v>3</v>
      </c>
      <c r="W219" s="73">
        <f t="shared" si="9"/>
        <v>186</v>
      </c>
      <c r="X219" s="80">
        <f t="shared" si="8"/>
        <v>611</v>
      </c>
      <c r="Y219" s="82" t="s">
        <v>3592</v>
      </c>
      <c r="Z219" s="24" t="s">
        <v>2884</v>
      </c>
    </row>
    <row r="220" spans="1:29" ht="15.45" customHeight="1" x14ac:dyDescent="0.25">
      <c r="A220" s="29" t="s">
        <v>5900</v>
      </c>
      <c r="B220" s="24" t="s">
        <v>7297</v>
      </c>
      <c r="C220" s="37" t="s">
        <v>1211</v>
      </c>
      <c r="E220" s="37" t="s">
        <v>2827</v>
      </c>
      <c r="F220" s="24" t="s">
        <v>2279</v>
      </c>
      <c r="G220" s="25"/>
      <c r="H220" s="201" t="s">
        <v>5901</v>
      </c>
      <c r="J220" s="234">
        <v>1979</v>
      </c>
      <c r="O220" s="37" t="s">
        <v>696</v>
      </c>
      <c r="P220" s="37" t="s">
        <v>4527</v>
      </c>
      <c r="Q220" s="37" t="s">
        <v>3506</v>
      </c>
      <c r="R220" s="37" t="s">
        <v>1792</v>
      </c>
      <c r="S220" s="10" t="s">
        <v>2433</v>
      </c>
      <c r="U220" s="21">
        <v>1</v>
      </c>
      <c r="V220" s="21">
        <v>1</v>
      </c>
      <c r="W220" s="73">
        <f t="shared" si="9"/>
        <v>187</v>
      </c>
      <c r="X220" s="80">
        <f t="shared" si="8"/>
        <v>612</v>
      </c>
      <c r="Y220" s="82" t="s">
        <v>3591</v>
      </c>
      <c r="Z220" s="24" t="s">
        <v>2885</v>
      </c>
      <c r="AB220" s="177">
        <v>44270</v>
      </c>
      <c r="AC220" s="84" t="s">
        <v>2885</v>
      </c>
    </row>
    <row r="221" spans="1:29" ht="15.45" customHeight="1" x14ac:dyDescent="0.25">
      <c r="A221" s="29" t="s">
        <v>7292</v>
      </c>
      <c r="B221" s="208" t="s">
        <v>7285</v>
      </c>
      <c r="C221" s="37" t="s">
        <v>1211</v>
      </c>
      <c r="E221" s="37" t="s">
        <v>2827</v>
      </c>
      <c r="F221" s="24" t="s">
        <v>2279</v>
      </c>
      <c r="G221" s="25"/>
      <c r="H221" s="201" t="s">
        <v>7286</v>
      </c>
      <c r="J221" s="234">
        <v>2025</v>
      </c>
      <c r="O221" s="37" t="s">
        <v>7287</v>
      </c>
      <c r="P221" s="37" t="s">
        <v>7288</v>
      </c>
      <c r="Q221" s="37" t="s">
        <v>7289</v>
      </c>
      <c r="R221" s="37" t="s">
        <v>1792</v>
      </c>
      <c r="S221" s="10" t="s">
        <v>3412</v>
      </c>
      <c r="U221" s="21">
        <v>2</v>
      </c>
      <c r="V221" s="21">
        <v>2</v>
      </c>
      <c r="W221" s="73">
        <f t="shared" si="9"/>
        <v>189</v>
      </c>
      <c r="X221" s="80">
        <f t="shared" si="8"/>
        <v>614</v>
      </c>
      <c r="Y221" s="82" t="s">
        <v>3591</v>
      </c>
      <c r="Z221" s="24" t="s">
        <v>7290</v>
      </c>
      <c r="AB221" s="177">
        <v>45823</v>
      </c>
      <c r="AC221" s="84" t="s">
        <v>2885</v>
      </c>
    </row>
    <row r="222" spans="1:29" ht="15.45" customHeight="1" x14ac:dyDescent="0.25">
      <c r="A222" s="29" t="s">
        <v>702</v>
      </c>
      <c r="C222" s="37" t="s">
        <v>1211</v>
      </c>
      <c r="E222" s="37" t="s">
        <v>2827</v>
      </c>
      <c r="F222" s="24" t="s">
        <v>4704</v>
      </c>
      <c r="G222" s="25"/>
      <c r="J222" s="214" t="s">
        <v>3694</v>
      </c>
      <c r="K222" s="10" t="s">
        <v>3762</v>
      </c>
      <c r="O222" s="37" t="s">
        <v>703</v>
      </c>
      <c r="P222" s="37" t="s">
        <v>486</v>
      </c>
      <c r="Q222" s="37" t="s">
        <v>3506</v>
      </c>
      <c r="R222" s="37" t="s">
        <v>1792</v>
      </c>
      <c r="S222" s="10" t="s">
        <v>2433</v>
      </c>
      <c r="U222" s="21">
        <v>4</v>
      </c>
      <c r="V222" s="21">
        <v>4</v>
      </c>
      <c r="W222" s="73">
        <f t="shared" si="9"/>
        <v>193</v>
      </c>
      <c r="X222" s="80">
        <f t="shared" si="8"/>
        <v>618</v>
      </c>
      <c r="Y222" s="82" t="s">
        <v>3584</v>
      </c>
    </row>
    <row r="223" spans="1:29" ht="15.45" customHeight="1" x14ac:dyDescent="0.25">
      <c r="A223" s="29" t="s">
        <v>5412</v>
      </c>
      <c r="C223" s="37" t="s">
        <v>1211</v>
      </c>
      <c r="E223" s="37" t="s">
        <v>2827</v>
      </c>
      <c r="F223" s="24" t="s">
        <v>4704</v>
      </c>
      <c r="G223" s="25"/>
      <c r="O223" s="37" t="s">
        <v>703</v>
      </c>
      <c r="P223" s="37" t="s">
        <v>486</v>
      </c>
      <c r="Q223" s="37" t="s">
        <v>3506</v>
      </c>
      <c r="R223" s="37" t="s">
        <v>1792</v>
      </c>
      <c r="S223" s="10" t="s">
        <v>2433</v>
      </c>
      <c r="U223" s="21">
        <v>1</v>
      </c>
      <c r="V223" s="21">
        <v>1</v>
      </c>
      <c r="W223" s="73">
        <f t="shared" si="9"/>
        <v>194</v>
      </c>
      <c r="X223" s="80">
        <f t="shared" si="8"/>
        <v>619</v>
      </c>
      <c r="Y223" s="82" t="s">
        <v>3584</v>
      </c>
    </row>
    <row r="224" spans="1:29" ht="15.45" customHeight="1" x14ac:dyDescent="0.25">
      <c r="A224" s="29" t="s">
        <v>1924</v>
      </c>
      <c r="C224" s="37" t="s">
        <v>1211</v>
      </c>
      <c r="E224" s="37" t="s">
        <v>2827</v>
      </c>
      <c r="F224" s="24" t="s">
        <v>4704</v>
      </c>
      <c r="G224" s="25"/>
      <c r="O224" s="37" t="s">
        <v>5493</v>
      </c>
      <c r="P224" s="37" t="s">
        <v>2056</v>
      </c>
      <c r="Q224" s="37" t="s">
        <v>3506</v>
      </c>
      <c r="R224" s="37" t="s">
        <v>1792</v>
      </c>
      <c r="S224" s="10" t="s">
        <v>2433</v>
      </c>
      <c r="U224" s="21">
        <v>1</v>
      </c>
      <c r="V224" s="21">
        <v>1</v>
      </c>
      <c r="W224" s="73">
        <f t="shared" si="9"/>
        <v>195</v>
      </c>
      <c r="X224" s="80">
        <f t="shared" si="8"/>
        <v>620</v>
      </c>
      <c r="Y224" s="82" t="s">
        <v>3584</v>
      </c>
    </row>
    <row r="225" spans="1:29" ht="15.45" customHeight="1" x14ac:dyDescent="0.25">
      <c r="A225" s="29" t="s">
        <v>3847</v>
      </c>
      <c r="B225" s="24" t="s">
        <v>5647</v>
      </c>
      <c r="C225" s="37" t="s">
        <v>1211</v>
      </c>
      <c r="E225" s="37" t="s">
        <v>2827</v>
      </c>
      <c r="F225" s="24" t="s">
        <v>4704</v>
      </c>
      <c r="G225" s="25"/>
      <c r="H225" s="38" t="s">
        <v>3848</v>
      </c>
      <c r="L225" s="102">
        <v>251</v>
      </c>
      <c r="N225" s="37" t="s">
        <v>5646</v>
      </c>
      <c r="O225" s="37" t="s">
        <v>5494</v>
      </c>
      <c r="P225" s="37" t="s">
        <v>5486</v>
      </c>
      <c r="Q225" s="37" t="s">
        <v>3506</v>
      </c>
      <c r="R225" s="37" t="s">
        <v>1792</v>
      </c>
      <c r="S225" s="10" t="s">
        <v>2433</v>
      </c>
      <c r="U225" s="21">
        <v>1</v>
      </c>
      <c r="V225" s="21">
        <v>1</v>
      </c>
      <c r="W225" s="73">
        <f t="shared" si="9"/>
        <v>196</v>
      </c>
      <c r="X225" s="80">
        <f t="shared" si="8"/>
        <v>621</v>
      </c>
      <c r="Y225" s="82" t="s">
        <v>3584</v>
      </c>
    </row>
    <row r="226" spans="1:29" ht="15.45" customHeight="1" x14ac:dyDescent="0.25">
      <c r="A226" s="29" t="s">
        <v>109</v>
      </c>
      <c r="C226" s="37" t="s">
        <v>1211</v>
      </c>
      <c r="E226" s="37" t="s">
        <v>2827</v>
      </c>
      <c r="F226" s="24" t="s">
        <v>4704</v>
      </c>
      <c r="G226" s="25"/>
      <c r="S226" s="10" t="s">
        <v>2433</v>
      </c>
      <c r="U226" s="21">
        <v>1</v>
      </c>
      <c r="V226" s="21">
        <v>1</v>
      </c>
      <c r="W226" s="73">
        <f t="shared" si="9"/>
        <v>197</v>
      </c>
      <c r="X226" s="80">
        <f t="shared" si="8"/>
        <v>622</v>
      </c>
      <c r="Y226" s="82" t="s">
        <v>3592</v>
      </c>
      <c r="Z226" s="24" t="s">
        <v>2884</v>
      </c>
    </row>
    <row r="227" spans="1:29" ht="15.45" customHeight="1" x14ac:dyDescent="0.25">
      <c r="A227" s="29" t="s">
        <v>2394</v>
      </c>
      <c r="C227" s="37" t="s">
        <v>1211</v>
      </c>
      <c r="E227" s="37" t="s">
        <v>2827</v>
      </c>
      <c r="F227" s="24" t="s">
        <v>4704</v>
      </c>
      <c r="G227" s="25"/>
      <c r="S227" s="10" t="s">
        <v>2433</v>
      </c>
      <c r="U227" s="21">
        <v>1</v>
      </c>
      <c r="V227" s="21">
        <v>1</v>
      </c>
      <c r="W227" s="73">
        <f t="shared" si="9"/>
        <v>198</v>
      </c>
      <c r="X227" s="80">
        <f t="shared" si="8"/>
        <v>623</v>
      </c>
      <c r="Y227" s="82" t="s">
        <v>3592</v>
      </c>
      <c r="Z227" s="24" t="s">
        <v>2884</v>
      </c>
    </row>
    <row r="228" spans="1:29" ht="15.45" customHeight="1" x14ac:dyDescent="0.25">
      <c r="A228" s="29" t="s">
        <v>41</v>
      </c>
      <c r="C228" s="37" t="s">
        <v>35</v>
      </c>
      <c r="E228" s="37" t="s">
        <v>2827</v>
      </c>
      <c r="F228" s="24" t="s">
        <v>4704</v>
      </c>
      <c r="G228" s="25"/>
      <c r="P228" s="37" t="s">
        <v>5347</v>
      </c>
      <c r="Q228" s="37" t="s">
        <v>581</v>
      </c>
      <c r="R228" s="37" t="s">
        <v>1811</v>
      </c>
      <c r="S228" s="10" t="s">
        <v>2433</v>
      </c>
      <c r="U228" s="21">
        <v>1</v>
      </c>
      <c r="V228" s="21">
        <v>1</v>
      </c>
      <c r="W228" s="73">
        <f t="shared" si="9"/>
        <v>199</v>
      </c>
      <c r="X228" s="80">
        <f t="shared" si="8"/>
        <v>624</v>
      </c>
      <c r="Y228" s="82" t="s">
        <v>3592</v>
      </c>
      <c r="Z228" s="24" t="s">
        <v>37</v>
      </c>
    </row>
    <row r="229" spans="1:29" ht="15.45" customHeight="1" x14ac:dyDescent="0.25">
      <c r="A229" s="29" t="s">
        <v>3842</v>
      </c>
      <c r="C229" s="37" t="s">
        <v>1211</v>
      </c>
      <c r="E229" s="37" t="s">
        <v>2827</v>
      </c>
      <c r="F229" s="24" t="s">
        <v>4704</v>
      </c>
      <c r="G229" s="25"/>
      <c r="H229" s="38" t="s">
        <v>3843</v>
      </c>
      <c r="J229" s="214" t="s">
        <v>3694</v>
      </c>
      <c r="K229" s="10" t="s">
        <v>3762</v>
      </c>
      <c r="O229" s="37" t="s">
        <v>5371</v>
      </c>
      <c r="P229" s="37" t="s">
        <v>1485</v>
      </c>
      <c r="Q229" s="37" t="s">
        <v>3506</v>
      </c>
      <c r="R229" s="37" t="s">
        <v>1792</v>
      </c>
      <c r="S229" s="10" t="s">
        <v>2433</v>
      </c>
      <c r="U229" s="21">
        <v>1</v>
      </c>
      <c r="V229" s="21">
        <v>1</v>
      </c>
      <c r="W229" s="73">
        <f t="shared" si="9"/>
        <v>200</v>
      </c>
      <c r="X229" s="80">
        <f t="shared" si="8"/>
        <v>625</v>
      </c>
      <c r="Y229" s="82" t="s">
        <v>3584</v>
      </c>
    </row>
    <row r="230" spans="1:29" ht="15.45" customHeight="1" x14ac:dyDescent="0.25">
      <c r="A230" s="29" t="s">
        <v>3842</v>
      </c>
      <c r="C230" s="37" t="s">
        <v>1211</v>
      </c>
      <c r="E230" s="37" t="s">
        <v>2827</v>
      </c>
      <c r="F230" s="24" t="s">
        <v>4704</v>
      </c>
      <c r="G230" s="25"/>
      <c r="H230" s="38" t="s">
        <v>3844</v>
      </c>
      <c r="J230" s="214" t="s">
        <v>3694</v>
      </c>
      <c r="K230" s="10" t="s">
        <v>3762</v>
      </c>
      <c r="O230" s="37" t="s">
        <v>5371</v>
      </c>
      <c r="P230" s="37" t="s">
        <v>1485</v>
      </c>
      <c r="Q230" s="37" t="s">
        <v>3506</v>
      </c>
      <c r="R230" s="37" t="s">
        <v>1792</v>
      </c>
      <c r="S230" s="10" t="s">
        <v>2433</v>
      </c>
      <c r="U230" s="21">
        <v>1</v>
      </c>
      <c r="V230" s="21">
        <v>1</v>
      </c>
      <c r="W230" s="73">
        <f t="shared" si="9"/>
        <v>201</v>
      </c>
      <c r="X230" s="80">
        <f t="shared" si="8"/>
        <v>626</v>
      </c>
      <c r="Y230" s="82" t="s">
        <v>3584</v>
      </c>
    </row>
    <row r="231" spans="1:29" ht="15.45" customHeight="1" x14ac:dyDescent="0.25">
      <c r="A231" s="29" t="s">
        <v>3846</v>
      </c>
      <c r="C231" s="37" t="s">
        <v>35</v>
      </c>
      <c r="E231" s="37" t="s">
        <v>2827</v>
      </c>
      <c r="F231" s="24" t="s">
        <v>4704</v>
      </c>
      <c r="G231" s="25"/>
      <c r="H231" s="38" t="s">
        <v>3845</v>
      </c>
      <c r="J231" s="214" t="s">
        <v>3694</v>
      </c>
      <c r="K231" s="10" t="s">
        <v>3762</v>
      </c>
      <c r="P231" s="37" t="s">
        <v>3</v>
      </c>
      <c r="Q231" s="37" t="s">
        <v>3506</v>
      </c>
      <c r="R231" s="37" t="s">
        <v>1792</v>
      </c>
      <c r="S231" s="10" t="s">
        <v>2433</v>
      </c>
      <c r="U231" s="21">
        <v>1</v>
      </c>
      <c r="V231" s="21">
        <v>1</v>
      </c>
      <c r="W231" s="73">
        <f t="shared" si="9"/>
        <v>202</v>
      </c>
      <c r="X231" s="80">
        <f t="shared" si="8"/>
        <v>627</v>
      </c>
      <c r="Y231" s="82" t="s">
        <v>3584</v>
      </c>
    </row>
    <row r="232" spans="1:29" ht="15.45" customHeight="1" x14ac:dyDescent="0.25">
      <c r="A232" s="29" t="s">
        <v>1700</v>
      </c>
      <c r="C232" s="37" t="s">
        <v>1211</v>
      </c>
      <c r="E232" s="37" t="s">
        <v>2827</v>
      </c>
      <c r="F232" s="24" t="s">
        <v>4704</v>
      </c>
      <c r="G232" s="25"/>
      <c r="P232" s="37" t="s">
        <v>2057</v>
      </c>
      <c r="Q232" s="37" t="s">
        <v>3506</v>
      </c>
      <c r="R232" s="37" t="s">
        <v>1792</v>
      </c>
      <c r="S232" s="10" t="s">
        <v>2433</v>
      </c>
      <c r="U232" s="21">
        <v>1</v>
      </c>
      <c r="V232" s="21">
        <v>1</v>
      </c>
      <c r="W232" s="73">
        <f t="shared" si="9"/>
        <v>203</v>
      </c>
      <c r="X232" s="80">
        <f t="shared" si="8"/>
        <v>628</v>
      </c>
      <c r="Y232" s="82" t="s">
        <v>3591</v>
      </c>
      <c r="Z232" s="24" t="s">
        <v>6238</v>
      </c>
      <c r="AA232" s="177">
        <v>44509</v>
      </c>
    </row>
    <row r="233" spans="1:29" ht="15.45" customHeight="1" x14ac:dyDescent="0.25">
      <c r="A233" s="29" t="s">
        <v>1700</v>
      </c>
      <c r="C233" s="37" t="s">
        <v>1211</v>
      </c>
      <c r="E233" s="37" t="s">
        <v>2827</v>
      </c>
      <c r="F233" s="24" t="s">
        <v>4704</v>
      </c>
      <c r="G233" s="25"/>
      <c r="J233" s="214" t="s">
        <v>3694</v>
      </c>
      <c r="K233" s="10" t="s">
        <v>3762</v>
      </c>
      <c r="P233" s="37" t="s">
        <v>2057</v>
      </c>
      <c r="Q233" s="37" t="s">
        <v>3506</v>
      </c>
      <c r="R233" s="37" t="s">
        <v>1792</v>
      </c>
      <c r="S233" s="10" t="s">
        <v>2433</v>
      </c>
      <c r="U233" s="21">
        <v>4</v>
      </c>
      <c r="V233" s="21">
        <v>4</v>
      </c>
      <c r="W233" s="73">
        <f t="shared" si="9"/>
        <v>207</v>
      </c>
      <c r="X233" s="80">
        <f t="shared" si="8"/>
        <v>632</v>
      </c>
      <c r="Y233" s="82" t="s">
        <v>3584</v>
      </c>
    </row>
    <row r="234" spans="1:29" ht="15.45" customHeight="1" x14ac:dyDescent="0.25">
      <c r="A234" s="29" t="s">
        <v>1908</v>
      </c>
      <c r="C234" s="37" t="s">
        <v>1211</v>
      </c>
      <c r="E234" s="37" t="s">
        <v>2827</v>
      </c>
      <c r="F234" s="24" t="s">
        <v>4704</v>
      </c>
      <c r="G234" s="25"/>
      <c r="O234" s="37" t="s">
        <v>749</v>
      </c>
      <c r="P234" s="37" t="s">
        <v>1463</v>
      </c>
      <c r="Q234" s="37" t="s">
        <v>3506</v>
      </c>
      <c r="R234" s="37" t="s">
        <v>1792</v>
      </c>
      <c r="S234" s="10" t="s">
        <v>2433</v>
      </c>
      <c r="U234" s="21">
        <v>1</v>
      </c>
      <c r="V234" s="21">
        <v>1</v>
      </c>
      <c r="W234" s="73">
        <f t="shared" si="9"/>
        <v>208</v>
      </c>
      <c r="X234" s="80">
        <f t="shared" ref="X234:X297" si="10">V234+X233</f>
        <v>633</v>
      </c>
      <c r="Y234" s="82" t="s">
        <v>3584</v>
      </c>
    </row>
    <row r="235" spans="1:29" ht="15.45" customHeight="1" x14ac:dyDescent="0.25">
      <c r="A235" s="29" t="s">
        <v>6203</v>
      </c>
      <c r="C235" s="37" t="s">
        <v>1211</v>
      </c>
      <c r="E235" s="37" t="s">
        <v>2827</v>
      </c>
      <c r="F235" s="24" t="s">
        <v>4704</v>
      </c>
      <c r="G235" s="25"/>
      <c r="H235" s="38" t="s">
        <v>6204</v>
      </c>
      <c r="J235" s="214" t="s">
        <v>5279</v>
      </c>
      <c r="K235" s="10" t="s">
        <v>6205</v>
      </c>
      <c r="O235" s="37" t="s">
        <v>6206</v>
      </c>
      <c r="P235" s="37" t="s">
        <v>1485</v>
      </c>
      <c r="Q235" s="37" t="s">
        <v>3506</v>
      </c>
      <c r="R235" s="37" t="s">
        <v>1792</v>
      </c>
      <c r="S235" s="10" t="s">
        <v>3436</v>
      </c>
      <c r="U235" s="21">
        <v>1</v>
      </c>
      <c r="V235" s="21">
        <v>1</v>
      </c>
      <c r="W235" s="73">
        <f t="shared" ref="W235:W298" si="11">W234+V235</f>
        <v>209</v>
      </c>
      <c r="X235" s="80">
        <f t="shared" si="10"/>
        <v>634</v>
      </c>
      <c r="Y235" s="82" t="s">
        <v>3591</v>
      </c>
      <c r="Z235" s="24" t="s">
        <v>4515</v>
      </c>
      <c r="AB235" s="177">
        <v>44494</v>
      </c>
      <c r="AC235" s="84" t="s">
        <v>5308</v>
      </c>
    </row>
    <row r="236" spans="1:29" ht="15.45" customHeight="1" x14ac:dyDescent="0.25">
      <c r="A236" s="29" t="s">
        <v>1692</v>
      </c>
      <c r="C236" s="37" t="s">
        <v>1211</v>
      </c>
      <c r="E236" s="37" t="s">
        <v>2827</v>
      </c>
      <c r="F236" s="24" t="s">
        <v>4704</v>
      </c>
      <c r="G236" s="25"/>
      <c r="O236" s="37" t="s">
        <v>5495</v>
      </c>
      <c r="P236" s="37" t="s">
        <v>546</v>
      </c>
      <c r="Q236" s="37" t="s">
        <v>3506</v>
      </c>
      <c r="R236" s="37" t="s">
        <v>1792</v>
      </c>
      <c r="S236" s="10" t="s">
        <v>2433</v>
      </c>
      <c r="U236" s="21">
        <v>1</v>
      </c>
      <c r="V236" s="21">
        <v>1</v>
      </c>
      <c r="W236" s="73">
        <f t="shared" si="11"/>
        <v>210</v>
      </c>
      <c r="X236" s="80">
        <f t="shared" si="10"/>
        <v>635</v>
      </c>
      <c r="Y236" s="82" t="s">
        <v>3584</v>
      </c>
    </row>
    <row r="237" spans="1:29" ht="15.45" customHeight="1" x14ac:dyDescent="0.25">
      <c r="A237" s="29" t="s">
        <v>1693</v>
      </c>
      <c r="C237" s="37" t="s">
        <v>1211</v>
      </c>
      <c r="E237" s="37" t="s">
        <v>2827</v>
      </c>
      <c r="F237" s="24" t="s">
        <v>4704</v>
      </c>
      <c r="G237" s="25"/>
      <c r="P237" s="37" t="s">
        <v>220</v>
      </c>
      <c r="S237" s="10" t="s">
        <v>2433</v>
      </c>
      <c r="U237" s="21">
        <v>5</v>
      </c>
      <c r="V237" s="21">
        <v>5</v>
      </c>
      <c r="W237" s="73">
        <f t="shared" si="11"/>
        <v>215</v>
      </c>
      <c r="X237" s="80">
        <f t="shared" si="10"/>
        <v>640</v>
      </c>
      <c r="Y237" s="82" t="s">
        <v>3584</v>
      </c>
    </row>
    <row r="238" spans="1:29" ht="15.45" customHeight="1" x14ac:dyDescent="0.25">
      <c r="A238" s="29" t="s">
        <v>1884</v>
      </c>
      <c r="C238" s="37" t="s">
        <v>1211</v>
      </c>
      <c r="E238" s="37" t="s">
        <v>2827</v>
      </c>
      <c r="F238" s="24" t="s">
        <v>4704</v>
      </c>
      <c r="G238" s="25"/>
      <c r="S238" s="10" t="s">
        <v>2433</v>
      </c>
      <c r="U238" s="21">
        <v>1</v>
      </c>
      <c r="V238" s="21">
        <v>1</v>
      </c>
      <c r="W238" s="73">
        <f t="shared" si="11"/>
        <v>216</v>
      </c>
      <c r="X238" s="80">
        <f t="shared" si="10"/>
        <v>641</v>
      </c>
      <c r="Y238" s="82" t="s">
        <v>3584</v>
      </c>
    </row>
    <row r="239" spans="1:29" ht="15.45" customHeight="1" x14ac:dyDescent="0.25">
      <c r="A239" s="29" t="s">
        <v>5413</v>
      </c>
      <c r="C239" s="37" t="s">
        <v>1211</v>
      </c>
      <c r="E239" s="37" t="s">
        <v>2827</v>
      </c>
      <c r="F239" s="24" t="s">
        <v>4704</v>
      </c>
      <c r="G239" s="25"/>
      <c r="H239" s="38" t="s">
        <v>5038</v>
      </c>
      <c r="J239" s="214" t="s">
        <v>3694</v>
      </c>
      <c r="K239" s="10" t="s">
        <v>3762</v>
      </c>
      <c r="O239" s="37" t="s">
        <v>5497</v>
      </c>
      <c r="P239" s="37" t="s">
        <v>5496</v>
      </c>
      <c r="Q239" s="37" t="s">
        <v>3506</v>
      </c>
      <c r="R239" s="37" t="s">
        <v>1792</v>
      </c>
      <c r="S239" s="10" t="s">
        <v>2433</v>
      </c>
      <c r="U239" s="21">
        <v>1</v>
      </c>
      <c r="V239" s="21">
        <v>1</v>
      </c>
      <c r="W239" s="73">
        <f t="shared" si="11"/>
        <v>217</v>
      </c>
      <c r="X239" s="80">
        <f t="shared" si="10"/>
        <v>642</v>
      </c>
      <c r="Y239" s="82" t="s">
        <v>3584</v>
      </c>
    </row>
    <row r="240" spans="1:29" ht="15.45" customHeight="1" x14ac:dyDescent="0.25">
      <c r="A240" s="29" t="s">
        <v>3882</v>
      </c>
      <c r="C240" s="37" t="s">
        <v>1211</v>
      </c>
      <c r="E240" s="37" t="s">
        <v>2827</v>
      </c>
      <c r="F240" s="24" t="s">
        <v>4704</v>
      </c>
      <c r="G240" s="25"/>
      <c r="H240" s="38" t="s">
        <v>3883</v>
      </c>
      <c r="S240" s="10" t="s">
        <v>2433</v>
      </c>
      <c r="U240" s="21">
        <v>4</v>
      </c>
      <c r="V240" s="21">
        <v>4</v>
      </c>
      <c r="W240" s="73">
        <f t="shared" si="11"/>
        <v>221</v>
      </c>
      <c r="X240" s="80">
        <f t="shared" si="10"/>
        <v>646</v>
      </c>
      <c r="Y240" s="82" t="s">
        <v>3592</v>
      </c>
      <c r="Z240" s="24" t="s">
        <v>2884</v>
      </c>
    </row>
    <row r="241" spans="1:29" ht="15.45" customHeight="1" x14ac:dyDescent="0.25">
      <c r="A241" s="29" t="s">
        <v>110</v>
      </c>
      <c r="C241" s="37" t="s">
        <v>1211</v>
      </c>
      <c r="E241" s="37" t="s">
        <v>2827</v>
      </c>
      <c r="F241" s="24" t="s">
        <v>4704</v>
      </c>
      <c r="G241" s="25"/>
      <c r="J241" s="214" t="s">
        <v>4061</v>
      </c>
      <c r="K241" s="10" t="s">
        <v>4062</v>
      </c>
      <c r="S241" s="10" t="s">
        <v>2433</v>
      </c>
      <c r="U241" s="21">
        <v>1</v>
      </c>
      <c r="V241" s="21">
        <v>1</v>
      </c>
      <c r="W241" s="73">
        <f t="shared" si="11"/>
        <v>222</v>
      </c>
      <c r="X241" s="80">
        <f t="shared" si="10"/>
        <v>647</v>
      </c>
      <c r="Y241" s="82" t="s">
        <v>3592</v>
      </c>
      <c r="Z241" s="24" t="s">
        <v>2884</v>
      </c>
    </row>
    <row r="242" spans="1:29" ht="15.45" customHeight="1" x14ac:dyDescent="0.25">
      <c r="A242" s="29" t="s">
        <v>1886</v>
      </c>
      <c r="C242" s="37" t="s">
        <v>1211</v>
      </c>
      <c r="E242" s="37" t="s">
        <v>2827</v>
      </c>
      <c r="F242" s="24" t="s">
        <v>4704</v>
      </c>
      <c r="G242" s="25"/>
      <c r="J242" s="214" t="s">
        <v>4061</v>
      </c>
      <c r="K242" s="10" t="s">
        <v>4062</v>
      </c>
      <c r="S242" s="10" t="s">
        <v>2433</v>
      </c>
      <c r="U242" s="21">
        <v>1</v>
      </c>
      <c r="V242" s="21">
        <v>1</v>
      </c>
      <c r="W242" s="73">
        <f t="shared" si="11"/>
        <v>223</v>
      </c>
      <c r="X242" s="80">
        <f t="shared" si="10"/>
        <v>648</v>
      </c>
      <c r="Y242" s="82" t="s">
        <v>3584</v>
      </c>
    </row>
    <row r="243" spans="1:29" ht="15.45" customHeight="1" x14ac:dyDescent="0.25">
      <c r="A243" s="29" t="s">
        <v>1664</v>
      </c>
      <c r="C243" s="37" t="s">
        <v>1211</v>
      </c>
      <c r="E243" s="37" t="s">
        <v>2827</v>
      </c>
      <c r="F243" s="24" t="s">
        <v>4704</v>
      </c>
      <c r="G243" s="25"/>
      <c r="P243" s="37" t="s">
        <v>1665</v>
      </c>
      <c r="Q243" s="37" t="s">
        <v>3506</v>
      </c>
      <c r="R243" s="37" t="s">
        <v>1792</v>
      </c>
      <c r="S243" s="10" t="s">
        <v>2433</v>
      </c>
      <c r="U243" s="21">
        <v>2</v>
      </c>
      <c r="V243" s="21">
        <v>2</v>
      </c>
      <c r="W243" s="73">
        <f t="shared" si="11"/>
        <v>225</v>
      </c>
      <c r="X243" s="80">
        <f t="shared" si="10"/>
        <v>650</v>
      </c>
      <c r="Y243" s="82" t="s">
        <v>3592</v>
      </c>
      <c r="Z243" s="24" t="s">
        <v>2888</v>
      </c>
    </row>
    <row r="244" spans="1:29" ht="15.45" customHeight="1" x14ac:dyDescent="0.25">
      <c r="A244" s="29" t="s">
        <v>5413</v>
      </c>
      <c r="C244" s="37" t="s">
        <v>1211</v>
      </c>
      <c r="E244" s="37" t="s">
        <v>2827</v>
      </c>
      <c r="F244" s="24" t="s">
        <v>4704</v>
      </c>
      <c r="G244" s="25"/>
      <c r="H244" s="38" t="s">
        <v>5140</v>
      </c>
      <c r="O244" s="37" t="s">
        <v>5498</v>
      </c>
      <c r="P244" s="37" t="s">
        <v>5499</v>
      </c>
      <c r="Q244" s="37" t="s">
        <v>3506</v>
      </c>
      <c r="R244" s="37" t="s">
        <v>1792</v>
      </c>
      <c r="S244" s="10" t="s">
        <v>3412</v>
      </c>
      <c r="U244" s="21">
        <v>1</v>
      </c>
      <c r="V244" s="21">
        <v>1</v>
      </c>
      <c r="W244" s="73">
        <f t="shared" si="11"/>
        <v>226</v>
      </c>
      <c r="X244" s="80">
        <f t="shared" si="10"/>
        <v>651</v>
      </c>
      <c r="Y244" s="82" t="s">
        <v>3592</v>
      </c>
      <c r="Z244" s="24" t="s">
        <v>2888</v>
      </c>
    </row>
    <row r="245" spans="1:29" ht="15.45" customHeight="1" x14ac:dyDescent="0.25">
      <c r="A245" s="29" t="s">
        <v>6012</v>
      </c>
      <c r="C245" s="37" t="s">
        <v>1211</v>
      </c>
      <c r="E245" s="37" t="s">
        <v>2827</v>
      </c>
      <c r="F245" s="24" t="s">
        <v>4704</v>
      </c>
      <c r="G245" s="25"/>
      <c r="H245" s="38" t="s">
        <v>5141</v>
      </c>
      <c r="J245" s="214" t="s">
        <v>5305</v>
      </c>
      <c r="O245" s="37" t="s">
        <v>5497</v>
      </c>
      <c r="P245" s="37" t="s">
        <v>5496</v>
      </c>
      <c r="Q245" s="37" t="s">
        <v>3506</v>
      </c>
      <c r="R245" s="37" t="s">
        <v>1792</v>
      </c>
      <c r="S245" s="10" t="s">
        <v>3412</v>
      </c>
      <c r="U245" s="21">
        <v>1</v>
      </c>
      <c r="V245" s="21">
        <v>1</v>
      </c>
      <c r="W245" s="73">
        <f t="shared" si="11"/>
        <v>227</v>
      </c>
      <c r="X245" s="80">
        <f t="shared" si="10"/>
        <v>652</v>
      </c>
      <c r="Y245" s="82" t="s">
        <v>3591</v>
      </c>
      <c r="Z245" s="24" t="s">
        <v>2885</v>
      </c>
      <c r="AB245" s="177">
        <v>43873</v>
      </c>
      <c r="AC245" s="84" t="s">
        <v>2885</v>
      </c>
    </row>
    <row r="246" spans="1:29" ht="15.45" customHeight="1" x14ac:dyDescent="0.25">
      <c r="A246" s="29" t="s">
        <v>5878</v>
      </c>
      <c r="C246" s="37" t="s">
        <v>1211</v>
      </c>
      <c r="E246" s="37" t="s">
        <v>2827</v>
      </c>
      <c r="F246" s="24" t="s">
        <v>4704</v>
      </c>
      <c r="G246" s="25"/>
      <c r="H246" s="201" t="s">
        <v>5879</v>
      </c>
      <c r="J246" s="214" t="s">
        <v>5305</v>
      </c>
      <c r="O246" s="37" t="s">
        <v>5497</v>
      </c>
      <c r="P246" s="37" t="s">
        <v>5496</v>
      </c>
      <c r="Q246" s="37" t="s">
        <v>3506</v>
      </c>
      <c r="R246" s="37" t="s">
        <v>1792</v>
      </c>
      <c r="S246" s="10" t="s">
        <v>3412</v>
      </c>
      <c r="U246" s="21">
        <v>1</v>
      </c>
      <c r="V246" s="21">
        <v>1</v>
      </c>
      <c r="W246" s="73">
        <f t="shared" si="11"/>
        <v>228</v>
      </c>
      <c r="X246" s="80">
        <f t="shared" si="10"/>
        <v>653</v>
      </c>
      <c r="Y246" s="82" t="s">
        <v>3591</v>
      </c>
      <c r="Z246" s="24" t="s">
        <v>2885</v>
      </c>
      <c r="AB246" s="177">
        <v>43873</v>
      </c>
      <c r="AC246" s="84" t="s">
        <v>2885</v>
      </c>
    </row>
    <row r="247" spans="1:29" ht="15.45" customHeight="1" x14ac:dyDescent="0.25">
      <c r="A247" s="29" t="s">
        <v>5880</v>
      </c>
      <c r="F247" s="24" t="s">
        <v>4704</v>
      </c>
      <c r="G247" s="25"/>
      <c r="H247" s="201" t="s">
        <v>5881</v>
      </c>
      <c r="J247" s="214" t="s">
        <v>5327</v>
      </c>
      <c r="O247" s="37" t="s">
        <v>5498</v>
      </c>
      <c r="P247" s="37" t="s">
        <v>5499</v>
      </c>
      <c r="Q247" s="37" t="s">
        <v>3506</v>
      </c>
      <c r="R247" s="37" t="s">
        <v>1792</v>
      </c>
      <c r="S247" s="10" t="s">
        <v>3412</v>
      </c>
      <c r="U247" s="21">
        <v>1</v>
      </c>
      <c r="V247" s="21">
        <v>1</v>
      </c>
      <c r="W247" s="73">
        <f t="shared" si="11"/>
        <v>229</v>
      </c>
      <c r="X247" s="80">
        <f t="shared" si="10"/>
        <v>654</v>
      </c>
      <c r="Y247" s="82" t="s">
        <v>3591</v>
      </c>
      <c r="Z247" s="24" t="s">
        <v>2885</v>
      </c>
      <c r="AB247" s="177">
        <v>43873</v>
      </c>
      <c r="AC247" s="84" t="s">
        <v>2885</v>
      </c>
    </row>
    <row r="248" spans="1:29" ht="15.45" customHeight="1" x14ac:dyDescent="0.25">
      <c r="A248" s="29" t="s">
        <v>1887</v>
      </c>
      <c r="C248" s="37" t="s">
        <v>1211</v>
      </c>
      <c r="E248" s="37" t="s">
        <v>2827</v>
      </c>
      <c r="F248" s="24" t="s">
        <v>4704</v>
      </c>
      <c r="G248" s="25"/>
      <c r="P248" s="37" t="s">
        <v>2056</v>
      </c>
      <c r="Q248" s="37" t="s">
        <v>3506</v>
      </c>
      <c r="R248" s="37" t="s">
        <v>1792</v>
      </c>
      <c r="S248" s="10" t="s">
        <v>2433</v>
      </c>
      <c r="U248" s="21">
        <v>1</v>
      </c>
      <c r="V248" s="21">
        <v>1</v>
      </c>
      <c r="W248" s="73">
        <f t="shared" si="11"/>
        <v>230</v>
      </c>
      <c r="X248" s="80">
        <f t="shared" si="10"/>
        <v>655</v>
      </c>
      <c r="Y248" s="82" t="s">
        <v>3591</v>
      </c>
      <c r="Z248" s="24" t="s">
        <v>6238</v>
      </c>
      <c r="AA248" s="177">
        <v>44509</v>
      </c>
    </row>
    <row r="249" spans="1:29" ht="15.45" customHeight="1" x14ac:dyDescent="0.25">
      <c r="A249" s="29" t="s">
        <v>1887</v>
      </c>
      <c r="C249" s="37" t="s">
        <v>1211</v>
      </c>
      <c r="E249" s="37" t="s">
        <v>2827</v>
      </c>
      <c r="F249" s="24" t="s">
        <v>4704</v>
      </c>
      <c r="G249" s="25"/>
      <c r="S249" s="10" t="s">
        <v>2433</v>
      </c>
      <c r="U249" s="21">
        <v>4</v>
      </c>
      <c r="V249" s="21">
        <v>4</v>
      </c>
      <c r="W249" s="73">
        <f t="shared" si="11"/>
        <v>234</v>
      </c>
      <c r="X249" s="80">
        <f t="shared" si="10"/>
        <v>659</v>
      </c>
      <c r="Y249" s="82" t="s">
        <v>3584</v>
      </c>
    </row>
    <row r="250" spans="1:29" ht="15.45" customHeight="1" x14ac:dyDescent="0.25">
      <c r="A250" s="29" t="s">
        <v>567</v>
      </c>
      <c r="C250" s="37" t="s">
        <v>1211</v>
      </c>
      <c r="E250" s="37" t="s">
        <v>2827</v>
      </c>
      <c r="F250" s="24" t="s">
        <v>4704</v>
      </c>
      <c r="G250" s="25"/>
      <c r="O250" s="37" t="s">
        <v>5362</v>
      </c>
      <c r="P250" s="37" t="s">
        <v>1463</v>
      </c>
      <c r="Q250" s="37" t="s">
        <v>3506</v>
      </c>
      <c r="R250" s="37" t="s">
        <v>1792</v>
      </c>
      <c r="S250" s="10" t="s">
        <v>2433</v>
      </c>
      <c r="U250" s="21">
        <v>1</v>
      </c>
      <c r="V250" s="21">
        <v>1</v>
      </c>
      <c r="W250" s="73">
        <f t="shared" si="11"/>
        <v>235</v>
      </c>
      <c r="X250" s="80">
        <f t="shared" si="10"/>
        <v>660</v>
      </c>
      <c r="Y250" s="82" t="s">
        <v>3592</v>
      </c>
      <c r="Z250" s="24" t="s">
        <v>2884</v>
      </c>
    </row>
    <row r="251" spans="1:29" ht="15.45" customHeight="1" x14ac:dyDescent="0.25">
      <c r="A251" s="29" t="s">
        <v>224</v>
      </c>
      <c r="C251" s="37" t="s">
        <v>1211</v>
      </c>
      <c r="E251" s="37" t="s">
        <v>2827</v>
      </c>
      <c r="F251" s="24" t="s">
        <v>4704</v>
      </c>
      <c r="G251" s="25"/>
      <c r="J251" s="214" t="s">
        <v>4061</v>
      </c>
      <c r="K251" s="10" t="s">
        <v>4062</v>
      </c>
      <c r="O251" s="37" t="s">
        <v>5500</v>
      </c>
      <c r="P251" s="37" t="s">
        <v>2056</v>
      </c>
      <c r="Q251" s="37" t="s">
        <v>3506</v>
      </c>
      <c r="R251" s="37" t="s">
        <v>1792</v>
      </c>
      <c r="S251" s="10" t="s">
        <v>2433</v>
      </c>
      <c r="U251" s="21">
        <v>1</v>
      </c>
      <c r="V251" s="21">
        <v>1</v>
      </c>
      <c r="W251" s="73">
        <f t="shared" si="11"/>
        <v>236</v>
      </c>
      <c r="X251" s="80">
        <f t="shared" si="10"/>
        <v>661</v>
      </c>
      <c r="Y251" s="82" t="s">
        <v>3584</v>
      </c>
    </row>
    <row r="252" spans="1:29" ht="15.45" customHeight="1" x14ac:dyDescent="0.25">
      <c r="A252" s="29" t="s">
        <v>225</v>
      </c>
      <c r="C252" s="37" t="s">
        <v>1211</v>
      </c>
      <c r="E252" s="37" t="s">
        <v>2827</v>
      </c>
      <c r="F252" s="24" t="s">
        <v>4704</v>
      </c>
      <c r="G252" s="25"/>
      <c r="S252" s="10" t="s">
        <v>2433</v>
      </c>
      <c r="U252" s="21">
        <v>1</v>
      </c>
      <c r="V252" s="21">
        <v>1</v>
      </c>
      <c r="W252" s="73">
        <f t="shared" si="11"/>
        <v>237</v>
      </c>
      <c r="X252" s="80">
        <f t="shared" si="10"/>
        <v>662</v>
      </c>
      <c r="Y252" s="82" t="s">
        <v>3584</v>
      </c>
    </row>
    <row r="253" spans="1:29" ht="15.45" customHeight="1" x14ac:dyDescent="0.25">
      <c r="A253" s="29" t="s">
        <v>1480</v>
      </c>
      <c r="C253" s="37" t="s">
        <v>1211</v>
      </c>
      <c r="E253" s="37" t="s">
        <v>2827</v>
      </c>
      <c r="F253" s="24" t="s">
        <v>4704</v>
      </c>
      <c r="G253" s="25"/>
      <c r="S253" s="10" t="s">
        <v>2433</v>
      </c>
      <c r="U253" s="21">
        <v>1</v>
      </c>
      <c r="V253" s="21">
        <v>1</v>
      </c>
      <c r="W253" s="73">
        <f t="shared" si="11"/>
        <v>238</v>
      </c>
      <c r="X253" s="80">
        <f t="shared" si="10"/>
        <v>663</v>
      </c>
      <c r="Y253" s="82" t="s">
        <v>3584</v>
      </c>
    </row>
    <row r="254" spans="1:29" ht="15.45" customHeight="1" x14ac:dyDescent="0.25">
      <c r="A254" s="29" t="s">
        <v>1691</v>
      </c>
      <c r="C254" s="37" t="s">
        <v>1211</v>
      </c>
      <c r="E254" s="37" t="s">
        <v>2827</v>
      </c>
      <c r="F254" s="24" t="s">
        <v>4704</v>
      </c>
      <c r="G254" s="25"/>
      <c r="O254" s="37" t="s">
        <v>749</v>
      </c>
      <c r="P254" s="37" t="s">
        <v>1463</v>
      </c>
      <c r="Q254" s="37" t="s">
        <v>3506</v>
      </c>
      <c r="R254" s="37" t="s">
        <v>1792</v>
      </c>
      <c r="S254" s="10" t="s">
        <v>2433</v>
      </c>
      <c r="U254" s="21">
        <v>1</v>
      </c>
      <c r="V254" s="21">
        <v>1</v>
      </c>
      <c r="W254" s="73">
        <f t="shared" si="11"/>
        <v>239</v>
      </c>
      <c r="X254" s="80">
        <f t="shared" si="10"/>
        <v>664</v>
      </c>
      <c r="Y254" s="82" t="s">
        <v>3584</v>
      </c>
    </row>
    <row r="255" spans="1:29" ht="15.45" customHeight="1" x14ac:dyDescent="0.25">
      <c r="A255" s="29" t="s">
        <v>1885</v>
      </c>
      <c r="C255" s="37" t="s">
        <v>1211</v>
      </c>
      <c r="E255" s="37" t="s">
        <v>2827</v>
      </c>
      <c r="F255" s="24" t="s">
        <v>4704</v>
      </c>
      <c r="G255" s="25"/>
      <c r="O255" s="37" t="s">
        <v>5500</v>
      </c>
      <c r="P255" s="37" t="s">
        <v>2056</v>
      </c>
      <c r="Q255" s="37" t="s">
        <v>3506</v>
      </c>
      <c r="R255" s="37" t="s">
        <v>1792</v>
      </c>
      <c r="S255" s="10" t="s">
        <v>2433</v>
      </c>
      <c r="U255" s="21">
        <v>1</v>
      </c>
      <c r="V255" s="21">
        <v>1</v>
      </c>
      <c r="W255" s="73">
        <f t="shared" si="11"/>
        <v>240</v>
      </c>
      <c r="X255" s="80">
        <f t="shared" si="10"/>
        <v>665</v>
      </c>
      <c r="Y255" s="82" t="s">
        <v>3584</v>
      </c>
    </row>
    <row r="256" spans="1:29" ht="15.45" customHeight="1" x14ac:dyDescent="0.25">
      <c r="A256" s="29" t="s">
        <v>40</v>
      </c>
      <c r="C256" s="37" t="s">
        <v>35</v>
      </c>
      <c r="E256" s="37" t="s">
        <v>2827</v>
      </c>
      <c r="F256" s="24" t="s">
        <v>4704</v>
      </c>
      <c r="G256" s="25"/>
      <c r="O256" s="37" t="s">
        <v>5501</v>
      </c>
      <c r="P256" s="37" t="s">
        <v>5489</v>
      </c>
      <c r="Q256" s="37" t="s">
        <v>5344</v>
      </c>
      <c r="R256" s="37" t="s">
        <v>3663</v>
      </c>
      <c r="S256" s="10" t="s">
        <v>2433</v>
      </c>
      <c r="U256" s="21">
        <v>1</v>
      </c>
      <c r="V256" s="21">
        <v>1</v>
      </c>
      <c r="W256" s="73">
        <f t="shared" si="11"/>
        <v>241</v>
      </c>
      <c r="X256" s="80">
        <f t="shared" si="10"/>
        <v>666</v>
      </c>
      <c r="Y256" s="82" t="s">
        <v>3592</v>
      </c>
      <c r="Z256" s="24" t="s">
        <v>37</v>
      </c>
    </row>
    <row r="257" spans="1:29" ht="15.45" customHeight="1" x14ac:dyDescent="0.25">
      <c r="A257" s="29" t="s">
        <v>3884</v>
      </c>
      <c r="C257" s="37" t="s">
        <v>1211</v>
      </c>
      <c r="E257" s="37" t="s">
        <v>2827</v>
      </c>
      <c r="F257" s="24" t="s">
        <v>4704</v>
      </c>
      <c r="G257" s="25"/>
      <c r="H257" s="38" t="s">
        <v>3885</v>
      </c>
      <c r="Q257" s="37" t="s">
        <v>581</v>
      </c>
      <c r="R257" s="37" t="s">
        <v>1811</v>
      </c>
      <c r="S257" s="10" t="s">
        <v>2433</v>
      </c>
      <c r="U257" s="21">
        <v>1</v>
      </c>
      <c r="V257" s="21">
        <v>1</v>
      </c>
      <c r="W257" s="73">
        <f t="shared" si="11"/>
        <v>242</v>
      </c>
      <c r="X257" s="80">
        <f t="shared" si="10"/>
        <v>667</v>
      </c>
      <c r="Y257" s="82" t="s">
        <v>3592</v>
      </c>
      <c r="Z257" s="24" t="s">
        <v>2884</v>
      </c>
    </row>
    <row r="258" spans="1:29" ht="15.45" customHeight="1" x14ac:dyDescent="0.25">
      <c r="A258" s="29" t="s">
        <v>34</v>
      </c>
      <c r="C258" s="37" t="s">
        <v>1211</v>
      </c>
      <c r="E258" s="37" t="s">
        <v>2827</v>
      </c>
      <c r="F258" s="24" t="s">
        <v>4704</v>
      </c>
      <c r="G258" s="25"/>
      <c r="O258" s="37" t="s">
        <v>5502</v>
      </c>
      <c r="P258" s="37" t="s">
        <v>1687</v>
      </c>
      <c r="Q258" s="37" t="s">
        <v>3506</v>
      </c>
      <c r="R258" s="37" t="s">
        <v>1792</v>
      </c>
      <c r="S258" s="10" t="s">
        <v>2433</v>
      </c>
      <c r="U258" s="21">
        <v>1</v>
      </c>
      <c r="V258" s="21">
        <v>1</v>
      </c>
      <c r="W258" s="73">
        <f t="shared" si="11"/>
        <v>243</v>
      </c>
      <c r="X258" s="80">
        <f t="shared" si="10"/>
        <v>668</v>
      </c>
      <c r="Y258" s="82" t="s">
        <v>3592</v>
      </c>
    </row>
    <row r="259" spans="1:29" ht="15.45" customHeight="1" x14ac:dyDescent="0.25">
      <c r="A259" s="29" t="s">
        <v>2395</v>
      </c>
      <c r="B259" s="24" t="s">
        <v>5643</v>
      </c>
      <c r="C259" s="37" t="s">
        <v>1211</v>
      </c>
      <c r="E259" s="37" t="s">
        <v>2827</v>
      </c>
      <c r="F259" s="24" t="s">
        <v>4704</v>
      </c>
      <c r="G259" s="25"/>
      <c r="H259" s="38" t="s">
        <v>7282</v>
      </c>
      <c r="L259" s="102">
        <v>456</v>
      </c>
      <c r="S259" s="10" t="s">
        <v>2433</v>
      </c>
      <c r="U259" s="21">
        <v>2</v>
      </c>
      <c r="V259" s="21">
        <v>2</v>
      </c>
      <c r="W259" s="73">
        <f t="shared" si="11"/>
        <v>245</v>
      </c>
      <c r="X259" s="80">
        <f t="shared" si="10"/>
        <v>670</v>
      </c>
      <c r="Y259" s="82" t="s">
        <v>3584</v>
      </c>
    </row>
    <row r="260" spans="1:29" ht="15.45" customHeight="1" x14ac:dyDescent="0.25">
      <c r="A260" s="29" t="s">
        <v>27</v>
      </c>
      <c r="C260" s="37" t="s">
        <v>1211</v>
      </c>
      <c r="E260" s="37" t="s">
        <v>2827</v>
      </c>
      <c r="F260" s="24" t="s">
        <v>4704</v>
      </c>
      <c r="G260" s="25"/>
      <c r="H260" s="38" t="s">
        <v>7281</v>
      </c>
      <c r="S260" s="10" t="s">
        <v>2433</v>
      </c>
      <c r="U260" s="21">
        <v>2</v>
      </c>
      <c r="V260" s="21">
        <v>2</v>
      </c>
      <c r="W260" s="73">
        <f t="shared" si="11"/>
        <v>247</v>
      </c>
      <c r="X260" s="80">
        <f t="shared" si="10"/>
        <v>672</v>
      </c>
      <c r="Y260" s="82" t="s">
        <v>3591</v>
      </c>
      <c r="Z260" s="24" t="s">
        <v>2887</v>
      </c>
    </row>
    <row r="261" spans="1:29" ht="15.45" customHeight="1" x14ac:dyDescent="0.25">
      <c r="A261" s="29" t="s">
        <v>7280</v>
      </c>
      <c r="C261" s="37" t="s">
        <v>1211</v>
      </c>
      <c r="E261" s="37" t="s">
        <v>2827</v>
      </c>
      <c r="F261" s="24" t="s">
        <v>4704</v>
      </c>
      <c r="G261" s="25"/>
      <c r="P261" s="37" t="s">
        <v>5348</v>
      </c>
      <c r="Q261" s="37" t="s">
        <v>1998</v>
      </c>
      <c r="R261" s="37" t="s">
        <v>1792</v>
      </c>
      <c r="S261" s="10" t="s">
        <v>2433</v>
      </c>
      <c r="U261" s="21">
        <v>1</v>
      </c>
      <c r="V261" s="21">
        <v>1</v>
      </c>
      <c r="W261" s="73">
        <f t="shared" si="11"/>
        <v>248</v>
      </c>
      <c r="X261" s="80">
        <f t="shared" si="10"/>
        <v>673</v>
      </c>
      <c r="Y261" s="82" t="s">
        <v>3584</v>
      </c>
    </row>
    <row r="262" spans="1:29" ht="15.45" customHeight="1" x14ac:dyDescent="0.25">
      <c r="A262" s="29" t="s">
        <v>3652</v>
      </c>
      <c r="B262" s="24" t="s">
        <v>3651</v>
      </c>
      <c r="C262" s="37" t="s">
        <v>1211</v>
      </c>
      <c r="E262" s="37" t="s">
        <v>2827</v>
      </c>
      <c r="F262" s="24" t="s">
        <v>4704</v>
      </c>
      <c r="G262" s="25"/>
      <c r="H262" s="38" t="s">
        <v>4958</v>
      </c>
      <c r="J262" s="214" t="s">
        <v>4956</v>
      </c>
      <c r="K262" s="10" t="s">
        <v>4957</v>
      </c>
      <c r="O262" s="37" t="s">
        <v>5504</v>
      </c>
      <c r="P262" s="37" t="s">
        <v>5503</v>
      </c>
      <c r="Q262" s="37" t="s">
        <v>3506</v>
      </c>
      <c r="R262" s="37" t="s">
        <v>1792</v>
      </c>
      <c r="S262" s="10" t="s">
        <v>2433</v>
      </c>
      <c r="U262" s="21">
        <v>1</v>
      </c>
      <c r="V262" s="21">
        <v>1</v>
      </c>
      <c r="W262" s="73">
        <f t="shared" si="11"/>
        <v>249</v>
      </c>
      <c r="X262" s="80">
        <f t="shared" si="10"/>
        <v>674</v>
      </c>
      <c r="Y262" s="82" t="s">
        <v>3591</v>
      </c>
      <c r="Z262" s="24" t="s">
        <v>719</v>
      </c>
    </row>
    <row r="263" spans="1:29" ht="15.45" customHeight="1" x14ac:dyDescent="0.25">
      <c r="A263" s="29" t="s">
        <v>3652</v>
      </c>
      <c r="B263" s="24" t="s">
        <v>4955</v>
      </c>
      <c r="C263" s="37" t="s">
        <v>1211</v>
      </c>
      <c r="E263" s="37" t="s">
        <v>2928</v>
      </c>
      <c r="F263" s="24" t="s">
        <v>4704</v>
      </c>
      <c r="G263" s="25"/>
      <c r="H263" s="38" t="s">
        <v>3653</v>
      </c>
      <c r="S263" s="10" t="s">
        <v>2983</v>
      </c>
      <c r="T263" s="10" t="s">
        <v>3654</v>
      </c>
      <c r="U263" s="21">
        <v>1</v>
      </c>
      <c r="V263" s="21">
        <v>1</v>
      </c>
      <c r="W263" s="73">
        <f t="shared" si="11"/>
        <v>250</v>
      </c>
      <c r="X263" s="80">
        <f t="shared" si="10"/>
        <v>675</v>
      </c>
      <c r="Y263" s="82" t="s">
        <v>3584</v>
      </c>
      <c r="AB263" s="177">
        <v>43175</v>
      </c>
      <c r="AC263" s="84" t="s">
        <v>2885</v>
      </c>
    </row>
    <row r="264" spans="1:29" ht="15.45" customHeight="1" x14ac:dyDescent="0.25">
      <c r="A264" s="29" t="s">
        <v>1690</v>
      </c>
      <c r="C264" s="37" t="s">
        <v>1211</v>
      </c>
      <c r="E264" s="37" t="s">
        <v>2827</v>
      </c>
      <c r="F264" s="24" t="s">
        <v>4704</v>
      </c>
      <c r="G264" s="25"/>
      <c r="O264" s="37" t="s">
        <v>5506</v>
      </c>
      <c r="P264" s="37" t="s">
        <v>5505</v>
      </c>
      <c r="Q264" s="37" t="s">
        <v>1979</v>
      </c>
      <c r="R264" s="37" t="s">
        <v>1792</v>
      </c>
      <c r="S264" s="10" t="s">
        <v>2433</v>
      </c>
      <c r="U264" s="21">
        <v>1</v>
      </c>
      <c r="V264" s="21">
        <v>1</v>
      </c>
      <c r="W264" s="73">
        <f t="shared" si="11"/>
        <v>251</v>
      </c>
      <c r="X264" s="80">
        <f t="shared" si="10"/>
        <v>676</v>
      </c>
      <c r="Y264" s="82" t="s">
        <v>3584</v>
      </c>
    </row>
    <row r="265" spans="1:29" ht="15.45" customHeight="1" x14ac:dyDescent="0.25">
      <c r="A265" s="29" t="s">
        <v>6113</v>
      </c>
      <c r="C265" s="37" t="s">
        <v>1211</v>
      </c>
      <c r="E265" s="37" t="s">
        <v>2827</v>
      </c>
      <c r="F265" s="24" t="s">
        <v>4707</v>
      </c>
      <c r="G265" s="25"/>
      <c r="H265" s="201" t="s">
        <v>6114</v>
      </c>
      <c r="J265" s="214" t="s">
        <v>5684</v>
      </c>
      <c r="Q265" s="37" t="s">
        <v>581</v>
      </c>
      <c r="R265" s="37" t="s">
        <v>1811</v>
      </c>
      <c r="S265" s="10" t="s">
        <v>2433</v>
      </c>
      <c r="U265" s="21">
        <v>1</v>
      </c>
      <c r="V265" s="21">
        <v>1</v>
      </c>
      <c r="W265" s="73">
        <f t="shared" si="11"/>
        <v>252</v>
      </c>
      <c r="X265" s="80">
        <f t="shared" si="10"/>
        <v>677</v>
      </c>
      <c r="Y265" s="82" t="s">
        <v>3591</v>
      </c>
      <c r="Z265" s="24" t="s">
        <v>2885</v>
      </c>
      <c r="AB265" s="177">
        <v>44392</v>
      </c>
      <c r="AC265" s="84" t="s">
        <v>2885</v>
      </c>
    </row>
    <row r="266" spans="1:29" ht="15.45" customHeight="1" x14ac:dyDescent="0.25">
      <c r="A266" s="29" t="s">
        <v>1788</v>
      </c>
      <c r="C266" s="37" t="s">
        <v>1211</v>
      </c>
      <c r="E266" s="37" t="s">
        <v>2827</v>
      </c>
      <c r="F266" s="24" t="s">
        <v>4704</v>
      </c>
      <c r="G266" s="25"/>
      <c r="J266" s="214" t="s">
        <v>3694</v>
      </c>
      <c r="K266" s="10" t="s">
        <v>3699</v>
      </c>
      <c r="O266" s="37" t="s">
        <v>5508</v>
      </c>
      <c r="P266" s="37" t="s">
        <v>5507</v>
      </c>
      <c r="Q266" s="37" t="s">
        <v>3506</v>
      </c>
      <c r="R266" s="37" t="s">
        <v>1792</v>
      </c>
      <c r="S266" s="10" t="s">
        <v>2433</v>
      </c>
      <c r="U266" s="21">
        <v>1</v>
      </c>
      <c r="V266" s="21">
        <v>1</v>
      </c>
      <c r="W266" s="73">
        <f t="shared" si="11"/>
        <v>253</v>
      </c>
      <c r="X266" s="80">
        <f t="shared" si="10"/>
        <v>678</v>
      </c>
      <c r="Y266" s="82" t="s">
        <v>3584</v>
      </c>
    </row>
    <row r="267" spans="1:29" ht="15.45" customHeight="1" x14ac:dyDescent="0.25">
      <c r="A267" s="29" t="s">
        <v>1788</v>
      </c>
      <c r="C267" s="37" t="s">
        <v>1211</v>
      </c>
      <c r="E267" s="37" t="s">
        <v>2827</v>
      </c>
      <c r="F267" s="24" t="s">
        <v>4704</v>
      </c>
      <c r="G267" s="25"/>
      <c r="S267" s="10" t="s">
        <v>2433</v>
      </c>
      <c r="U267" s="21">
        <v>5</v>
      </c>
      <c r="V267" s="21">
        <v>5</v>
      </c>
      <c r="W267" s="73">
        <f t="shared" si="11"/>
        <v>258</v>
      </c>
      <c r="X267" s="80">
        <f t="shared" si="10"/>
        <v>683</v>
      </c>
      <c r="Y267" s="82" t="s">
        <v>3584</v>
      </c>
    </row>
    <row r="268" spans="1:29" ht="15.45" customHeight="1" x14ac:dyDescent="0.25">
      <c r="A268" s="29" t="s">
        <v>1238</v>
      </c>
      <c r="C268" s="37" t="s">
        <v>1211</v>
      </c>
      <c r="E268" s="37" t="s">
        <v>2827</v>
      </c>
      <c r="F268" s="24" t="s">
        <v>4704</v>
      </c>
      <c r="G268" s="25"/>
      <c r="O268" s="37" t="s">
        <v>5509</v>
      </c>
      <c r="P268" s="37" t="s">
        <v>5486</v>
      </c>
      <c r="Q268" s="37" t="s">
        <v>3506</v>
      </c>
      <c r="R268" s="37" t="s">
        <v>1792</v>
      </c>
      <c r="S268" s="10" t="s">
        <v>2433</v>
      </c>
      <c r="U268" s="21">
        <v>3</v>
      </c>
      <c r="V268" s="21">
        <v>3</v>
      </c>
      <c r="W268" s="73">
        <f t="shared" si="11"/>
        <v>261</v>
      </c>
      <c r="X268" s="80">
        <f t="shared" si="10"/>
        <v>686</v>
      </c>
      <c r="Y268" s="82" t="s">
        <v>3584</v>
      </c>
    </row>
    <row r="269" spans="1:29" ht="15.45" customHeight="1" x14ac:dyDescent="0.25">
      <c r="A269" s="29" t="s">
        <v>723</v>
      </c>
      <c r="C269" s="37" t="s">
        <v>1211</v>
      </c>
      <c r="E269" s="37" t="s">
        <v>2827</v>
      </c>
      <c r="F269" s="24" t="s">
        <v>4704</v>
      </c>
      <c r="G269" s="25"/>
      <c r="O269" s="37" t="s">
        <v>5371</v>
      </c>
      <c r="P269" s="37" t="s">
        <v>1485</v>
      </c>
      <c r="Q269" s="37" t="s">
        <v>3506</v>
      </c>
      <c r="R269" s="37" t="s">
        <v>1792</v>
      </c>
      <c r="S269" s="10" t="s">
        <v>2433</v>
      </c>
      <c r="U269" s="21">
        <v>1</v>
      </c>
      <c r="V269" s="21">
        <v>1</v>
      </c>
      <c r="W269" s="73">
        <f t="shared" si="11"/>
        <v>262</v>
      </c>
      <c r="X269" s="80">
        <f t="shared" si="10"/>
        <v>687</v>
      </c>
      <c r="Y269" s="82" t="s">
        <v>3584</v>
      </c>
    </row>
    <row r="270" spans="1:29" ht="15.45" customHeight="1" x14ac:dyDescent="0.25">
      <c r="A270" s="29" t="s">
        <v>3841</v>
      </c>
      <c r="C270" s="37" t="s">
        <v>1211</v>
      </c>
      <c r="E270" s="37" t="s">
        <v>2827</v>
      </c>
      <c r="F270" s="24" t="s">
        <v>4704</v>
      </c>
      <c r="G270" s="25"/>
      <c r="H270" s="38" t="s">
        <v>4954</v>
      </c>
      <c r="O270" s="37" t="s">
        <v>5371</v>
      </c>
      <c r="P270" s="37" t="s">
        <v>1485</v>
      </c>
      <c r="Q270" s="37" t="s">
        <v>3506</v>
      </c>
      <c r="R270" s="37" t="s">
        <v>1792</v>
      </c>
      <c r="S270" s="10" t="s">
        <v>2433</v>
      </c>
      <c r="U270" s="21">
        <v>1</v>
      </c>
      <c r="V270" s="21">
        <v>1</v>
      </c>
      <c r="W270" s="73">
        <f t="shared" si="11"/>
        <v>263</v>
      </c>
      <c r="X270" s="80">
        <f t="shared" si="10"/>
        <v>688</v>
      </c>
      <c r="Y270" s="82" t="s">
        <v>3592</v>
      </c>
      <c r="Z270" s="24" t="s">
        <v>2884</v>
      </c>
    </row>
    <row r="271" spans="1:29" ht="15.45" customHeight="1" x14ac:dyDescent="0.25">
      <c r="A271" s="29" t="s">
        <v>600</v>
      </c>
      <c r="C271" s="37" t="s">
        <v>1211</v>
      </c>
      <c r="E271" s="37" t="s">
        <v>2827</v>
      </c>
      <c r="F271" s="24" t="s">
        <v>4704</v>
      </c>
      <c r="G271" s="25"/>
      <c r="Q271" s="37" t="s">
        <v>1644</v>
      </c>
      <c r="R271" s="37" t="s">
        <v>3664</v>
      </c>
      <c r="S271" s="10" t="s">
        <v>2433</v>
      </c>
      <c r="U271" s="21">
        <v>1</v>
      </c>
      <c r="V271" s="21">
        <v>1</v>
      </c>
      <c r="W271" s="73">
        <f t="shared" si="11"/>
        <v>264</v>
      </c>
      <c r="X271" s="80">
        <f t="shared" si="10"/>
        <v>689</v>
      </c>
      <c r="Y271" s="82" t="s">
        <v>3592</v>
      </c>
      <c r="Z271" s="24" t="s">
        <v>2888</v>
      </c>
    </row>
    <row r="272" spans="1:29" ht="15.45" customHeight="1" x14ac:dyDescent="0.25">
      <c r="A272" s="29" t="s">
        <v>1542</v>
      </c>
      <c r="C272" s="37" t="s">
        <v>1211</v>
      </c>
      <c r="E272" s="37" t="s">
        <v>2827</v>
      </c>
      <c r="F272" s="24" t="s">
        <v>4704</v>
      </c>
      <c r="G272" s="25"/>
      <c r="N272" s="37" t="s">
        <v>4202</v>
      </c>
      <c r="O272" s="37" t="s">
        <v>145</v>
      </c>
      <c r="P272" s="37" t="s">
        <v>145</v>
      </c>
      <c r="Q272" s="37" t="s">
        <v>1644</v>
      </c>
      <c r="R272" s="37" t="s">
        <v>3664</v>
      </c>
      <c r="S272" s="10" t="s">
        <v>2433</v>
      </c>
      <c r="U272" s="21">
        <v>1</v>
      </c>
      <c r="V272" s="21">
        <v>1</v>
      </c>
      <c r="W272" s="73">
        <f t="shared" si="11"/>
        <v>265</v>
      </c>
      <c r="X272" s="80">
        <f t="shared" si="10"/>
        <v>690</v>
      </c>
      <c r="Y272" s="82" t="s">
        <v>3584</v>
      </c>
    </row>
    <row r="273" spans="1:31" ht="15.45" customHeight="1" x14ac:dyDescent="0.25">
      <c r="A273" s="29" t="s">
        <v>1239</v>
      </c>
      <c r="C273" s="37" t="s">
        <v>1211</v>
      </c>
      <c r="E273" s="37" t="s">
        <v>2827</v>
      </c>
      <c r="F273" s="24" t="s">
        <v>4704</v>
      </c>
      <c r="G273" s="25"/>
      <c r="J273" s="214" t="s">
        <v>3694</v>
      </c>
      <c r="K273" s="10" t="s">
        <v>3699</v>
      </c>
      <c r="P273" s="37" t="s">
        <v>146</v>
      </c>
      <c r="Q273" s="37" t="s">
        <v>1979</v>
      </c>
      <c r="R273" s="37" t="s">
        <v>1792</v>
      </c>
      <c r="S273" s="10" t="s">
        <v>2433</v>
      </c>
      <c r="U273" s="21">
        <v>1</v>
      </c>
      <c r="V273" s="21">
        <v>1</v>
      </c>
      <c r="W273" s="73">
        <f t="shared" si="11"/>
        <v>266</v>
      </c>
      <c r="X273" s="80">
        <f t="shared" si="10"/>
        <v>691</v>
      </c>
      <c r="Y273" s="82" t="s">
        <v>3584</v>
      </c>
    </row>
    <row r="274" spans="1:31" ht="15.45" customHeight="1" x14ac:dyDescent="0.25">
      <c r="A274" s="29" t="s">
        <v>5415</v>
      </c>
      <c r="B274" s="24" t="s">
        <v>5416</v>
      </c>
      <c r="C274" s="37" t="s">
        <v>1211</v>
      </c>
      <c r="E274" s="37" t="s">
        <v>2827</v>
      </c>
      <c r="F274" s="24" t="s">
        <v>4704</v>
      </c>
      <c r="G274" s="25"/>
      <c r="H274" s="38" t="s">
        <v>5414</v>
      </c>
      <c r="I274" s="111" t="s">
        <v>3886</v>
      </c>
      <c r="O274" s="37" t="s">
        <v>5644</v>
      </c>
      <c r="P274" s="37" t="s">
        <v>48</v>
      </c>
      <c r="Q274" s="37" t="s">
        <v>3786</v>
      </c>
      <c r="R274" s="37" t="s">
        <v>2014</v>
      </c>
      <c r="S274" s="10" t="s">
        <v>2433</v>
      </c>
      <c r="U274" s="21">
        <v>1</v>
      </c>
      <c r="V274" s="21">
        <v>1</v>
      </c>
      <c r="W274" s="73">
        <f t="shared" si="11"/>
        <v>267</v>
      </c>
      <c r="X274" s="80">
        <f t="shared" si="10"/>
        <v>692</v>
      </c>
      <c r="Y274" s="82" t="s">
        <v>3584</v>
      </c>
    </row>
    <row r="275" spans="1:31" ht="15.45" customHeight="1" x14ac:dyDescent="0.25">
      <c r="A275" s="29" t="s">
        <v>1801</v>
      </c>
      <c r="C275" s="37" t="s">
        <v>1211</v>
      </c>
      <c r="E275" s="37" t="s">
        <v>2827</v>
      </c>
      <c r="F275" s="24" t="s">
        <v>4704</v>
      </c>
      <c r="G275" s="25"/>
      <c r="O275" s="37" t="s">
        <v>5510</v>
      </c>
      <c r="P275" s="37" t="s">
        <v>546</v>
      </c>
      <c r="Q275" s="37" t="s">
        <v>3506</v>
      </c>
      <c r="R275" s="37" t="s">
        <v>1792</v>
      </c>
      <c r="S275" s="10" t="s">
        <v>2433</v>
      </c>
      <c r="U275" s="21">
        <v>1</v>
      </c>
      <c r="V275" s="21">
        <v>1</v>
      </c>
      <c r="W275" s="73">
        <f t="shared" si="11"/>
        <v>268</v>
      </c>
      <c r="X275" s="80">
        <f t="shared" si="10"/>
        <v>693</v>
      </c>
      <c r="Y275" s="82" t="s">
        <v>3592</v>
      </c>
      <c r="Z275" s="24" t="s">
        <v>2888</v>
      </c>
    </row>
    <row r="276" spans="1:31" ht="15.45" customHeight="1" x14ac:dyDescent="0.25">
      <c r="A276" s="29" t="s">
        <v>1801</v>
      </c>
      <c r="B276" s="24" t="s">
        <v>5202</v>
      </c>
      <c r="C276" s="37" t="s">
        <v>1211</v>
      </c>
      <c r="E276" s="37" t="s">
        <v>2827</v>
      </c>
      <c r="F276" s="24" t="s">
        <v>4704</v>
      </c>
      <c r="G276" s="25"/>
      <c r="H276" s="38" t="s">
        <v>5205</v>
      </c>
      <c r="J276" s="214" t="s">
        <v>5201</v>
      </c>
      <c r="K276" s="10" t="s">
        <v>5204</v>
      </c>
      <c r="O276" s="37" t="s">
        <v>5510</v>
      </c>
      <c r="P276" s="37" t="s">
        <v>546</v>
      </c>
      <c r="Q276" s="37" t="s">
        <v>3506</v>
      </c>
      <c r="R276" s="37" t="s">
        <v>1792</v>
      </c>
      <c r="S276" s="10" t="s">
        <v>2433</v>
      </c>
      <c r="U276" s="21">
        <v>1</v>
      </c>
      <c r="V276" s="21">
        <v>1</v>
      </c>
      <c r="W276" s="73">
        <f t="shared" si="11"/>
        <v>269</v>
      </c>
      <c r="X276" s="80">
        <f t="shared" si="10"/>
        <v>694</v>
      </c>
      <c r="Y276" s="82" t="s">
        <v>3584</v>
      </c>
    </row>
    <row r="277" spans="1:31" ht="15.45" customHeight="1" x14ac:dyDescent="0.25">
      <c r="A277" s="29" t="s">
        <v>3822</v>
      </c>
      <c r="B277" s="24" t="s">
        <v>5203</v>
      </c>
      <c r="C277" s="37" t="s">
        <v>1211</v>
      </c>
      <c r="E277" s="37" t="s">
        <v>2827</v>
      </c>
      <c r="F277" s="24" t="s">
        <v>4704</v>
      </c>
      <c r="G277" s="25"/>
      <c r="H277" s="38" t="s">
        <v>5656</v>
      </c>
      <c r="J277" s="214" t="s">
        <v>3691</v>
      </c>
      <c r="K277" s="10" t="s">
        <v>3717</v>
      </c>
      <c r="L277" s="102">
        <v>323</v>
      </c>
      <c r="O277" s="37" t="s">
        <v>5511</v>
      </c>
      <c r="P277" s="37" t="s">
        <v>1463</v>
      </c>
      <c r="Q277" s="37" t="s">
        <v>3506</v>
      </c>
      <c r="R277" s="37" t="s">
        <v>1792</v>
      </c>
      <c r="S277" s="10" t="s">
        <v>2433</v>
      </c>
      <c r="U277" s="21">
        <v>1</v>
      </c>
      <c r="V277" s="21">
        <v>1</v>
      </c>
      <c r="W277" s="73">
        <f t="shared" si="11"/>
        <v>270</v>
      </c>
      <c r="X277" s="80">
        <f t="shared" si="10"/>
        <v>695</v>
      </c>
      <c r="Y277" s="82" t="s">
        <v>3584</v>
      </c>
    </row>
    <row r="278" spans="1:31" ht="15.45" customHeight="1" x14ac:dyDescent="0.25">
      <c r="A278" s="29" t="s">
        <v>4969</v>
      </c>
      <c r="B278" s="24" t="s">
        <v>4968</v>
      </c>
      <c r="C278" s="37" t="s">
        <v>1211</v>
      </c>
      <c r="E278" s="37" t="s">
        <v>2827</v>
      </c>
      <c r="F278" s="24" t="s">
        <v>4704</v>
      </c>
      <c r="G278" s="25"/>
      <c r="H278" s="38" t="s">
        <v>5635</v>
      </c>
      <c r="I278" s="111" t="s">
        <v>4970</v>
      </c>
      <c r="J278" s="215">
        <v>2006</v>
      </c>
      <c r="K278" s="10" t="s">
        <v>4971</v>
      </c>
      <c r="S278" s="10" t="s">
        <v>3436</v>
      </c>
      <c r="U278" s="21">
        <v>1</v>
      </c>
      <c r="V278" s="21">
        <v>1</v>
      </c>
      <c r="W278" s="73">
        <f t="shared" si="11"/>
        <v>271</v>
      </c>
      <c r="X278" s="80">
        <f t="shared" si="10"/>
        <v>696</v>
      </c>
      <c r="Y278" s="82" t="s">
        <v>3591</v>
      </c>
      <c r="Z278" s="24" t="s">
        <v>4967</v>
      </c>
      <c r="AB278" s="177">
        <v>43628</v>
      </c>
      <c r="AC278" s="84" t="s">
        <v>2885</v>
      </c>
    </row>
    <row r="279" spans="1:31" ht="15.45" customHeight="1" x14ac:dyDescent="0.25">
      <c r="A279" s="29" t="s">
        <v>5244</v>
      </c>
      <c r="B279" s="24" t="s">
        <v>4081</v>
      </c>
      <c r="C279" s="37" t="s">
        <v>1211</v>
      </c>
      <c r="E279" s="37" t="s">
        <v>2827</v>
      </c>
      <c r="F279" s="24" t="s">
        <v>4704</v>
      </c>
      <c r="G279" s="25"/>
      <c r="H279" s="38" t="s">
        <v>5250</v>
      </c>
      <c r="J279" s="214" t="s">
        <v>4034</v>
      </c>
      <c r="K279" s="10" t="s">
        <v>4035</v>
      </c>
      <c r="P279" s="37" t="s">
        <v>151</v>
      </c>
      <c r="Q279" s="37" t="s">
        <v>5512</v>
      </c>
      <c r="R279" s="37" t="s">
        <v>1792</v>
      </c>
      <c r="S279" s="10" t="s">
        <v>2433</v>
      </c>
      <c r="U279" s="21">
        <v>1</v>
      </c>
      <c r="V279" s="21">
        <v>1</v>
      </c>
      <c r="W279" s="73">
        <f t="shared" si="11"/>
        <v>272</v>
      </c>
      <c r="X279" s="80">
        <f t="shared" si="10"/>
        <v>697</v>
      </c>
      <c r="Y279" s="82" t="s">
        <v>3584</v>
      </c>
      <c r="AE279" s="24" t="s">
        <v>4079</v>
      </c>
    </row>
    <row r="280" spans="1:31" ht="15.45" customHeight="1" x14ac:dyDescent="0.25">
      <c r="A280" s="29" t="s">
        <v>1122</v>
      </c>
      <c r="C280" s="37" t="s">
        <v>1211</v>
      </c>
      <c r="E280" s="37" t="s">
        <v>2827</v>
      </c>
      <c r="F280" s="24" t="s">
        <v>4704</v>
      </c>
      <c r="G280" s="25"/>
      <c r="Q280" s="37" t="s">
        <v>417</v>
      </c>
      <c r="R280" s="37" t="s">
        <v>2014</v>
      </c>
      <c r="S280" s="10" t="s">
        <v>2433</v>
      </c>
      <c r="U280" s="21">
        <v>1</v>
      </c>
      <c r="V280" s="21">
        <v>1</v>
      </c>
      <c r="W280" s="73">
        <f t="shared" si="11"/>
        <v>273</v>
      </c>
      <c r="X280" s="80">
        <f t="shared" si="10"/>
        <v>698</v>
      </c>
      <c r="Y280" s="82" t="s">
        <v>3584</v>
      </c>
    </row>
    <row r="281" spans="1:31" ht="15.45" customHeight="1" x14ac:dyDescent="0.25">
      <c r="A281" s="29" t="s">
        <v>1235</v>
      </c>
      <c r="C281" s="37" t="s">
        <v>1211</v>
      </c>
      <c r="E281" s="37" t="s">
        <v>2827</v>
      </c>
      <c r="F281" s="24" t="s">
        <v>4704</v>
      </c>
      <c r="G281" s="25"/>
      <c r="O281" s="37" t="s">
        <v>5513</v>
      </c>
      <c r="P281" s="37" t="s">
        <v>1463</v>
      </c>
      <c r="Q281" s="37" t="s">
        <v>3506</v>
      </c>
      <c r="R281" s="37" t="s">
        <v>1792</v>
      </c>
      <c r="S281" s="10" t="s">
        <v>2433</v>
      </c>
      <c r="U281" s="21">
        <v>1</v>
      </c>
      <c r="V281" s="21">
        <v>1</v>
      </c>
      <c r="W281" s="73">
        <f t="shared" si="11"/>
        <v>274</v>
      </c>
      <c r="X281" s="80">
        <f t="shared" si="10"/>
        <v>699</v>
      </c>
      <c r="Y281" s="82" t="s">
        <v>3584</v>
      </c>
    </row>
    <row r="282" spans="1:31" ht="15.45" customHeight="1" x14ac:dyDescent="0.25">
      <c r="A282" s="29" t="s">
        <v>3819</v>
      </c>
      <c r="C282" s="37" t="s">
        <v>1211</v>
      </c>
      <c r="E282" s="37" t="s">
        <v>2827</v>
      </c>
      <c r="F282" s="24" t="s">
        <v>4704</v>
      </c>
      <c r="G282" s="25"/>
      <c r="H282" s="38" t="s">
        <v>3820</v>
      </c>
      <c r="P282" s="37" t="s">
        <v>83</v>
      </c>
      <c r="Q282" s="37" t="s">
        <v>4307</v>
      </c>
      <c r="R282" s="37" t="s">
        <v>1792</v>
      </c>
      <c r="S282" s="10" t="s">
        <v>2433</v>
      </c>
      <c r="U282" s="21">
        <v>1</v>
      </c>
      <c r="V282" s="21">
        <v>1</v>
      </c>
      <c r="W282" s="73">
        <f t="shared" si="11"/>
        <v>275</v>
      </c>
      <c r="X282" s="80">
        <f t="shared" si="10"/>
        <v>700</v>
      </c>
      <c r="Y282" s="82" t="s">
        <v>3584</v>
      </c>
    </row>
    <row r="283" spans="1:31" ht="15.45" customHeight="1" x14ac:dyDescent="0.25">
      <c r="A283" s="29" t="s">
        <v>1479</v>
      </c>
      <c r="C283" s="37" t="s">
        <v>1211</v>
      </c>
      <c r="E283" s="37" t="s">
        <v>2827</v>
      </c>
      <c r="F283" s="24" t="s">
        <v>4704</v>
      </c>
      <c r="G283" s="25"/>
      <c r="H283" s="38" t="s">
        <v>5146</v>
      </c>
      <c r="J283" s="214" t="s">
        <v>4110</v>
      </c>
      <c r="K283" s="10" t="s">
        <v>4109</v>
      </c>
      <c r="O283" s="37" t="s">
        <v>5514</v>
      </c>
      <c r="P283" s="37" t="s">
        <v>51</v>
      </c>
      <c r="Q283" s="37" t="s">
        <v>3506</v>
      </c>
      <c r="R283" s="37" t="s">
        <v>1792</v>
      </c>
      <c r="S283" s="10" t="s">
        <v>2433</v>
      </c>
      <c r="U283" s="21">
        <v>1</v>
      </c>
      <c r="V283" s="21">
        <v>1</v>
      </c>
      <c r="W283" s="73">
        <f t="shared" si="11"/>
        <v>276</v>
      </c>
      <c r="X283" s="80">
        <f t="shared" si="10"/>
        <v>701</v>
      </c>
      <c r="Y283" s="82" t="s">
        <v>3591</v>
      </c>
      <c r="Z283" s="24" t="s">
        <v>5145</v>
      </c>
    </row>
    <row r="284" spans="1:31" ht="15.45" customHeight="1" x14ac:dyDescent="0.25">
      <c r="A284" s="29" t="s">
        <v>3888</v>
      </c>
      <c r="C284" s="37" t="s">
        <v>1211</v>
      </c>
      <c r="E284" s="37" t="s">
        <v>2827</v>
      </c>
      <c r="F284" s="24" t="s">
        <v>4704</v>
      </c>
      <c r="G284" s="25"/>
      <c r="H284" s="38" t="s">
        <v>3887</v>
      </c>
      <c r="O284" s="37" t="s">
        <v>5515</v>
      </c>
      <c r="P284" s="37" t="s">
        <v>146</v>
      </c>
      <c r="Q284" s="37" t="s">
        <v>1979</v>
      </c>
      <c r="R284" s="37" t="s">
        <v>1792</v>
      </c>
      <c r="S284" s="10" t="s">
        <v>2433</v>
      </c>
      <c r="U284" s="21">
        <v>1</v>
      </c>
      <c r="V284" s="21">
        <v>1</v>
      </c>
      <c r="W284" s="73">
        <f t="shared" si="11"/>
        <v>277</v>
      </c>
      <c r="X284" s="80">
        <f t="shared" si="10"/>
        <v>702</v>
      </c>
      <c r="Y284" s="82" t="s">
        <v>3584</v>
      </c>
    </row>
    <row r="285" spans="1:31" ht="15.45" customHeight="1" x14ac:dyDescent="0.25">
      <c r="A285" s="29" t="s">
        <v>5417</v>
      </c>
      <c r="B285" s="24" t="s">
        <v>5418</v>
      </c>
      <c r="C285" s="37" t="s">
        <v>1211</v>
      </c>
      <c r="E285" s="37" t="s">
        <v>2827</v>
      </c>
      <c r="F285" s="24" t="s">
        <v>4704</v>
      </c>
      <c r="G285" s="25"/>
      <c r="O285" s="37" t="s">
        <v>5517</v>
      </c>
      <c r="P285" s="37" t="s">
        <v>5516</v>
      </c>
      <c r="Q285" s="37" t="s">
        <v>3506</v>
      </c>
      <c r="R285" s="37" t="s">
        <v>1792</v>
      </c>
      <c r="S285" s="10" t="s">
        <v>2433</v>
      </c>
      <c r="U285" s="21">
        <v>1</v>
      </c>
      <c r="V285" s="21">
        <v>1</v>
      </c>
      <c r="W285" s="73">
        <f t="shared" si="11"/>
        <v>278</v>
      </c>
      <c r="X285" s="80">
        <f t="shared" si="10"/>
        <v>703</v>
      </c>
      <c r="Y285" s="82" t="s">
        <v>3584</v>
      </c>
    </row>
    <row r="286" spans="1:31" ht="15.45" customHeight="1" x14ac:dyDescent="0.25">
      <c r="A286" s="29" t="s">
        <v>5419</v>
      </c>
      <c r="B286" s="24" t="s">
        <v>5420</v>
      </c>
      <c r="C286" s="37" t="s">
        <v>1211</v>
      </c>
      <c r="E286" s="37" t="s">
        <v>2827</v>
      </c>
      <c r="F286" s="24" t="s">
        <v>4704</v>
      </c>
      <c r="G286" s="25"/>
      <c r="O286" s="37" t="s">
        <v>749</v>
      </c>
      <c r="P286" s="37" t="s">
        <v>5518</v>
      </c>
      <c r="Q286" s="37" t="s">
        <v>3506</v>
      </c>
      <c r="R286" s="37" t="s">
        <v>1792</v>
      </c>
      <c r="S286" s="10" t="s">
        <v>2433</v>
      </c>
      <c r="U286" s="21">
        <v>1</v>
      </c>
      <c r="V286" s="21">
        <v>1</v>
      </c>
      <c r="W286" s="73">
        <f t="shared" si="11"/>
        <v>279</v>
      </c>
      <c r="X286" s="80">
        <f t="shared" si="10"/>
        <v>704</v>
      </c>
      <c r="Y286" s="82" t="s">
        <v>3584</v>
      </c>
    </row>
    <row r="287" spans="1:31" ht="15.45" customHeight="1" x14ac:dyDescent="0.25">
      <c r="A287" s="29" t="s">
        <v>5421</v>
      </c>
      <c r="B287" s="24" t="s">
        <v>5422</v>
      </c>
      <c r="C287" s="37" t="s">
        <v>1211</v>
      </c>
      <c r="E287" s="37" t="s">
        <v>2827</v>
      </c>
      <c r="F287" s="24" t="s">
        <v>4704</v>
      </c>
      <c r="G287" s="25"/>
      <c r="O287" s="37" t="s">
        <v>749</v>
      </c>
      <c r="P287" s="37" t="s">
        <v>5518</v>
      </c>
      <c r="Q287" s="37" t="s">
        <v>3506</v>
      </c>
      <c r="R287" s="37" t="s">
        <v>1792</v>
      </c>
      <c r="S287" s="10" t="s">
        <v>2433</v>
      </c>
      <c r="U287" s="21">
        <v>1</v>
      </c>
      <c r="V287" s="21">
        <v>1</v>
      </c>
      <c r="W287" s="73">
        <f t="shared" si="11"/>
        <v>280</v>
      </c>
      <c r="X287" s="80">
        <f t="shared" si="10"/>
        <v>705</v>
      </c>
      <c r="Y287" s="82" t="s">
        <v>3584</v>
      </c>
    </row>
    <row r="288" spans="1:31" ht="15.45" customHeight="1" x14ac:dyDescent="0.25">
      <c r="A288" s="29" t="s">
        <v>5421</v>
      </c>
      <c r="B288" s="24" t="s">
        <v>5422</v>
      </c>
      <c r="C288" s="37" t="s">
        <v>1211</v>
      </c>
      <c r="E288" s="37" t="s">
        <v>2827</v>
      </c>
      <c r="F288" s="24" t="s">
        <v>4704</v>
      </c>
      <c r="G288" s="25"/>
      <c r="H288" s="38" t="s">
        <v>3821</v>
      </c>
      <c r="P288" s="37" t="s">
        <v>220</v>
      </c>
      <c r="S288" s="10" t="s">
        <v>2433</v>
      </c>
      <c r="U288" s="21">
        <v>5</v>
      </c>
      <c r="V288" s="21">
        <v>5</v>
      </c>
      <c r="W288" s="73">
        <f t="shared" si="11"/>
        <v>285</v>
      </c>
      <c r="X288" s="80">
        <f t="shared" si="10"/>
        <v>710</v>
      </c>
      <c r="Y288" s="82" t="s">
        <v>3592</v>
      </c>
      <c r="Z288" s="24" t="s">
        <v>2884</v>
      </c>
    </row>
    <row r="289" spans="1:37" ht="15.45" customHeight="1" x14ac:dyDescent="0.25">
      <c r="A289" s="29" t="s">
        <v>42</v>
      </c>
      <c r="C289" s="37" t="s">
        <v>2048</v>
      </c>
      <c r="E289" s="37" t="s">
        <v>2827</v>
      </c>
      <c r="F289" s="24" t="s">
        <v>4704</v>
      </c>
      <c r="G289" s="25"/>
      <c r="P289" s="37" t="s">
        <v>5519</v>
      </c>
      <c r="Q289" s="37" t="s">
        <v>1837</v>
      </c>
      <c r="R289" s="37" t="s">
        <v>3666</v>
      </c>
      <c r="S289" s="10" t="s">
        <v>2433</v>
      </c>
      <c r="U289" s="21">
        <v>1</v>
      </c>
      <c r="V289" s="21">
        <v>1</v>
      </c>
      <c r="W289" s="73">
        <f t="shared" si="11"/>
        <v>286</v>
      </c>
      <c r="X289" s="80">
        <f t="shared" si="10"/>
        <v>711</v>
      </c>
      <c r="Y289" s="82" t="s">
        <v>3592</v>
      </c>
      <c r="Z289" s="24" t="s">
        <v>37</v>
      </c>
    </row>
    <row r="290" spans="1:37" ht="15.45" customHeight="1" x14ac:dyDescent="0.25">
      <c r="A290" s="29" t="s">
        <v>1834</v>
      </c>
      <c r="C290" s="37" t="s">
        <v>1211</v>
      </c>
      <c r="E290" s="37" t="s">
        <v>2827</v>
      </c>
      <c r="F290" s="24" t="s">
        <v>4704</v>
      </c>
      <c r="G290" s="25"/>
      <c r="P290" s="37" t="s">
        <v>80</v>
      </c>
      <c r="Q290" s="37" t="s">
        <v>1979</v>
      </c>
      <c r="R290" s="37" t="s">
        <v>1792</v>
      </c>
      <c r="S290" s="10" t="s">
        <v>2433</v>
      </c>
      <c r="U290" s="21">
        <v>1</v>
      </c>
      <c r="V290" s="21">
        <v>1</v>
      </c>
      <c r="W290" s="73">
        <f t="shared" si="11"/>
        <v>287</v>
      </c>
      <c r="X290" s="80">
        <f t="shared" si="10"/>
        <v>712</v>
      </c>
      <c r="Y290" s="82" t="s">
        <v>3584</v>
      </c>
    </row>
    <row r="291" spans="1:37" ht="15.45" customHeight="1" x14ac:dyDescent="0.25">
      <c r="A291" s="29" t="s">
        <v>99</v>
      </c>
      <c r="C291" s="37" t="s">
        <v>1211</v>
      </c>
      <c r="E291" s="37" t="s">
        <v>2827</v>
      </c>
      <c r="F291" s="24" t="s">
        <v>4704</v>
      </c>
      <c r="G291" s="25"/>
      <c r="P291" s="37" t="s">
        <v>382</v>
      </c>
      <c r="Q291" s="37" t="s">
        <v>3506</v>
      </c>
      <c r="R291" s="37" t="s">
        <v>1792</v>
      </c>
      <c r="S291" s="10" t="s">
        <v>2433</v>
      </c>
      <c r="U291" s="21">
        <v>1</v>
      </c>
      <c r="V291" s="21">
        <v>1</v>
      </c>
      <c r="W291" s="73">
        <f t="shared" si="11"/>
        <v>288</v>
      </c>
      <c r="X291" s="80">
        <f t="shared" si="10"/>
        <v>713</v>
      </c>
      <c r="Y291" s="82" t="s">
        <v>3592</v>
      </c>
      <c r="Z291" s="24" t="s">
        <v>2884</v>
      </c>
    </row>
    <row r="292" spans="1:37" ht="15.45" customHeight="1" x14ac:dyDescent="0.25">
      <c r="A292" s="29" t="s">
        <v>2396</v>
      </c>
      <c r="C292" s="37" t="s">
        <v>1211</v>
      </c>
      <c r="E292" s="37" t="s">
        <v>2827</v>
      </c>
      <c r="F292" s="24" t="s">
        <v>4704</v>
      </c>
      <c r="G292" s="25"/>
      <c r="P292" s="37" t="s">
        <v>382</v>
      </c>
      <c r="Q292" s="37" t="s">
        <v>3506</v>
      </c>
      <c r="R292" s="37" t="s">
        <v>1792</v>
      </c>
      <c r="S292" s="10" t="s">
        <v>2433</v>
      </c>
      <c r="U292" s="21">
        <v>1</v>
      </c>
      <c r="V292" s="21">
        <v>1</v>
      </c>
      <c r="W292" s="73">
        <f t="shared" si="11"/>
        <v>289</v>
      </c>
      <c r="X292" s="80">
        <f t="shared" si="10"/>
        <v>714</v>
      </c>
      <c r="Y292" s="82" t="s">
        <v>3592</v>
      </c>
      <c r="Z292" s="24" t="s">
        <v>2884</v>
      </c>
    </row>
    <row r="293" spans="1:37" ht="15.45" customHeight="1" x14ac:dyDescent="0.25">
      <c r="A293" s="29" t="s">
        <v>176</v>
      </c>
      <c r="C293" s="37" t="s">
        <v>1211</v>
      </c>
      <c r="E293" s="37" t="s">
        <v>2827</v>
      </c>
      <c r="F293" s="24" t="s">
        <v>4704</v>
      </c>
      <c r="G293" s="25"/>
      <c r="P293" s="37" t="s">
        <v>485</v>
      </c>
      <c r="Q293" s="37" t="s">
        <v>3506</v>
      </c>
      <c r="R293" s="37" t="s">
        <v>1792</v>
      </c>
      <c r="S293" s="10" t="s">
        <v>2433</v>
      </c>
      <c r="U293" s="21">
        <v>1</v>
      </c>
      <c r="V293" s="21">
        <v>1</v>
      </c>
      <c r="W293" s="73">
        <f t="shared" si="11"/>
        <v>290</v>
      </c>
      <c r="X293" s="80">
        <f t="shared" si="10"/>
        <v>715</v>
      </c>
      <c r="Y293" s="82" t="s">
        <v>3592</v>
      </c>
      <c r="Z293" s="24" t="s">
        <v>2884</v>
      </c>
    </row>
    <row r="294" spans="1:37" ht="15.45" customHeight="1" x14ac:dyDescent="0.25">
      <c r="A294" s="29" t="s">
        <v>5666</v>
      </c>
      <c r="C294" s="37" t="s">
        <v>1211</v>
      </c>
      <c r="E294" s="37" t="s">
        <v>2827</v>
      </c>
      <c r="F294" s="24" t="s">
        <v>2285</v>
      </c>
      <c r="G294" s="25"/>
      <c r="P294" s="37" t="s">
        <v>1943</v>
      </c>
      <c r="Q294" s="37" t="s">
        <v>5344</v>
      </c>
      <c r="R294" s="37" t="s">
        <v>3663</v>
      </c>
      <c r="S294" s="10" t="s">
        <v>2433</v>
      </c>
      <c r="U294" s="21">
        <v>1</v>
      </c>
      <c r="V294" s="21">
        <v>1</v>
      </c>
      <c r="W294" s="73">
        <f t="shared" si="11"/>
        <v>291</v>
      </c>
      <c r="X294" s="80">
        <f t="shared" si="10"/>
        <v>716</v>
      </c>
      <c r="Y294" s="82" t="s">
        <v>3592</v>
      </c>
      <c r="Z294" s="24" t="s">
        <v>2888</v>
      </c>
    </row>
    <row r="295" spans="1:37" ht="15.45" customHeight="1" x14ac:dyDescent="0.25">
      <c r="A295" s="29" t="s">
        <v>5934</v>
      </c>
      <c r="C295" s="37" t="s">
        <v>1211</v>
      </c>
      <c r="E295" s="37" t="s">
        <v>2827</v>
      </c>
      <c r="F295" s="24" t="s">
        <v>2285</v>
      </c>
      <c r="G295" s="25"/>
      <c r="H295" s="201" t="s">
        <v>5935</v>
      </c>
      <c r="J295" s="214" t="s">
        <v>5305</v>
      </c>
      <c r="O295" s="37" t="s">
        <v>5936</v>
      </c>
      <c r="P295" s="37" t="s">
        <v>5361</v>
      </c>
      <c r="Q295" s="37" t="s">
        <v>3506</v>
      </c>
      <c r="R295" s="37" t="s">
        <v>1792</v>
      </c>
      <c r="S295" s="10" t="s">
        <v>2433</v>
      </c>
      <c r="U295" s="21">
        <v>1</v>
      </c>
      <c r="V295" s="21">
        <v>1</v>
      </c>
      <c r="W295" s="73">
        <f t="shared" si="11"/>
        <v>292</v>
      </c>
      <c r="X295" s="80">
        <f t="shared" si="10"/>
        <v>717</v>
      </c>
      <c r="Y295" s="82" t="s">
        <v>3591</v>
      </c>
      <c r="Z295" s="24" t="s">
        <v>2885</v>
      </c>
      <c r="AB295" s="177">
        <v>44387</v>
      </c>
    </row>
    <row r="296" spans="1:37" ht="15.45" customHeight="1" x14ac:dyDescent="0.25">
      <c r="A296" s="29" t="s">
        <v>5664</v>
      </c>
      <c r="C296" s="37" t="s">
        <v>1211</v>
      </c>
      <c r="E296" s="37" t="s">
        <v>2827</v>
      </c>
      <c r="F296" s="24" t="s">
        <v>2285</v>
      </c>
      <c r="G296" s="25"/>
      <c r="O296" s="37" t="s">
        <v>346</v>
      </c>
      <c r="R296" s="37" t="s">
        <v>1811</v>
      </c>
      <c r="S296" s="10" t="s">
        <v>2433</v>
      </c>
      <c r="U296" s="21">
        <v>2</v>
      </c>
      <c r="V296" s="21">
        <v>2</v>
      </c>
      <c r="W296" s="73">
        <f t="shared" si="11"/>
        <v>294</v>
      </c>
      <c r="X296" s="80">
        <f t="shared" si="10"/>
        <v>719</v>
      </c>
      <c r="Y296" s="82" t="s">
        <v>3592</v>
      </c>
      <c r="Z296" s="24" t="s">
        <v>2884</v>
      </c>
    </row>
    <row r="297" spans="1:37" ht="15.45" customHeight="1" x14ac:dyDescent="0.25">
      <c r="A297" s="29" t="s">
        <v>5664</v>
      </c>
      <c r="C297" s="37" t="s">
        <v>1211</v>
      </c>
      <c r="E297" s="37" t="s">
        <v>2827</v>
      </c>
      <c r="F297" s="24" t="s">
        <v>2285</v>
      </c>
      <c r="G297" s="25"/>
      <c r="J297" s="214" t="s">
        <v>5636</v>
      </c>
      <c r="O297" s="37" t="s">
        <v>346</v>
      </c>
      <c r="R297" s="37" t="s">
        <v>1811</v>
      </c>
      <c r="S297" s="10" t="s">
        <v>2433</v>
      </c>
      <c r="U297" s="21">
        <v>1</v>
      </c>
      <c r="V297" s="21">
        <v>1</v>
      </c>
      <c r="W297" s="73">
        <f t="shared" si="11"/>
        <v>295</v>
      </c>
      <c r="X297" s="80">
        <f t="shared" si="10"/>
        <v>720</v>
      </c>
      <c r="Y297" s="82" t="s">
        <v>3591</v>
      </c>
      <c r="Z297" s="24" t="s">
        <v>2885</v>
      </c>
      <c r="AB297" s="177">
        <v>44387</v>
      </c>
      <c r="AC297" s="84" t="s">
        <v>2885</v>
      </c>
    </row>
    <row r="298" spans="1:37" ht="15.45" customHeight="1" x14ac:dyDescent="0.25">
      <c r="A298" s="29" t="s">
        <v>5665</v>
      </c>
      <c r="C298" s="37" t="s">
        <v>1211</v>
      </c>
      <c r="E298" s="37" t="s">
        <v>2827</v>
      </c>
      <c r="F298" s="24" t="s">
        <v>2285</v>
      </c>
      <c r="O298" s="37" t="s">
        <v>1771</v>
      </c>
      <c r="P298" s="37" t="s">
        <v>1463</v>
      </c>
      <c r="Q298" s="37" t="s">
        <v>3506</v>
      </c>
      <c r="R298" s="37" t="s">
        <v>1792</v>
      </c>
      <c r="S298" s="10" t="s">
        <v>2433</v>
      </c>
      <c r="T298" s="11"/>
      <c r="U298" s="21">
        <v>2</v>
      </c>
      <c r="V298" s="21">
        <v>2</v>
      </c>
      <c r="W298" s="73">
        <f t="shared" si="11"/>
        <v>297</v>
      </c>
      <c r="X298" s="80">
        <f t="shared" ref="X298:X361" si="12">V298+X297</f>
        <v>722</v>
      </c>
      <c r="Y298" s="82" t="s">
        <v>3592</v>
      </c>
      <c r="Z298" s="24" t="s">
        <v>2884</v>
      </c>
      <c r="AF298" s="11"/>
      <c r="AG298" s="11"/>
      <c r="AH298" s="11"/>
      <c r="AI298" s="11"/>
      <c r="AJ298" s="11"/>
      <c r="AK298" s="11"/>
    </row>
    <row r="299" spans="1:37" ht="15.45" customHeight="1" x14ac:dyDescent="0.25">
      <c r="A299" s="29" t="s">
        <v>5664</v>
      </c>
      <c r="C299" s="37" t="s">
        <v>1211</v>
      </c>
      <c r="E299" s="37" t="s">
        <v>2827</v>
      </c>
      <c r="F299" s="24" t="s">
        <v>2285</v>
      </c>
      <c r="G299" s="25"/>
      <c r="H299" s="38" t="s">
        <v>4113</v>
      </c>
      <c r="J299" s="215">
        <v>1978</v>
      </c>
      <c r="O299" s="37" t="s">
        <v>5663</v>
      </c>
      <c r="P299" s="37" t="s">
        <v>5377</v>
      </c>
      <c r="Q299" s="37" t="s">
        <v>4112</v>
      </c>
      <c r="R299" s="37" t="s">
        <v>1811</v>
      </c>
      <c r="S299" s="10" t="s">
        <v>2433</v>
      </c>
      <c r="T299" s="11"/>
      <c r="U299" s="21">
        <v>1</v>
      </c>
      <c r="V299" s="21">
        <v>1</v>
      </c>
      <c r="W299" s="73">
        <f t="shared" ref="W299:W362" si="13">W298+V299</f>
        <v>298</v>
      </c>
      <c r="X299" s="80">
        <f t="shared" si="12"/>
        <v>723</v>
      </c>
      <c r="Y299" s="82" t="s">
        <v>3591</v>
      </c>
      <c r="Z299" s="24" t="s">
        <v>4292</v>
      </c>
      <c r="AA299" s="179"/>
      <c r="AB299" s="179">
        <v>42522</v>
      </c>
      <c r="AC299" s="84" t="s">
        <v>2885</v>
      </c>
      <c r="AF299" s="11"/>
      <c r="AG299" s="11"/>
      <c r="AH299" s="11"/>
      <c r="AI299" s="11"/>
      <c r="AJ299" s="11"/>
      <c r="AK299" s="11"/>
    </row>
    <row r="300" spans="1:37" ht="15.45" customHeight="1" x14ac:dyDescent="0.25">
      <c r="A300" s="29" t="s">
        <v>5882</v>
      </c>
      <c r="C300" s="37" t="s">
        <v>1211</v>
      </c>
      <c r="E300" s="37" t="s">
        <v>2827</v>
      </c>
      <c r="F300" s="24" t="s">
        <v>2285</v>
      </c>
      <c r="G300" s="25"/>
      <c r="H300" s="201" t="s">
        <v>5884</v>
      </c>
      <c r="J300" s="215">
        <v>1978</v>
      </c>
      <c r="O300" s="37" t="s">
        <v>5886</v>
      </c>
      <c r="P300" s="37" t="s">
        <v>1463</v>
      </c>
      <c r="Q300" s="37" t="s">
        <v>3506</v>
      </c>
      <c r="R300" s="37" t="s">
        <v>1792</v>
      </c>
      <c r="S300" s="10" t="s">
        <v>2433</v>
      </c>
      <c r="T300" s="11"/>
      <c r="U300" s="21">
        <v>1</v>
      </c>
      <c r="V300" s="21">
        <v>1</v>
      </c>
      <c r="W300" s="73">
        <f t="shared" si="13"/>
        <v>299</v>
      </c>
      <c r="X300" s="80">
        <f t="shared" si="12"/>
        <v>724</v>
      </c>
      <c r="Y300" s="82" t="s">
        <v>3591</v>
      </c>
      <c r="Z300" s="24" t="s">
        <v>2885</v>
      </c>
      <c r="AB300" s="177">
        <v>44387</v>
      </c>
      <c r="AC300" s="84" t="s">
        <v>2885</v>
      </c>
      <c r="AF300" s="11"/>
      <c r="AG300" s="11"/>
      <c r="AH300" s="11"/>
      <c r="AI300" s="11"/>
      <c r="AJ300" s="11"/>
      <c r="AK300" s="11"/>
    </row>
    <row r="301" spans="1:37" ht="15.45" customHeight="1" x14ac:dyDescent="0.25">
      <c r="A301" s="29" t="s">
        <v>5883</v>
      </c>
      <c r="C301" s="37" t="s">
        <v>1211</v>
      </c>
      <c r="E301" s="37" t="s">
        <v>2827</v>
      </c>
      <c r="F301" s="24" t="s">
        <v>2285</v>
      </c>
      <c r="G301" s="25"/>
      <c r="H301" s="38" t="s">
        <v>5885</v>
      </c>
      <c r="J301" s="215">
        <v>1979</v>
      </c>
      <c r="Q301" s="37" t="s">
        <v>1837</v>
      </c>
      <c r="R301" s="37" t="s">
        <v>3666</v>
      </c>
      <c r="S301" s="10" t="s">
        <v>3412</v>
      </c>
      <c r="T301" s="11"/>
      <c r="U301" s="21">
        <v>1</v>
      </c>
      <c r="V301" s="21">
        <v>1</v>
      </c>
      <c r="W301" s="73">
        <f t="shared" si="13"/>
        <v>300</v>
      </c>
      <c r="X301" s="80">
        <f t="shared" si="12"/>
        <v>725</v>
      </c>
      <c r="Y301" s="82" t="s">
        <v>3591</v>
      </c>
      <c r="Z301" s="24" t="s">
        <v>2885</v>
      </c>
      <c r="AB301" s="177">
        <v>44387</v>
      </c>
      <c r="AC301" s="84" t="s">
        <v>2885</v>
      </c>
      <c r="AF301" s="11"/>
      <c r="AG301" s="11"/>
      <c r="AH301" s="11"/>
      <c r="AI301" s="11"/>
      <c r="AJ301" s="11"/>
      <c r="AK301" s="11"/>
    </row>
    <row r="302" spans="1:37" ht="15.45" customHeight="1" x14ac:dyDescent="0.25">
      <c r="A302" s="31" t="s">
        <v>1640</v>
      </c>
      <c r="C302" s="37" t="s">
        <v>1211</v>
      </c>
      <c r="E302" s="37" t="s">
        <v>2827</v>
      </c>
      <c r="F302" s="24" t="s">
        <v>2283</v>
      </c>
      <c r="O302" s="37" t="s">
        <v>5520</v>
      </c>
      <c r="P302" s="37" t="s">
        <v>546</v>
      </c>
      <c r="Q302" s="37" t="s">
        <v>3506</v>
      </c>
      <c r="R302" s="37" t="s">
        <v>1792</v>
      </c>
      <c r="S302" s="10" t="s">
        <v>2433</v>
      </c>
      <c r="T302" s="11"/>
      <c r="U302" s="21">
        <v>1</v>
      </c>
      <c r="V302" s="21">
        <v>1</v>
      </c>
      <c r="W302" s="73">
        <f t="shared" si="13"/>
        <v>301</v>
      </c>
      <c r="X302" s="80">
        <f t="shared" si="12"/>
        <v>726</v>
      </c>
      <c r="Y302" s="82" t="s">
        <v>3584</v>
      </c>
      <c r="AF302" s="11"/>
      <c r="AG302" s="11"/>
      <c r="AH302" s="11"/>
      <c r="AI302" s="11"/>
      <c r="AJ302" s="11"/>
      <c r="AK302" s="11"/>
    </row>
    <row r="303" spans="1:37" ht="15.45" customHeight="1" x14ac:dyDescent="0.25">
      <c r="A303" s="31" t="s">
        <v>265</v>
      </c>
      <c r="C303" s="37" t="s">
        <v>1211</v>
      </c>
      <c r="E303" s="37" t="s">
        <v>2827</v>
      </c>
      <c r="F303" s="24" t="s">
        <v>2283</v>
      </c>
      <c r="G303" s="25"/>
      <c r="P303" s="37" t="s">
        <v>486</v>
      </c>
      <c r="Q303" s="37" t="s">
        <v>3506</v>
      </c>
      <c r="R303" s="37" t="s">
        <v>1792</v>
      </c>
      <c r="S303" s="10" t="s">
        <v>2433</v>
      </c>
      <c r="T303" s="11"/>
      <c r="U303" s="21">
        <v>1</v>
      </c>
      <c r="V303" s="21">
        <v>1</v>
      </c>
      <c r="W303" s="73">
        <f t="shared" si="13"/>
        <v>302</v>
      </c>
      <c r="X303" s="80">
        <f t="shared" si="12"/>
        <v>727</v>
      </c>
      <c r="Y303" s="82" t="s">
        <v>3591</v>
      </c>
      <c r="Z303" s="24" t="s">
        <v>6238</v>
      </c>
      <c r="AA303" s="177">
        <v>44509</v>
      </c>
      <c r="AF303" s="11"/>
      <c r="AG303" s="11"/>
      <c r="AH303" s="11"/>
      <c r="AI303" s="11"/>
      <c r="AJ303" s="11"/>
      <c r="AK303" s="11"/>
    </row>
    <row r="304" spans="1:37" ht="15.45" customHeight="1" x14ac:dyDescent="0.25">
      <c r="A304" s="31" t="s">
        <v>265</v>
      </c>
      <c r="C304" s="37" t="s">
        <v>1211</v>
      </c>
      <c r="E304" s="37" t="s">
        <v>2827</v>
      </c>
      <c r="F304" s="24" t="s">
        <v>2283</v>
      </c>
      <c r="G304" s="25"/>
      <c r="P304" s="37" t="s">
        <v>486</v>
      </c>
      <c r="Q304" s="37" t="s">
        <v>3506</v>
      </c>
      <c r="R304" s="37" t="s">
        <v>1792</v>
      </c>
      <c r="S304" s="10" t="s">
        <v>2433</v>
      </c>
      <c r="T304" s="11"/>
      <c r="U304" s="21">
        <v>1</v>
      </c>
      <c r="V304" s="21">
        <v>1</v>
      </c>
      <c r="W304" s="73">
        <f t="shared" si="13"/>
        <v>303</v>
      </c>
      <c r="X304" s="80">
        <f t="shared" si="12"/>
        <v>728</v>
      </c>
      <c r="Y304" s="82" t="s">
        <v>3592</v>
      </c>
      <c r="Z304" s="24" t="s">
        <v>2884</v>
      </c>
      <c r="AF304" s="11"/>
      <c r="AG304" s="11"/>
      <c r="AH304" s="11"/>
      <c r="AI304" s="11"/>
      <c r="AJ304" s="11"/>
      <c r="AK304" s="11"/>
    </row>
    <row r="305" spans="1:37" ht="15.45" customHeight="1" x14ac:dyDescent="0.25">
      <c r="A305" s="31" t="s">
        <v>265</v>
      </c>
      <c r="C305" s="37" t="s">
        <v>1211</v>
      </c>
      <c r="E305" s="37" t="s">
        <v>2827</v>
      </c>
      <c r="F305" s="24" t="s">
        <v>2283</v>
      </c>
      <c r="H305" s="38" t="s">
        <v>7012</v>
      </c>
      <c r="P305" s="37" t="s">
        <v>486</v>
      </c>
      <c r="Q305" s="37" t="s">
        <v>3506</v>
      </c>
      <c r="R305" s="37" t="s">
        <v>1792</v>
      </c>
      <c r="S305" s="10" t="s">
        <v>2433</v>
      </c>
      <c r="T305" s="11"/>
      <c r="U305" s="21">
        <v>1</v>
      </c>
      <c r="V305" s="21">
        <v>1</v>
      </c>
      <c r="W305" s="73">
        <f t="shared" si="13"/>
        <v>304</v>
      </c>
      <c r="X305" s="80">
        <f t="shared" si="12"/>
        <v>729</v>
      </c>
      <c r="Y305" s="82" t="s">
        <v>3592</v>
      </c>
      <c r="Z305" s="24" t="s">
        <v>1871</v>
      </c>
      <c r="AF305" s="11"/>
      <c r="AG305" s="11"/>
      <c r="AH305" s="11"/>
      <c r="AI305" s="11"/>
      <c r="AJ305" s="11"/>
      <c r="AK305" s="11"/>
    </row>
    <row r="306" spans="1:37" ht="15.45" customHeight="1" x14ac:dyDescent="0.25">
      <c r="A306" s="31" t="s">
        <v>5922</v>
      </c>
      <c r="C306" s="37" t="s">
        <v>1211</v>
      </c>
      <c r="E306" s="37" t="s">
        <v>2827</v>
      </c>
      <c r="F306" s="24" t="s">
        <v>2283</v>
      </c>
      <c r="H306" s="38" t="s">
        <v>5923</v>
      </c>
      <c r="J306" s="214" t="s">
        <v>5327</v>
      </c>
      <c r="O306" s="37" t="s">
        <v>5924</v>
      </c>
      <c r="P306" s="37" t="s">
        <v>1463</v>
      </c>
      <c r="Q306" s="37" t="s">
        <v>3506</v>
      </c>
      <c r="R306" s="37" t="s">
        <v>1792</v>
      </c>
      <c r="S306" s="10" t="s">
        <v>2433</v>
      </c>
      <c r="T306" s="11"/>
      <c r="U306" s="21">
        <v>1</v>
      </c>
      <c r="V306" s="21">
        <v>1</v>
      </c>
      <c r="W306" s="73">
        <f t="shared" si="13"/>
        <v>305</v>
      </c>
      <c r="X306" s="80">
        <f t="shared" si="12"/>
        <v>730</v>
      </c>
      <c r="Y306" s="82" t="s">
        <v>3591</v>
      </c>
      <c r="Z306" s="24" t="s">
        <v>2885</v>
      </c>
      <c r="AB306" s="177">
        <v>44387</v>
      </c>
      <c r="AC306" s="84" t="s">
        <v>2885</v>
      </c>
      <c r="AF306" s="11"/>
      <c r="AG306" s="11"/>
      <c r="AH306" s="11"/>
      <c r="AI306" s="11"/>
      <c r="AJ306" s="11"/>
      <c r="AK306" s="11"/>
    </row>
    <row r="307" spans="1:37" ht="15.45" customHeight="1" x14ac:dyDescent="0.25">
      <c r="A307" s="31" t="s">
        <v>960</v>
      </c>
      <c r="C307" s="37" t="s">
        <v>1211</v>
      </c>
      <c r="E307" s="37" t="s">
        <v>2827</v>
      </c>
      <c r="F307" s="24" t="s">
        <v>2285</v>
      </c>
      <c r="S307" s="10" t="s">
        <v>2433</v>
      </c>
      <c r="T307" s="11"/>
      <c r="U307" s="21">
        <v>1</v>
      </c>
      <c r="V307" s="21">
        <v>1</v>
      </c>
      <c r="W307" s="73">
        <f t="shared" si="13"/>
        <v>306</v>
      </c>
      <c r="X307" s="80">
        <f t="shared" si="12"/>
        <v>731</v>
      </c>
      <c r="Y307" s="82" t="s">
        <v>3584</v>
      </c>
      <c r="AF307" s="11"/>
      <c r="AG307" s="11"/>
      <c r="AH307" s="11"/>
      <c r="AI307" s="11"/>
      <c r="AJ307" s="11"/>
      <c r="AK307" s="11"/>
    </row>
    <row r="308" spans="1:37" ht="15.45" customHeight="1" x14ac:dyDescent="0.25">
      <c r="A308" s="31" t="s">
        <v>3840</v>
      </c>
      <c r="C308" s="37" t="s">
        <v>1211</v>
      </c>
      <c r="E308" s="37" t="s">
        <v>2827</v>
      </c>
      <c r="F308" s="24" t="s">
        <v>2285</v>
      </c>
      <c r="H308" s="38" t="s">
        <v>7208</v>
      </c>
      <c r="O308" s="37" t="s">
        <v>5521</v>
      </c>
      <c r="P308" s="37" t="s">
        <v>5522</v>
      </c>
      <c r="Q308" s="37" t="s">
        <v>3506</v>
      </c>
      <c r="R308" s="37" t="s">
        <v>1792</v>
      </c>
      <c r="S308" s="10" t="s">
        <v>2433</v>
      </c>
      <c r="T308" s="11"/>
      <c r="U308" s="21">
        <v>6</v>
      </c>
      <c r="V308" s="21">
        <v>6</v>
      </c>
      <c r="W308" s="73">
        <f t="shared" si="13"/>
        <v>312</v>
      </c>
      <c r="X308" s="80">
        <f t="shared" si="12"/>
        <v>737</v>
      </c>
      <c r="Y308" s="82" t="s">
        <v>3592</v>
      </c>
      <c r="Z308" s="24" t="s">
        <v>69</v>
      </c>
      <c r="AF308" s="11"/>
      <c r="AG308" s="11"/>
      <c r="AH308" s="11"/>
      <c r="AI308" s="11"/>
      <c r="AJ308" s="11"/>
      <c r="AK308" s="11"/>
    </row>
    <row r="309" spans="1:37" ht="15.45" customHeight="1" x14ac:dyDescent="0.25">
      <c r="A309" s="31" t="s">
        <v>961</v>
      </c>
      <c r="C309" s="37" t="s">
        <v>1211</v>
      </c>
      <c r="E309" s="37" t="s">
        <v>2827</v>
      </c>
      <c r="F309" s="24" t="s">
        <v>2285</v>
      </c>
      <c r="P309" s="37" t="s">
        <v>1872</v>
      </c>
      <c r="Q309" s="37" t="s">
        <v>3506</v>
      </c>
      <c r="R309" s="37" t="s">
        <v>1792</v>
      </c>
      <c r="S309" s="10" t="s">
        <v>2433</v>
      </c>
      <c r="T309" s="11"/>
      <c r="U309" s="21">
        <v>3</v>
      </c>
      <c r="V309" s="21">
        <v>3</v>
      </c>
      <c r="W309" s="73">
        <f t="shared" si="13"/>
        <v>315</v>
      </c>
      <c r="X309" s="80">
        <f t="shared" si="12"/>
        <v>740</v>
      </c>
      <c r="Y309" s="82" t="s">
        <v>3584</v>
      </c>
      <c r="AF309" s="11"/>
      <c r="AG309" s="11"/>
      <c r="AH309" s="11"/>
      <c r="AI309" s="11"/>
      <c r="AJ309" s="11"/>
      <c r="AK309" s="11"/>
    </row>
    <row r="310" spans="1:37" ht="15.45" customHeight="1" x14ac:dyDescent="0.25">
      <c r="A310" s="31" t="s">
        <v>5887</v>
      </c>
      <c r="C310" s="37" t="s">
        <v>1211</v>
      </c>
      <c r="E310" s="37" t="s">
        <v>2827</v>
      </c>
      <c r="F310" s="24" t="s">
        <v>2285</v>
      </c>
      <c r="H310" s="201" t="s">
        <v>5890</v>
      </c>
      <c r="J310" s="214" t="s">
        <v>5684</v>
      </c>
      <c r="O310" s="37" t="s">
        <v>5886</v>
      </c>
      <c r="P310" s="37" t="s">
        <v>1463</v>
      </c>
      <c r="Q310" s="37" t="s">
        <v>3506</v>
      </c>
      <c r="R310" s="37" t="s">
        <v>1792</v>
      </c>
      <c r="S310" s="10" t="s">
        <v>2433</v>
      </c>
      <c r="T310" s="11"/>
      <c r="U310" s="21">
        <v>2</v>
      </c>
      <c r="V310" s="21">
        <v>2</v>
      </c>
      <c r="W310" s="73">
        <f t="shared" si="13"/>
        <v>317</v>
      </c>
      <c r="X310" s="80">
        <f t="shared" si="12"/>
        <v>742</v>
      </c>
      <c r="Y310" s="82" t="s">
        <v>3591</v>
      </c>
      <c r="Z310" s="24" t="s">
        <v>2885</v>
      </c>
      <c r="AB310" s="177">
        <v>44387</v>
      </c>
      <c r="AC310" s="84" t="s">
        <v>2885</v>
      </c>
      <c r="AF310" s="11"/>
      <c r="AG310" s="11"/>
      <c r="AH310" s="11"/>
      <c r="AI310" s="11"/>
      <c r="AJ310" s="11"/>
      <c r="AK310" s="11"/>
    </row>
    <row r="311" spans="1:37" ht="15.45" customHeight="1" x14ac:dyDescent="0.25">
      <c r="A311" s="31" t="s">
        <v>5888</v>
      </c>
      <c r="C311" s="37" t="s">
        <v>1211</v>
      </c>
      <c r="E311" s="37" t="s">
        <v>2827</v>
      </c>
      <c r="F311" s="24" t="s">
        <v>2285</v>
      </c>
      <c r="H311" s="201" t="s">
        <v>5891</v>
      </c>
      <c r="J311" s="214" t="s">
        <v>5684</v>
      </c>
      <c r="O311" s="37" t="s">
        <v>5886</v>
      </c>
      <c r="P311" s="37" t="s">
        <v>1463</v>
      </c>
      <c r="Q311" s="37" t="s">
        <v>3506</v>
      </c>
      <c r="R311" s="37" t="s">
        <v>1792</v>
      </c>
      <c r="S311" s="10" t="s">
        <v>2433</v>
      </c>
      <c r="T311" s="11"/>
      <c r="U311" s="21">
        <v>2</v>
      </c>
      <c r="V311" s="21">
        <v>2</v>
      </c>
      <c r="W311" s="73">
        <f t="shared" si="13"/>
        <v>319</v>
      </c>
      <c r="X311" s="80">
        <f t="shared" si="12"/>
        <v>744</v>
      </c>
      <c r="Y311" s="82" t="s">
        <v>3591</v>
      </c>
      <c r="Z311" s="24" t="s">
        <v>2885</v>
      </c>
      <c r="AB311" s="177">
        <v>44387</v>
      </c>
      <c r="AC311" s="84" t="s">
        <v>2885</v>
      </c>
      <c r="AF311" s="11"/>
      <c r="AG311" s="11"/>
      <c r="AH311" s="11"/>
      <c r="AI311" s="11"/>
      <c r="AJ311" s="11"/>
      <c r="AK311" s="11"/>
    </row>
    <row r="312" spans="1:37" ht="15.45" customHeight="1" x14ac:dyDescent="0.25">
      <c r="A312" s="31" t="s">
        <v>5889</v>
      </c>
      <c r="C312" s="37" t="s">
        <v>1211</v>
      </c>
      <c r="E312" s="37" t="s">
        <v>2827</v>
      </c>
      <c r="F312" s="24" t="s">
        <v>2285</v>
      </c>
      <c r="H312" s="201" t="s">
        <v>5892</v>
      </c>
      <c r="J312" s="214" t="s">
        <v>4404</v>
      </c>
      <c r="Q312" s="37" t="s">
        <v>3506</v>
      </c>
      <c r="R312" s="37" t="s">
        <v>1792</v>
      </c>
      <c r="S312" s="10" t="s">
        <v>2433</v>
      </c>
      <c r="T312" s="11"/>
      <c r="U312" s="21">
        <v>1</v>
      </c>
      <c r="V312" s="21">
        <v>1</v>
      </c>
      <c r="W312" s="73">
        <f t="shared" si="13"/>
        <v>320</v>
      </c>
      <c r="X312" s="80">
        <f t="shared" si="12"/>
        <v>745</v>
      </c>
      <c r="Y312" s="82" t="s">
        <v>3591</v>
      </c>
      <c r="Z312" s="24" t="s">
        <v>2885</v>
      </c>
      <c r="AB312" s="177">
        <v>44387</v>
      </c>
      <c r="AC312" s="84" t="s">
        <v>2885</v>
      </c>
      <c r="AF312" s="11"/>
      <c r="AG312" s="11"/>
      <c r="AH312" s="11"/>
      <c r="AI312" s="11"/>
      <c r="AJ312" s="11"/>
      <c r="AK312" s="11"/>
    </row>
    <row r="313" spans="1:37" ht="15.45" customHeight="1" x14ac:dyDescent="0.25">
      <c r="A313" s="31" t="s">
        <v>274</v>
      </c>
      <c r="C313" s="37" t="s">
        <v>1211</v>
      </c>
      <c r="E313" s="37" t="s">
        <v>2827</v>
      </c>
      <c r="F313" s="24" t="s">
        <v>2285</v>
      </c>
      <c r="S313" s="10" t="s">
        <v>2433</v>
      </c>
      <c r="T313" s="11"/>
      <c r="U313" s="21">
        <v>4</v>
      </c>
      <c r="V313" s="21">
        <v>4</v>
      </c>
      <c r="W313" s="73">
        <f t="shared" si="13"/>
        <v>324</v>
      </c>
      <c r="X313" s="80">
        <f t="shared" si="12"/>
        <v>749</v>
      </c>
      <c r="Y313" s="82" t="s">
        <v>3592</v>
      </c>
      <c r="Z313" s="24" t="s">
        <v>2888</v>
      </c>
      <c r="AF313" s="11"/>
      <c r="AG313" s="11"/>
      <c r="AH313" s="11"/>
      <c r="AI313" s="11"/>
      <c r="AJ313" s="11"/>
      <c r="AK313" s="11"/>
    </row>
    <row r="314" spans="1:37" ht="15.45" customHeight="1" x14ac:dyDescent="0.25">
      <c r="A314" s="31" t="s">
        <v>195</v>
      </c>
      <c r="C314" s="37" t="s">
        <v>1211</v>
      </c>
      <c r="E314" s="37" t="s">
        <v>2827</v>
      </c>
      <c r="F314" s="24" t="s">
        <v>2285</v>
      </c>
      <c r="O314" s="37" t="s">
        <v>5523</v>
      </c>
      <c r="P314" s="37" t="s">
        <v>1463</v>
      </c>
      <c r="Q314" s="37" t="s">
        <v>3506</v>
      </c>
      <c r="R314" s="37" t="s">
        <v>1792</v>
      </c>
      <c r="S314" s="10" t="s">
        <v>2433</v>
      </c>
      <c r="T314" s="11"/>
      <c r="U314" s="21">
        <v>1</v>
      </c>
      <c r="V314" s="21">
        <v>1</v>
      </c>
      <c r="W314" s="73">
        <f t="shared" si="13"/>
        <v>325</v>
      </c>
      <c r="X314" s="80">
        <f t="shared" si="12"/>
        <v>750</v>
      </c>
      <c r="Y314" s="82" t="s">
        <v>3592</v>
      </c>
      <c r="Z314" s="24" t="s">
        <v>2884</v>
      </c>
      <c r="AF314" s="11"/>
      <c r="AG314" s="11"/>
      <c r="AH314" s="11"/>
      <c r="AI314" s="11"/>
      <c r="AJ314" s="11"/>
      <c r="AK314" s="11"/>
    </row>
    <row r="315" spans="1:37" ht="15.45" customHeight="1" x14ac:dyDescent="0.25">
      <c r="A315" s="31" t="s">
        <v>58</v>
      </c>
      <c r="C315" s="37" t="s">
        <v>1211</v>
      </c>
      <c r="E315" s="37" t="s">
        <v>2827</v>
      </c>
      <c r="F315" s="24" t="s">
        <v>2285</v>
      </c>
      <c r="S315" s="10" t="s">
        <v>2433</v>
      </c>
      <c r="T315" s="11"/>
      <c r="U315" s="21">
        <v>2</v>
      </c>
      <c r="V315" s="21">
        <v>2</v>
      </c>
      <c r="W315" s="73">
        <f t="shared" si="13"/>
        <v>327</v>
      </c>
      <c r="X315" s="80">
        <f t="shared" si="12"/>
        <v>752</v>
      </c>
      <c r="Y315" s="82" t="s">
        <v>3592</v>
      </c>
      <c r="Z315" s="24" t="s">
        <v>2884</v>
      </c>
      <c r="AF315" s="11"/>
      <c r="AG315" s="11"/>
      <c r="AH315" s="11"/>
      <c r="AI315" s="11"/>
      <c r="AJ315" s="11"/>
      <c r="AK315" s="11"/>
    </row>
    <row r="316" spans="1:37" ht="15.45" customHeight="1" x14ac:dyDescent="0.25">
      <c r="A316" s="31" t="s">
        <v>5893</v>
      </c>
      <c r="C316" s="37" t="s">
        <v>1211</v>
      </c>
      <c r="E316" s="37" t="s">
        <v>2827</v>
      </c>
      <c r="F316" s="24" t="s">
        <v>2285</v>
      </c>
      <c r="H316" s="201" t="s">
        <v>5894</v>
      </c>
      <c r="J316" s="214" t="s">
        <v>5684</v>
      </c>
      <c r="P316" s="37" t="s">
        <v>1463</v>
      </c>
      <c r="Q316" s="37" t="s">
        <v>3506</v>
      </c>
      <c r="R316" s="37" t="s">
        <v>1792</v>
      </c>
      <c r="S316" s="10" t="s">
        <v>2433</v>
      </c>
      <c r="T316" s="11"/>
      <c r="U316" s="21">
        <v>1</v>
      </c>
      <c r="V316" s="21">
        <v>1</v>
      </c>
      <c r="W316" s="73">
        <f t="shared" si="13"/>
        <v>328</v>
      </c>
      <c r="X316" s="80">
        <f t="shared" si="12"/>
        <v>753</v>
      </c>
      <c r="Y316" s="82" t="s">
        <v>3591</v>
      </c>
      <c r="Z316" s="24" t="s">
        <v>2885</v>
      </c>
      <c r="AB316" s="177">
        <v>44387</v>
      </c>
      <c r="AC316" s="84" t="s">
        <v>2885</v>
      </c>
      <c r="AF316" s="11"/>
      <c r="AG316" s="11"/>
      <c r="AH316" s="11"/>
      <c r="AI316" s="11"/>
      <c r="AJ316" s="11"/>
      <c r="AK316" s="11"/>
    </row>
    <row r="317" spans="1:37" ht="15.45" customHeight="1" x14ac:dyDescent="0.25">
      <c r="A317" s="31" t="s">
        <v>5895</v>
      </c>
      <c r="C317" s="37" t="s">
        <v>1211</v>
      </c>
      <c r="E317" s="37" t="s">
        <v>2827</v>
      </c>
      <c r="F317" s="24" t="s">
        <v>2285</v>
      </c>
      <c r="H317" s="204" t="s">
        <v>5896</v>
      </c>
      <c r="J317" s="214" t="s">
        <v>5684</v>
      </c>
      <c r="O317" s="37" t="s">
        <v>5886</v>
      </c>
      <c r="P317" s="37" t="s">
        <v>1463</v>
      </c>
      <c r="Q317" s="37" t="s">
        <v>3506</v>
      </c>
      <c r="R317" s="37" t="s">
        <v>1792</v>
      </c>
      <c r="S317" s="10" t="s">
        <v>2433</v>
      </c>
      <c r="T317" s="11"/>
      <c r="U317" s="21">
        <v>3</v>
      </c>
      <c r="V317" s="21">
        <v>3</v>
      </c>
      <c r="W317" s="73">
        <f t="shared" si="13"/>
        <v>331</v>
      </c>
      <c r="X317" s="80">
        <f t="shared" si="12"/>
        <v>756</v>
      </c>
      <c r="Y317" s="82" t="s">
        <v>3591</v>
      </c>
      <c r="Z317" s="24" t="s">
        <v>2885</v>
      </c>
      <c r="AB317" s="177">
        <v>44387</v>
      </c>
      <c r="AC317" s="84" t="s">
        <v>2885</v>
      </c>
      <c r="AF317" s="11"/>
      <c r="AG317" s="11"/>
      <c r="AH317" s="11"/>
      <c r="AI317" s="11"/>
      <c r="AJ317" s="11"/>
      <c r="AK317" s="11"/>
    </row>
    <row r="318" spans="1:37" ht="15.45" customHeight="1" x14ac:dyDescent="0.25">
      <c r="A318" s="31" t="s">
        <v>962</v>
      </c>
      <c r="C318" s="37" t="s">
        <v>1211</v>
      </c>
      <c r="E318" s="37" t="s">
        <v>2827</v>
      </c>
      <c r="F318" s="24" t="s">
        <v>2285</v>
      </c>
      <c r="J318" s="214" t="s">
        <v>3694</v>
      </c>
      <c r="K318" s="10" t="s">
        <v>3762</v>
      </c>
      <c r="O318" s="37" t="s">
        <v>5524</v>
      </c>
      <c r="P318" s="37" t="s">
        <v>5516</v>
      </c>
      <c r="Q318" s="37" t="s">
        <v>3506</v>
      </c>
      <c r="R318" s="37" t="s">
        <v>1792</v>
      </c>
      <c r="S318" s="10" t="s">
        <v>2433</v>
      </c>
      <c r="T318" s="11"/>
      <c r="U318" s="21">
        <v>1</v>
      </c>
      <c r="V318" s="21">
        <v>1</v>
      </c>
      <c r="W318" s="73">
        <f t="shared" si="13"/>
        <v>332</v>
      </c>
      <c r="X318" s="80">
        <f t="shared" si="12"/>
        <v>757</v>
      </c>
      <c r="Y318" s="82" t="s">
        <v>3584</v>
      </c>
      <c r="AF318" s="11"/>
      <c r="AG318" s="11"/>
      <c r="AH318" s="11"/>
      <c r="AI318" s="11"/>
      <c r="AJ318" s="11"/>
      <c r="AK318" s="11"/>
    </row>
    <row r="319" spans="1:37" ht="15.45" customHeight="1" x14ac:dyDescent="0.25">
      <c r="A319" s="31" t="s">
        <v>5897</v>
      </c>
      <c r="C319" s="37" t="s">
        <v>1211</v>
      </c>
      <c r="E319" s="37" t="s">
        <v>2827</v>
      </c>
      <c r="F319" s="24" t="s">
        <v>2285</v>
      </c>
      <c r="H319" s="201" t="s">
        <v>5898</v>
      </c>
      <c r="J319" s="214" t="s">
        <v>5582</v>
      </c>
      <c r="O319" s="37" t="s">
        <v>5899</v>
      </c>
      <c r="P319" s="37" t="s">
        <v>546</v>
      </c>
      <c r="Q319" s="37" t="s">
        <v>3506</v>
      </c>
      <c r="R319" s="37" t="s">
        <v>1792</v>
      </c>
      <c r="S319" s="10" t="s">
        <v>2433</v>
      </c>
      <c r="T319" s="11"/>
      <c r="U319" s="21">
        <v>1</v>
      </c>
      <c r="V319" s="21">
        <v>1</v>
      </c>
      <c r="W319" s="73">
        <f t="shared" si="13"/>
        <v>333</v>
      </c>
      <c r="X319" s="80">
        <f t="shared" si="12"/>
        <v>758</v>
      </c>
      <c r="Y319" s="82" t="s">
        <v>3591</v>
      </c>
      <c r="Z319" s="24" t="s">
        <v>2885</v>
      </c>
      <c r="AB319" s="177">
        <v>44387</v>
      </c>
      <c r="AC319" s="84" t="s">
        <v>2885</v>
      </c>
      <c r="AF319" s="11"/>
      <c r="AG319" s="11"/>
      <c r="AH319" s="11"/>
      <c r="AI319" s="11"/>
      <c r="AJ319" s="11"/>
      <c r="AK319" s="11"/>
    </row>
    <row r="320" spans="1:37" ht="15.45" customHeight="1" x14ac:dyDescent="0.25">
      <c r="A320" s="31" t="s">
        <v>5378</v>
      </c>
      <c r="C320" s="37" t="s">
        <v>1211</v>
      </c>
      <c r="E320" s="37" t="s">
        <v>2827</v>
      </c>
      <c r="F320" s="24" t="s">
        <v>2285</v>
      </c>
      <c r="H320" s="38" t="s">
        <v>2791</v>
      </c>
      <c r="J320" s="214" t="s">
        <v>5379</v>
      </c>
      <c r="K320" s="10" t="s">
        <v>5380</v>
      </c>
      <c r="O320" s="37" t="s">
        <v>5525</v>
      </c>
      <c r="P320" s="37" t="s">
        <v>1463</v>
      </c>
      <c r="Q320" s="37" t="s">
        <v>3506</v>
      </c>
      <c r="R320" s="37" t="s">
        <v>1792</v>
      </c>
      <c r="S320" s="10" t="s">
        <v>3412</v>
      </c>
      <c r="T320" s="11"/>
      <c r="U320" s="21">
        <v>2</v>
      </c>
      <c r="V320" s="21">
        <v>2</v>
      </c>
      <c r="W320" s="73">
        <f t="shared" si="13"/>
        <v>335</v>
      </c>
      <c r="X320" s="80">
        <f t="shared" si="12"/>
        <v>760</v>
      </c>
      <c r="Y320" s="82" t="s">
        <v>3591</v>
      </c>
      <c r="Z320" s="24" t="s">
        <v>5381</v>
      </c>
      <c r="AB320" s="177">
        <v>44313</v>
      </c>
      <c r="AC320" s="84" t="s">
        <v>5308</v>
      </c>
      <c r="AF320" s="11"/>
      <c r="AG320" s="11"/>
      <c r="AH320" s="11"/>
      <c r="AI320" s="11"/>
      <c r="AJ320" s="11"/>
      <c r="AK320" s="11"/>
    </row>
    <row r="321" spans="1:37" ht="15.45" customHeight="1" x14ac:dyDescent="0.25">
      <c r="A321" s="31" t="s">
        <v>3889</v>
      </c>
      <c r="C321" s="37" t="s">
        <v>1211</v>
      </c>
      <c r="E321" s="37" t="s">
        <v>2827</v>
      </c>
      <c r="F321" s="24" t="s">
        <v>2282</v>
      </c>
      <c r="H321" s="38" t="s">
        <v>3890</v>
      </c>
      <c r="S321" s="10" t="s">
        <v>2433</v>
      </c>
      <c r="T321" s="11"/>
      <c r="U321" s="21">
        <v>1</v>
      </c>
      <c r="V321" s="21">
        <v>1</v>
      </c>
      <c r="W321" s="73">
        <f t="shared" si="13"/>
        <v>336</v>
      </c>
      <c r="X321" s="80">
        <f t="shared" si="12"/>
        <v>761</v>
      </c>
      <c r="Y321" s="82" t="s">
        <v>3592</v>
      </c>
      <c r="Z321" s="24" t="s">
        <v>623</v>
      </c>
      <c r="AF321" s="11"/>
      <c r="AG321" s="11"/>
      <c r="AH321" s="11"/>
      <c r="AI321" s="11"/>
      <c r="AJ321" s="11"/>
      <c r="AK321" s="11"/>
    </row>
    <row r="322" spans="1:37" ht="15.45" customHeight="1" x14ac:dyDescent="0.25">
      <c r="A322" s="31" t="s">
        <v>129</v>
      </c>
      <c r="C322" s="37" t="s">
        <v>1211</v>
      </c>
      <c r="E322" s="37" t="s">
        <v>2827</v>
      </c>
      <c r="F322" s="24" t="s">
        <v>2285</v>
      </c>
      <c r="O322" s="37" t="s">
        <v>5526</v>
      </c>
      <c r="P322" s="37" t="s">
        <v>546</v>
      </c>
      <c r="Q322" s="37" t="s">
        <v>3506</v>
      </c>
      <c r="R322" s="37" t="s">
        <v>1792</v>
      </c>
      <c r="S322" s="10" t="s">
        <v>2433</v>
      </c>
      <c r="T322" s="11"/>
      <c r="U322" s="21">
        <v>1</v>
      </c>
      <c r="V322" s="21">
        <v>1</v>
      </c>
      <c r="W322" s="73">
        <f t="shared" si="13"/>
        <v>337</v>
      </c>
      <c r="X322" s="80">
        <f t="shared" si="12"/>
        <v>762</v>
      </c>
      <c r="Y322" s="82" t="s">
        <v>3592</v>
      </c>
      <c r="Z322" s="24" t="s">
        <v>623</v>
      </c>
      <c r="AF322" s="11"/>
      <c r="AG322" s="11"/>
      <c r="AH322" s="11"/>
      <c r="AI322" s="11"/>
      <c r="AJ322" s="11"/>
      <c r="AK322" s="11"/>
    </row>
    <row r="323" spans="1:37" ht="15.45" customHeight="1" x14ac:dyDescent="0.25">
      <c r="A323" s="29" t="s">
        <v>1604</v>
      </c>
      <c r="C323" s="37" t="s">
        <v>1211</v>
      </c>
      <c r="E323" s="37" t="s">
        <v>2827</v>
      </c>
      <c r="F323" s="24" t="s">
        <v>2285</v>
      </c>
      <c r="G323" s="25"/>
      <c r="O323" s="37" t="s">
        <v>5527</v>
      </c>
      <c r="P323" s="37" t="s">
        <v>546</v>
      </c>
      <c r="Q323" s="37" t="s">
        <v>3506</v>
      </c>
      <c r="R323" s="37" t="s">
        <v>1792</v>
      </c>
      <c r="S323" s="10" t="s">
        <v>2433</v>
      </c>
      <c r="U323" s="21">
        <v>1</v>
      </c>
      <c r="V323" s="21">
        <v>1</v>
      </c>
      <c r="W323" s="73">
        <f t="shared" si="13"/>
        <v>338</v>
      </c>
      <c r="X323" s="80">
        <f t="shared" si="12"/>
        <v>763</v>
      </c>
      <c r="Y323" s="82" t="s">
        <v>3592</v>
      </c>
      <c r="Z323" s="24" t="s">
        <v>2891</v>
      </c>
    </row>
    <row r="324" spans="1:37" ht="15.45" customHeight="1" x14ac:dyDescent="0.25">
      <c r="A324" s="31" t="s">
        <v>3892</v>
      </c>
      <c r="C324" s="37" t="s">
        <v>1211</v>
      </c>
      <c r="E324" s="37" t="s">
        <v>2827</v>
      </c>
      <c r="F324" s="24" t="s">
        <v>2279</v>
      </c>
      <c r="H324" s="38" t="s">
        <v>3891</v>
      </c>
      <c r="S324" s="10" t="s">
        <v>2433</v>
      </c>
      <c r="T324" s="11"/>
      <c r="U324" s="21">
        <v>1</v>
      </c>
      <c r="V324" s="21">
        <v>1</v>
      </c>
      <c r="W324" s="73">
        <f t="shared" si="13"/>
        <v>339</v>
      </c>
      <c r="X324" s="80">
        <f t="shared" si="12"/>
        <v>764</v>
      </c>
      <c r="Y324" s="82" t="s">
        <v>3584</v>
      </c>
      <c r="AF324" s="11"/>
      <c r="AG324" s="11"/>
      <c r="AH324" s="11"/>
      <c r="AI324" s="11"/>
      <c r="AJ324" s="11"/>
      <c r="AK324" s="11"/>
    </row>
    <row r="325" spans="1:37" ht="15.45" customHeight="1" x14ac:dyDescent="0.25">
      <c r="A325" s="31" t="s">
        <v>2276</v>
      </c>
      <c r="C325" s="37" t="s">
        <v>1211</v>
      </c>
      <c r="E325" s="37" t="s">
        <v>2827</v>
      </c>
      <c r="F325" s="24" t="s">
        <v>2280</v>
      </c>
      <c r="H325" s="38" t="s">
        <v>3763</v>
      </c>
      <c r="O325" s="37" t="s">
        <v>5500</v>
      </c>
      <c r="P325" s="37" t="s">
        <v>2056</v>
      </c>
      <c r="Q325" s="37" t="s">
        <v>3506</v>
      </c>
      <c r="R325" s="37" t="s">
        <v>1792</v>
      </c>
      <c r="S325" s="10" t="s">
        <v>2433</v>
      </c>
      <c r="T325" s="11"/>
      <c r="U325" s="21">
        <v>3</v>
      </c>
      <c r="V325" s="21">
        <v>3</v>
      </c>
      <c r="W325" s="73">
        <f t="shared" si="13"/>
        <v>342</v>
      </c>
      <c r="X325" s="80">
        <f t="shared" si="12"/>
        <v>767</v>
      </c>
      <c r="Y325" s="82" t="s">
        <v>3591</v>
      </c>
      <c r="Z325" s="24" t="s">
        <v>6238</v>
      </c>
      <c r="AA325" s="177">
        <v>44509</v>
      </c>
      <c r="AF325" s="11"/>
      <c r="AG325" s="11"/>
      <c r="AH325" s="11"/>
      <c r="AI325" s="11"/>
      <c r="AJ325" s="11"/>
      <c r="AK325" s="11"/>
    </row>
    <row r="326" spans="1:37" ht="15.45" customHeight="1" x14ac:dyDescent="0.25">
      <c r="A326" s="31" t="s">
        <v>3893</v>
      </c>
      <c r="B326" s="38" t="s">
        <v>5387</v>
      </c>
      <c r="C326" s="37" t="s">
        <v>1211</v>
      </c>
      <c r="E326" s="37" t="s">
        <v>2827</v>
      </c>
      <c r="F326" s="24" t="s">
        <v>2280</v>
      </c>
      <c r="P326" s="37" t="s">
        <v>2058</v>
      </c>
      <c r="Q326" s="37" t="s">
        <v>3506</v>
      </c>
      <c r="R326" s="37" t="s">
        <v>1792</v>
      </c>
      <c r="S326" s="10" t="s">
        <v>2433</v>
      </c>
      <c r="T326" s="11"/>
      <c r="U326" s="21">
        <v>2</v>
      </c>
      <c r="V326" s="21">
        <v>2</v>
      </c>
      <c r="W326" s="73">
        <f t="shared" si="13"/>
        <v>344</v>
      </c>
      <c r="X326" s="80">
        <f t="shared" si="12"/>
        <v>769</v>
      </c>
      <c r="Y326" s="82" t="s">
        <v>3592</v>
      </c>
      <c r="Z326" s="24" t="s">
        <v>2895</v>
      </c>
      <c r="AF326" s="11"/>
      <c r="AG326" s="11"/>
      <c r="AH326" s="11"/>
      <c r="AI326" s="11"/>
      <c r="AJ326" s="11"/>
      <c r="AK326" s="11"/>
    </row>
    <row r="327" spans="1:37" ht="15.45" customHeight="1" x14ac:dyDescent="0.25">
      <c r="A327" s="31" t="s">
        <v>2051</v>
      </c>
      <c r="C327" s="37" t="s">
        <v>1211</v>
      </c>
      <c r="E327" s="37" t="s">
        <v>2827</v>
      </c>
      <c r="F327" s="24" t="s">
        <v>2280</v>
      </c>
      <c r="Q327" s="37" t="s">
        <v>581</v>
      </c>
      <c r="R327" s="37" t="s">
        <v>1811</v>
      </c>
      <c r="S327" s="10" t="s">
        <v>2433</v>
      </c>
      <c r="T327" s="11"/>
      <c r="U327" s="21">
        <v>1</v>
      </c>
      <c r="V327" s="21">
        <v>1</v>
      </c>
      <c r="W327" s="73">
        <f t="shared" si="13"/>
        <v>345</v>
      </c>
      <c r="X327" s="80">
        <f t="shared" si="12"/>
        <v>770</v>
      </c>
      <c r="Y327" s="82" t="s">
        <v>3592</v>
      </c>
      <c r="Z327" s="24" t="s">
        <v>2888</v>
      </c>
      <c r="AF327" s="11"/>
      <c r="AG327" s="11"/>
      <c r="AH327" s="11"/>
      <c r="AI327" s="11"/>
      <c r="AJ327" s="11"/>
      <c r="AK327" s="11"/>
    </row>
    <row r="328" spans="1:37" ht="15.45" customHeight="1" x14ac:dyDescent="0.25">
      <c r="A328" s="31" t="s">
        <v>1083</v>
      </c>
      <c r="C328" s="37" t="s">
        <v>1211</v>
      </c>
      <c r="E328" s="37" t="s">
        <v>2827</v>
      </c>
      <c r="F328" s="24" t="s">
        <v>2280</v>
      </c>
      <c r="S328" s="10" t="s">
        <v>2433</v>
      </c>
      <c r="T328" s="11"/>
      <c r="U328" s="21">
        <v>1</v>
      </c>
      <c r="V328" s="21">
        <v>1</v>
      </c>
      <c r="W328" s="73">
        <f t="shared" si="13"/>
        <v>346</v>
      </c>
      <c r="X328" s="80">
        <f t="shared" si="12"/>
        <v>771</v>
      </c>
      <c r="Y328" s="82" t="s">
        <v>3584</v>
      </c>
      <c r="AF328" s="11"/>
      <c r="AG328" s="11"/>
      <c r="AH328" s="11"/>
      <c r="AI328" s="11"/>
      <c r="AJ328" s="11"/>
      <c r="AK328" s="11"/>
    </row>
    <row r="329" spans="1:37" ht="15.45" customHeight="1" x14ac:dyDescent="0.25">
      <c r="A329" s="31" t="s">
        <v>3894</v>
      </c>
      <c r="B329" s="24" t="s">
        <v>7276</v>
      </c>
      <c r="C329" s="37" t="s">
        <v>1211</v>
      </c>
      <c r="E329" s="37" t="s">
        <v>2827</v>
      </c>
      <c r="F329" s="24" t="s">
        <v>2280</v>
      </c>
      <c r="H329" s="38" t="s">
        <v>7275</v>
      </c>
      <c r="J329" s="214" t="s">
        <v>3694</v>
      </c>
      <c r="K329" s="10" t="s">
        <v>3762</v>
      </c>
      <c r="O329" s="37" t="s">
        <v>5528</v>
      </c>
      <c r="P329" s="37" t="s">
        <v>1665</v>
      </c>
      <c r="Q329" s="37" t="s">
        <v>3506</v>
      </c>
      <c r="R329" s="37" t="s">
        <v>1792</v>
      </c>
      <c r="S329" s="10" t="s">
        <v>2433</v>
      </c>
      <c r="T329" s="11"/>
      <c r="U329" s="21">
        <v>1</v>
      </c>
      <c r="V329" s="21">
        <v>1</v>
      </c>
      <c r="W329" s="73">
        <f t="shared" si="13"/>
        <v>347</v>
      </c>
      <c r="X329" s="80">
        <f t="shared" si="12"/>
        <v>772</v>
      </c>
      <c r="Y329" s="82" t="s">
        <v>3584</v>
      </c>
      <c r="AF329" s="11"/>
      <c r="AG329" s="11"/>
      <c r="AH329" s="11"/>
      <c r="AI329" s="11"/>
      <c r="AJ329" s="11"/>
      <c r="AK329" s="11"/>
    </row>
    <row r="330" spans="1:37" ht="15.45" customHeight="1" x14ac:dyDescent="0.25">
      <c r="A330" s="31" t="s">
        <v>5423</v>
      </c>
      <c r="C330" s="37" t="s">
        <v>1211</v>
      </c>
      <c r="E330" s="37" t="s">
        <v>2827</v>
      </c>
      <c r="F330" s="24" t="s">
        <v>2280</v>
      </c>
      <c r="O330" s="37" t="s">
        <v>5529</v>
      </c>
      <c r="P330" s="37" t="s">
        <v>51</v>
      </c>
      <c r="Q330" s="37" t="s">
        <v>3506</v>
      </c>
      <c r="R330" s="37" t="s">
        <v>1792</v>
      </c>
      <c r="S330" s="10" t="s">
        <v>2433</v>
      </c>
      <c r="T330" s="11"/>
      <c r="U330" s="21">
        <v>3</v>
      </c>
      <c r="V330" s="21">
        <v>3</v>
      </c>
      <c r="W330" s="73">
        <f t="shared" si="13"/>
        <v>350</v>
      </c>
      <c r="X330" s="80">
        <f t="shared" si="12"/>
        <v>775</v>
      </c>
      <c r="Y330" s="82" t="s">
        <v>3592</v>
      </c>
      <c r="Z330" s="24" t="s">
        <v>2884</v>
      </c>
      <c r="AF330" s="11"/>
      <c r="AG330" s="11"/>
      <c r="AH330" s="11"/>
      <c r="AI330" s="11"/>
      <c r="AJ330" s="11"/>
      <c r="AK330" s="11"/>
    </row>
    <row r="331" spans="1:37" ht="15.6" x14ac:dyDescent="0.25">
      <c r="A331" s="31" t="s">
        <v>1196</v>
      </c>
      <c r="C331" s="37" t="s">
        <v>1211</v>
      </c>
      <c r="E331" s="37" t="s">
        <v>2827</v>
      </c>
      <c r="F331" s="24" t="s">
        <v>2282</v>
      </c>
      <c r="H331" s="38" t="s">
        <v>3895</v>
      </c>
      <c r="O331" s="37" t="s">
        <v>2098</v>
      </c>
      <c r="P331" s="37" t="s">
        <v>1463</v>
      </c>
      <c r="Q331" s="37" t="s">
        <v>3506</v>
      </c>
      <c r="R331" s="37" t="s">
        <v>1792</v>
      </c>
      <c r="S331" s="10" t="s">
        <v>2433</v>
      </c>
      <c r="T331" s="11"/>
      <c r="U331" s="21">
        <v>1</v>
      </c>
      <c r="V331" s="21">
        <v>1</v>
      </c>
      <c r="W331" s="73">
        <f t="shared" si="13"/>
        <v>351</v>
      </c>
      <c r="X331" s="80">
        <f t="shared" si="12"/>
        <v>776</v>
      </c>
      <c r="Y331" s="82" t="s">
        <v>3592</v>
      </c>
      <c r="Z331" s="24" t="s">
        <v>2079</v>
      </c>
      <c r="AF331" s="11"/>
      <c r="AG331" s="11"/>
      <c r="AH331" s="11"/>
      <c r="AI331" s="11"/>
      <c r="AJ331" s="11"/>
      <c r="AK331" s="11"/>
    </row>
    <row r="332" spans="1:37" ht="15.45" customHeight="1" x14ac:dyDescent="0.25">
      <c r="A332" s="31" t="s">
        <v>3839</v>
      </c>
      <c r="B332" s="24" t="s">
        <v>5392</v>
      </c>
      <c r="C332" s="37" t="s">
        <v>1211</v>
      </c>
      <c r="E332" s="37" t="s">
        <v>2827</v>
      </c>
      <c r="F332" s="24" t="s">
        <v>2283</v>
      </c>
      <c r="H332" s="38" t="s">
        <v>3897</v>
      </c>
      <c r="O332" s="37" t="s">
        <v>5530</v>
      </c>
      <c r="P332" s="37" t="s">
        <v>1463</v>
      </c>
      <c r="Q332" s="37" t="s">
        <v>3506</v>
      </c>
      <c r="R332" s="37" t="s">
        <v>1792</v>
      </c>
      <c r="S332" s="10" t="s">
        <v>2433</v>
      </c>
      <c r="T332" s="11"/>
      <c r="U332" s="21">
        <v>2</v>
      </c>
      <c r="V332" s="21">
        <v>2</v>
      </c>
      <c r="W332" s="73">
        <f t="shared" si="13"/>
        <v>353</v>
      </c>
      <c r="X332" s="80">
        <f t="shared" si="12"/>
        <v>778</v>
      </c>
      <c r="Y332" s="82" t="s">
        <v>3592</v>
      </c>
      <c r="Z332" s="24" t="s">
        <v>2884</v>
      </c>
      <c r="AF332" s="11"/>
      <c r="AG332" s="11"/>
      <c r="AH332" s="11"/>
      <c r="AI332" s="11"/>
      <c r="AJ332" s="11"/>
      <c r="AK332" s="11"/>
    </row>
    <row r="333" spans="1:37" ht="15.45" customHeight="1" x14ac:dyDescent="0.25">
      <c r="A333" s="31" t="s">
        <v>3896</v>
      </c>
      <c r="C333" s="37" t="s">
        <v>1211</v>
      </c>
      <c r="E333" s="37" t="s">
        <v>2827</v>
      </c>
      <c r="F333" s="24" t="s">
        <v>2283</v>
      </c>
      <c r="H333" s="38" t="s">
        <v>3897</v>
      </c>
      <c r="O333" s="37" t="s">
        <v>749</v>
      </c>
      <c r="P333" s="37" t="s">
        <v>1463</v>
      </c>
      <c r="Q333" s="37" t="s">
        <v>3506</v>
      </c>
      <c r="R333" s="37" t="s">
        <v>1792</v>
      </c>
      <c r="S333" s="10" t="s">
        <v>2433</v>
      </c>
      <c r="T333" s="11"/>
      <c r="U333" s="21">
        <v>1</v>
      </c>
      <c r="V333" s="21">
        <v>1</v>
      </c>
      <c r="W333" s="73">
        <f t="shared" si="13"/>
        <v>354</v>
      </c>
      <c r="X333" s="80">
        <f t="shared" si="12"/>
        <v>779</v>
      </c>
      <c r="Y333" s="82" t="s">
        <v>3584</v>
      </c>
      <c r="Z333" s="24" t="s">
        <v>487</v>
      </c>
      <c r="AF333" s="11"/>
      <c r="AG333" s="11"/>
      <c r="AH333" s="11"/>
      <c r="AI333" s="11"/>
      <c r="AJ333" s="11"/>
      <c r="AK333" s="11"/>
    </row>
    <row r="334" spans="1:37" ht="15.45" customHeight="1" x14ac:dyDescent="0.25">
      <c r="A334" s="31" t="s">
        <v>3898</v>
      </c>
      <c r="C334" s="37" t="s">
        <v>1211</v>
      </c>
      <c r="E334" s="37" t="s">
        <v>2827</v>
      </c>
      <c r="F334" s="24" t="s">
        <v>2284</v>
      </c>
      <c r="H334" s="38" t="s">
        <v>5386</v>
      </c>
      <c r="O334" s="37" t="s">
        <v>1675</v>
      </c>
      <c r="P334" s="37" t="s">
        <v>5531</v>
      </c>
      <c r="Q334" s="37" t="s">
        <v>3506</v>
      </c>
      <c r="R334" s="37" t="s">
        <v>1792</v>
      </c>
      <c r="S334" s="10" t="s">
        <v>2433</v>
      </c>
      <c r="T334" s="11"/>
      <c r="U334" s="21">
        <v>1</v>
      </c>
      <c r="V334" s="21">
        <v>1</v>
      </c>
      <c r="W334" s="73">
        <f t="shared" si="13"/>
        <v>355</v>
      </c>
      <c r="X334" s="80">
        <f t="shared" si="12"/>
        <v>780</v>
      </c>
      <c r="Y334" s="82" t="s">
        <v>3584</v>
      </c>
      <c r="Z334" s="24" t="s">
        <v>487</v>
      </c>
      <c r="AF334" s="11"/>
      <c r="AG334" s="11"/>
      <c r="AH334" s="11"/>
      <c r="AI334" s="11"/>
      <c r="AJ334" s="11"/>
      <c r="AK334" s="11"/>
    </row>
    <row r="335" spans="1:37" ht="15.45" customHeight="1" x14ac:dyDescent="0.25">
      <c r="A335" s="31" t="s">
        <v>3899</v>
      </c>
      <c r="C335" s="37" t="s">
        <v>1211</v>
      </c>
      <c r="E335" s="37" t="s">
        <v>2827</v>
      </c>
      <c r="F335" s="24" t="s">
        <v>2282</v>
      </c>
      <c r="H335" s="38" t="s">
        <v>3901</v>
      </c>
      <c r="J335" s="214" t="s">
        <v>4061</v>
      </c>
      <c r="K335" s="10" t="s">
        <v>4062</v>
      </c>
      <c r="O335" s="37" t="s">
        <v>5368</v>
      </c>
      <c r="P335" s="37" t="s">
        <v>1463</v>
      </c>
      <c r="Q335" s="37" t="s">
        <v>3506</v>
      </c>
      <c r="R335" s="37" t="s">
        <v>1792</v>
      </c>
      <c r="S335" s="10" t="s">
        <v>3412</v>
      </c>
      <c r="T335" s="11"/>
      <c r="U335" s="21">
        <v>1</v>
      </c>
      <c r="V335" s="21">
        <v>1</v>
      </c>
      <c r="W335" s="73">
        <f t="shared" si="13"/>
        <v>356</v>
      </c>
      <c r="X335" s="80">
        <f t="shared" si="12"/>
        <v>781</v>
      </c>
      <c r="Y335" s="82" t="s">
        <v>3584</v>
      </c>
      <c r="AF335" s="11"/>
      <c r="AG335" s="11"/>
      <c r="AH335" s="11"/>
      <c r="AI335" s="11"/>
      <c r="AJ335" s="11"/>
      <c r="AK335" s="11"/>
    </row>
    <row r="336" spans="1:37" ht="15.45" customHeight="1" x14ac:dyDescent="0.25">
      <c r="A336" s="31" t="s">
        <v>3900</v>
      </c>
      <c r="C336" s="37" t="s">
        <v>1211</v>
      </c>
      <c r="E336" s="37" t="s">
        <v>2827</v>
      </c>
      <c r="F336" s="24" t="s">
        <v>2282</v>
      </c>
      <c r="H336" s="38" t="s">
        <v>3901</v>
      </c>
      <c r="O336" s="37" t="s">
        <v>5532</v>
      </c>
      <c r="P336" s="37" t="s">
        <v>1463</v>
      </c>
      <c r="Q336" s="37" t="s">
        <v>3506</v>
      </c>
      <c r="R336" s="37" t="s">
        <v>1792</v>
      </c>
      <c r="S336" s="10" t="s">
        <v>3412</v>
      </c>
      <c r="T336" s="11"/>
      <c r="U336" s="21">
        <v>1</v>
      </c>
      <c r="V336" s="21">
        <v>1</v>
      </c>
      <c r="W336" s="73">
        <f t="shared" si="13"/>
        <v>357</v>
      </c>
      <c r="X336" s="80">
        <f t="shared" si="12"/>
        <v>782</v>
      </c>
      <c r="Y336" s="82" t="s">
        <v>3591</v>
      </c>
      <c r="Z336" s="24" t="s">
        <v>487</v>
      </c>
      <c r="AF336" s="11"/>
      <c r="AG336" s="11"/>
      <c r="AH336" s="11"/>
      <c r="AI336" s="11"/>
      <c r="AJ336" s="11"/>
      <c r="AK336" s="11"/>
    </row>
    <row r="337" spans="1:37" ht="15.45" customHeight="1" x14ac:dyDescent="0.25">
      <c r="A337" s="31" t="s">
        <v>5424</v>
      </c>
      <c r="B337" s="24" t="s">
        <v>5425</v>
      </c>
      <c r="C337" s="37" t="s">
        <v>1211</v>
      </c>
      <c r="E337" s="37" t="s">
        <v>2827</v>
      </c>
      <c r="F337" s="24" t="s">
        <v>2284</v>
      </c>
      <c r="H337" s="38" t="s">
        <v>7269</v>
      </c>
      <c r="O337" s="37" t="s">
        <v>749</v>
      </c>
      <c r="P337" s="37" t="s">
        <v>1463</v>
      </c>
      <c r="Q337" s="37" t="s">
        <v>3506</v>
      </c>
      <c r="R337" s="37" t="s">
        <v>1792</v>
      </c>
      <c r="S337" s="10" t="s">
        <v>2433</v>
      </c>
      <c r="T337" s="11"/>
      <c r="U337" s="21">
        <v>1</v>
      </c>
      <c r="V337" s="21">
        <v>1</v>
      </c>
      <c r="W337" s="73">
        <f t="shared" si="13"/>
        <v>358</v>
      </c>
      <c r="X337" s="80">
        <f t="shared" si="12"/>
        <v>783</v>
      </c>
      <c r="Y337" s="82" t="s">
        <v>3591</v>
      </c>
      <c r="Z337" s="24" t="s">
        <v>487</v>
      </c>
      <c r="AF337" s="11"/>
      <c r="AG337" s="11"/>
      <c r="AH337" s="11"/>
      <c r="AI337" s="11"/>
      <c r="AJ337" s="11"/>
      <c r="AK337" s="11"/>
    </row>
    <row r="338" spans="1:37" ht="15.45" customHeight="1" x14ac:dyDescent="0.25">
      <c r="A338" s="31" t="s">
        <v>3837</v>
      </c>
      <c r="C338" s="37" t="s">
        <v>1211</v>
      </c>
      <c r="E338" s="37" t="s">
        <v>2827</v>
      </c>
      <c r="F338" s="24" t="s">
        <v>2286</v>
      </c>
      <c r="H338" s="38" t="s">
        <v>3838</v>
      </c>
      <c r="O338" s="37" t="s">
        <v>5533</v>
      </c>
      <c r="P338" s="37" t="s">
        <v>1463</v>
      </c>
      <c r="Q338" s="37" t="s">
        <v>3506</v>
      </c>
      <c r="R338" s="37" t="s">
        <v>1792</v>
      </c>
      <c r="S338" s="10" t="s">
        <v>2433</v>
      </c>
      <c r="T338" s="11"/>
      <c r="U338" s="21">
        <v>1</v>
      </c>
      <c r="V338" s="21">
        <v>1</v>
      </c>
      <c r="W338" s="73">
        <f t="shared" si="13"/>
        <v>359</v>
      </c>
      <c r="X338" s="80">
        <f t="shared" si="12"/>
        <v>784</v>
      </c>
      <c r="Y338" s="82" t="s">
        <v>3591</v>
      </c>
      <c r="Z338" s="24" t="s">
        <v>487</v>
      </c>
      <c r="AF338" s="11"/>
      <c r="AG338" s="11"/>
      <c r="AH338" s="11"/>
      <c r="AI338" s="11"/>
      <c r="AJ338" s="11"/>
      <c r="AK338" s="11"/>
    </row>
    <row r="339" spans="1:37" ht="15.45" customHeight="1" x14ac:dyDescent="0.25">
      <c r="A339" s="31" t="s">
        <v>5388</v>
      </c>
      <c r="B339" s="24" t="s">
        <v>5389</v>
      </c>
      <c r="C339" s="37" t="s">
        <v>1211</v>
      </c>
      <c r="E339" s="37" t="s">
        <v>2827</v>
      </c>
      <c r="F339" s="24" t="s">
        <v>2275</v>
      </c>
      <c r="H339" s="38" t="s">
        <v>3836</v>
      </c>
      <c r="O339" s="37" t="s">
        <v>5368</v>
      </c>
      <c r="P339" s="37" t="s">
        <v>1463</v>
      </c>
      <c r="Q339" s="37" t="s">
        <v>3506</v>
      </c>
      <c r="R339" s="37" t="s">
        <v>1792</v>
      </c>
      <c r="S339" s="10" t="s">
        <v>2433</v>
      </c>
      <c r="T339" s="11"/>
      <c r="U339" s="21">
        <v>1</v>
      </c>
      <c r="V339" s="21">
        <v>1</v>
      </c>
      <c r="W339" s="73">
        <f t="shared" si="13"/>
        <v>360</v>
      </c>
      <c r="X339" s="80">
        <f t="shared" si="12"/>
        <v>785</v>
      </c>
      <c r="Y339" s="82" t="s">
        <v>3591</v>
      </c>
      <c r="Z339" s="24" t="s">
        <v>487</v>
      </c>
      <c r="AF339" s="11"/>
      <c r="AG339" s="11"/>
      <c r="AH339" s="11"/>
      <c r="AI339" s="11"/>
      <c r="AJ339" s="11"/>
      <c r="AK339" s="11"/>
    </row>
    <row r="340" spans="1:37" ht="15.45" customHeight="1" x14ac:dyDescent="0.25">
      <c r="A340" s="31" t="s">
        <v>3834</v>
      </c>
      <c r="C340" s="37" t="s">
        <v>1211</v>
      </c>
      <c r="E340" s="37" t="s">
        <v>2827</v>
      </c>
      <c r="F340" s="24" t="s">
        <v>2284</v>
      </c>
      <c r="H340" s="38" t="s">
        <v>3835</v>
      </c>
      <c r="O340" s="37" t="s">
        <v>5533</v>
      </c>
      <c r="P340" s="37" t="s">
        <v>1463</v>
      </c>
      <c r="Q340" s="37" t="s">
        <v>3506</v>
      </c>
      <c r="R340" s="37" t="s">
        <v>1792</v>
      </c>
      <c r="S340" s="10" t="s">
        <v>2433</v>
      </c>
      <c r="T340" s="11"/>
      <c r="U340" s="21">
        <v>1</v>
      </c>
      <c r="V340" s="21">
        <v>1</v>
      </c>
      <c r="W340" s="73">
        <f t="shared" si="13"/>
        <v>361</v>
      </c>
      <c r="X340" s="80">
        <f t="shared" si="12"/>
        <v>786</v>
      </c>
      <c r="Y340" s="82" t="s">
        <v>3591</v>
      </c>
      <c r="Z340" s="24" t="s">
        <v>487</v>
      </c>
      <c r="AF340" s="11"/>
      <c r="AG340" s="11"/>
      <c r="AH340" s="11"/>
      <c r="AI340" s="11"/>
      <c r="AJ340" s="11"/>
      <c r="AK340" s="11"/>
    </row>
    <row r="341" spans="1:37" ht="15.45" customHeight="1" x14ac:dyDescent="0.25">
      <c r="A341" s="31" t="s">
        <v>3831</v>
      </c>
      <c r="C341" s="37" t="s">
        <v>1211</v>
      </c>
      <c r="E341" s="37" t="s">
        <v>2827</v>
      </c>
      <c r="F341" s="24" t="s">
        <v>2282</v>
      </c>
      <c r="H341" s="38" t="s">
        <v>3832</v>
      </c>
      <c r="O341" s="37" t="s">
        <v>5534</v>
      </c>
      <c r="P341" s="37" t="s">
        <v>1463</v>
      </c>
      <c r="Q341" s="37" t="s">
        <v>3506</v>
      </c>
      <c r="R341" s="37" t="s">
        <v>1792</v>
      </c>
      <c r="S341" s="10" t="s">
        <v>2433</v>
      </c>
      <c r="T341" s="11"/>
      <c r="U341" s="21">
        <v>1</v>
      </c>
      <c r="V341" s="21">
        <v>1</v>
      </c>
      <c r="W341" s="73">
        <f t="shared" si="13"/>
        <v>362</v>
      </c>
      <c r="X341" s="80">
        <f t="shared" si="12"/>
        <v>787</v>
      </c>
      <c r="Y341" s="82" t="s">
        <v>3591</v>
      </c>
      <c r="Z341" s="24" t="s">
        <v>487</v>
      </c>
      <c r="AF341" s="11"/>
      <c r="AG341" s="11"/>
      <c r="AH341" s="11"/>
      <c r="AI341" s="11"/>
      <c r="AJ341" s="11"/>
      <c r="AK341" s="11"/>
    </row>
    <row r="342" spans="1:37" ht="15.45" customHeight="1" x14ac:dyDescent="0.25">
      <c r="A342" s="31" t="s">
        <v>3833</v>
      </c>
      <c r="B342" s="24" t="s">
        <v>5390</v>
      </c>
      <c r="C342" s="37" t="s">
        <v>1211</v>
      </c>
      <c r="E342" s="37" t="s">
        <v>2827</v>
      </c>
      <c r="F342" s="24" t="s">
        <v>2277</v>
      </c>
      <c r="O342" s="37" t="s">
        <v>5535</v>
      </c>
      <c r="P342" s="37" t="s">
        <v>1463</v>
      </c>
      <c r="Q342" s="37" t="s">
        <v>3506</v>
      </c>
      <c r="R342" s="37" t="s">
        <v>1792</v>
      </c>
      <c r="S342" s="10" t="s">
        <v>2433</v>
      </c>
      <c r="T342" s="11"/>
      <c r="U342" s="21">
        <v>1</v>
      </c>
      <c r="V342" s="21">
        <v>1</v>
      </c>
      <c r="W342" s="73">
        <f t="shared" si="13"/>
        <v>363</v>
      </c>
      <c r="X342" s="80">
        <f t="shared" si="12"/>
        <v>788</v>
      </c>
      <c r="Y342" s="82" t="s">
        <v>3584</v>
      </c>
      <c r="AF342" s="11"/>
      <c r="AG342" s="11"/>
      <c r="AH342" s="11"/>
      <c r="AI342" s="11"/>
      <c r="AJ342" s="11"/>
      <c r="AK342" s="11"/>
    </row>
    <row r="343" spans="1:37" ht="15.45" customHeight="1" x14ac:dyDescent="0.25">
      <c r="A343" s="31" t="s">
        <v>3833</v>
      </c>
      <c r="C343" s="37" t="s">
        <v>1211</v>
      </c>
      <c r="E343" s="37" t="s">
        <v>2827</v>
      </c>
      <c r="F343" s="24" t="s">
        <v>4702</v>
      </c>
      <c r="H343" s="38" t="s">
        <v>7273</v>
      </c>
      <c r="O343" s="37" t="s">
        <v>5536</v>
      </c>
      <c r="P343" s="37" t="s">
        <v>1463</v>
      </c>
      <c r="Q343" s="37" t="s">
        <v>3506</v>
      </c>
      <c r="R343" s="37" t="s">
        <v>1792</v>
      </c>
      <c r="S343" s="10" t="s">
        <v>2433</v>
      </c>
      <c r="T343" s="11"/>
      <c r="U343" s="21">
        <v>1</v>
      </c>
      <c r="V343" s="21">
        <v>1</v>
      </c>
      <c r="W343" s="73">
        <f t="shared" si="13"/>
        <v>364</v>
      </c>
      <c r="X343" s="80">
        <f t="shared" si="12"/>
        <v>789</v>
      </c>
      <c r="Y343" s="82" t="s">
        <v>3591</v>
      </c>
      <c r="Z343" s="24" t="s">
        <v>487</v>
      </c>
      <c r="AF343" s="11"/>
      <c r="AG343" s="11"/>
      <c r="AH343" s="11"/>
      <c r="AI343" s="11"/>
      <c r="AJ343" s="11"/>
      <c r="AK343" s="11"/>
    </row>
    <row r="344" spans="1:37" ht="15.45" customHeight="1" x14ac:dyDescent="0.25">
      <c r="A344" s="31" t="s">
        <v>5426</v>
      </c>
      <c r="B344" s="24" t="s">
        <v>5427</v>
      </c>
      <c r="C344" s="37" t="s">
        <v>1211</v>
      </c>
      <c r="E344" s="37" t="s">
        <v>2827</v>
      </c>
      <c r="F344" s="24" t="s">
        <v>2284</v>
      </c>
      <c r="H344" s="38" t="s">
        <v>7270</v>
      </c>
      <c r="S344" s="10" t="s">
        <v>2433</v>
      </c>
      <c r="T344" s="11"/>
      <c r="U344" s="21">
        <v>1</v>
      </c>
      <c r="V344" s="21">
        <v>1</v>
      </c>
      <c r="W344" s="73">
        <f t="shared" si="13"/>
        <v>365</v>
      </c>
      <c r="X344" s="80">
        <f t="shared" si="12"/>
        <v>790</v>
      </c>
      <c r="Y344" s="82" t="s">
        <v>3591</v>
      </c>
      <c r="Z344" s="24" t="s">
        <v>487</v>
      </c>
      <c r="AF344" s="11"/>
      <c r="AG344" s="11"/>
      <c r="AH344" s="11"/>
      <c r="AI344" s="11"/>
      <c r="AJ344" s="11"/>
      <c r="AK344" s="11"/>
    </row>
    <row r="345" spans="1:37" ht="15.45" customHeight="1" x14ac:dyDescent="0.25">
      <c r="A345" s="31" t="s">
        <v>3902</v>
      </c>
      <c r="C345" s="37" t="s">
        <v>1211</v>
      </c>
      <c r="E345" s="37" t="s">
        <v>2827</v>
      </c>
      <c r="F345" s="24" t="s">
        <v>2284</v>
      </c>
      <c r="H345" s="38" t="s">
        <v>7270</v>
      </c>
      <c r="O345" s="37" t="s">
        <v>5537</v>
      </c>
      <c r="P345" s="37" t="s">
        <v>1463</v>
      </c>
      <c r="Q345" s="37" t="s">
        <v>3506</v>
      </c>
      <c r="R345" s="37" t="s">
        <v>1792</v>
      </c>
      <c r="S345" s="10" t="s">
        <v>2433</v>
      </c>
      <c r="T345" s="11"/>
      <c r="U345" s="21">
        <v>1</v>
      </c>
      <c r="V345" s="21">
        <v>1</v>
      </c>
      <c r="W345" s="73">
        <f t="shared" si="13"/>
        <v>366</v>
      </c>
      <c r="X345" s="80">
        <f t="shared" si="12"/>
        <v>791</v>
      </c>
      <c r="Y345" s="82" t="s">
        <v>3591</v>
      </c>
      <c r="Z345" s="24" t="s">
        <v>487</v>
      </c>
      <c r="AF345" s="11"/>
      <c r="AG345" s="11"/>
      <c r="AH345" s="11"/>
      <c r="AI345" s="11"/>
      <c r="AJ345" s="11"/>
      <c r="AK345" s="11"/>
    </row>
    <row r="346" spans="1:37" ht="15.45" customHeight="1" x14ac:dyDescent="0.25">
      <c r="A346" s="31" t="s">
        <v>3830</v>
      </c>
      <c r="B346" s="24" t="s">
        <v>7271</v>
      </c>
      <c r="C346" s="37" t="s">
        <v>1211</v>
      </c>
      <c r="E346" s="37" t="s">
        <v>2827</v>
      </c>
      <c r="F346" s="24" t="s">
        <v>2283</v>
      </c>
      <c r="H346" s="38" t="s">
        <v>7272</v>
      </c>
      <c r="O346" s="37" t="s">
        <v>2016</v>
      </c>
      <c r="P346" s="37" t="s">
        <v>5354</v>
      </c>
      <c r="Q346" s="37" t="s">
        <v>3506</v>
      </c>
      <c r="R346" s="37" t="s">
        <v>1792</v>
      </c>
      <c r="S346" s="10" t="s">
        <v>2433</v>
      </c>
      <c r="T346" s="11"/>
      <c r="U346" s="21">
        <v>1</v>
      </c>
      <c r="V346" s="21">
        <v>1</v>
      </c>
      <c r="W346" s="73">
        <f t="shared" si="13"/>
        <v>367</v>
      </c>
      <c r="X346" s="80">
        <f t="shared" si="12"/>
        <v>792</v>
      </c>
      <c r="Y346" s="82" t="s">
        <v>3591</v>
      </c>
      <c r="Z346" s="24" t="s">
        <v>487</v>
      </c>
      <c r="AF346" s="11"/>
      <c r="AG346" s="11"/>
      <c r="AH346" s="11"/>
      <c r="AI346" s="11"/>
      <c r="AJ346" s="11"/>
      <c r="AK346" s="11"/>
    </row>
    <row r="347" spans="1:37" ht="15.45" customHeight="1" x14ac:dyDescent="0.25">
      <c r="A347" s="31" t="s">
        <v>3829</v>
      </c>
      <c r="B347" s="24" t="s">
        <v>7271</v>
      </c>
      <c r="C347" s="37" t="s">
        <v>1211</v>
      </c>
      <c r="E347" s="37" t="s">
        <v>2827</v>
      </c>
      <c r="F347" s="24" t="s">
        <v>2283</v>
      </c>
      <c r="H347" s="38" t="s">
        <v>7272</v>
      </c>
      <c r="O347" s="37" t="s">
        <v>2016</v>
      </c>
      <c r="P347" s="37" t="s">
        <v>5354</v>
      </c>
      <c r="Q347" s="37" t="s">
        <v>3506</v>
      </c>
      <c r="R347" s="37" t="s">
        <v>1792</v>
      </c>
      <c r="S347" s="10" t="s">
        <v>2433</v>
      </c>
      <c r="T347" s="11"/>
      <c r="U347" s="21">
        <v>1</v>
      </c>
      <c r="V347" s="21">
        <v>1</v>
      </c>
      <c r="W347" s="73">
        <f t="shared" si="13"/>
        <v>368</v>
      </c>
      <c r="X347" s="80">
        <f t="shared" si="12"/>
        <v>793</v>
      </c>
      <c r="Y347" s="82" t="s">
        <v>3591</v>
      </c>
      <c r="Z347" s="24" t="s">
        <v>2887</v>
      </c>
      <c r="AF347" s="11"/>
      <c r="AG347" s="11"/>
      <c r="AH347" s="11"/>
      <c r="AI347" s="11"/>
      <c r="AJ347" s="11"/>
      <c r="AK347" s="11"/>
    </row>
    <row r="348" spans="1:37" ht="15.45" customHeight="1" x14ac:dyDescent="0.25">
      <c r="A348" s="31" t="s">
        <v>2274</v>
      </c>
      <c r="B348" s="24" t="s">
        <v>7274</v>
      </c>
      <c r="C348" s="37" t="s">
        <v>2048</v>
      </c>
      <c r="E348" s="37" t="s">
        <v>2827</v>
      </c>
      <c r="F348" s="24" t="s">
        <v>142</v>
      </c>
      <c r="S348" s="10" t="s">
        <v>2433</v>
      </c>
      <c r="T348" s="11"/>
      <c r="U348" s="21">
        <v>1</v>
      </c>
      <c r="V348" s="21">
        <v>1</v>
      </c>
      <c r="W348" s="73">
        <f t="shared" si="13"/>
        <v>369</v>
      </c>
      <c r="X348" s="80">
        <f t="shared" si="12"/>
        <v>794</v>
      </c>
      <c r="Y348" s="82" t="s">
        <v>3592</v>
      </c>
      <c r="Z348" s="24" t="s">
        <v>2884</v>
      </c>
      <c r="AF348" s="11"/>
      <c r="AG348" s="11"/>
      <c r="AH348" s="11"/>
      <c r="AI348" s="11"/>
      <c r="AJ348" s="11"/>
      <c r="AK348" s="11"/>
    </row>
    <row r="349" spans="1:37" ht="15.45" customHeight="1" x14ac:dyDescent="0.25">
      <c r="A349" s="31" t="s">
        <v>3825</v>
      </c>
      <c r="B349" s="24" t="s">
        <v>7274</v>
      </c>
      <c r="C349" s="37" t="s">
        <v>1211</v>
      </c>
      <c r="E349" s="37" t="s">
        <v>2827</v>
      </c>
      <c r="F349" s="24" t="s">
        <v>2279</v>
      </c>
      <c r="O349" s="37" t="s">
        <v>5540</v>
      </c>
      <c r="P349" s="37" t="s">
        <v>5539</v>
      </c>
      <c r="Q349" s="37" t="s">
        <v>3506</v>
      </c>
      <c r="R349" s="37" t="s">
        <v>1792</v>
      </c>
      <c r="S349" s="10" t="s">
        <v>2433</v>
      </c>
      <c r="T349" s="11"/>
      <c r="U349" s="21">
        <v>1</v>
      </c>
      <c r="V349" s="21">
        <v>1</v>
      </c>
      <c r="W349" s="73">
        <f t="shared" si="13"/>
        <v>370</v>
      </c>
      <c r="X349" s="80">
        <f t="shared" si="12"/>
        <v>795</v>
      </c>
      <c r="Y349" s="82" t="s">
        <v>3591</v>
      </c>
      <c r="Z349" s="24" t="s">
        <v>487</v>
      </c>
      <c r="AF349" s="11"/>
      <c r="AG349" s="11"/>
      <c r="AH349" s="11"/>
      <c r="AI349" s="11"/>
      <c r="AJ349" s="11"/>
      <c r="AK349" s="11"/>
    </row>
    <row r="350" spans="1:37" ht="15.45" customHeight="1" x14ac:dyDescent="0.25">
      <c r="A350" s="31" t="s">
        <v>3826</v>
      </c>
      <c r="C350" s="37" t="s">
        <v>1211</v>
      </c>
      <c r="E350" s="37" t="s">
        <v>2827</v>
      </c>
      <c r="F350" s="24" t="s">
        <v>2283</v>
      </c>
      <c r="H350" s="38" t="s">
        <v>3827</v>
      </c>
      <c r="Q350" s="37" t="s">
        <v>581</v>
      </c>
      <c r="R350" s="37" t="s">
        <v>1811</v>
      </c>
      <c r="S350" s="10" t="s">
        <v>2433</v>
      </c>
      <c r="T350" s="11"/>
      <c r="U350" s="21">
        <v>2</v>
      </c>
      <c r="V350" s="21">
        <v>2</v>
      </c>
      <c r="W350" s="73">
        <f t="shared" si="13"/>
        <v>372</v>
      </c>
      <c r="X350" s="80">
        <f t="shared" si="12"/>
        <v>797</v>
      </c>
      <c r="Y350" s="82" t="s">
        <v>3592</v>
      </c>
      <c r="Z350" s="24" t="s">
        <v>2888</v>
      </c>
      <c r="AF350" s="11"/>
      <c r="AG350" s="11"/>
      <c r="AH350" s="11"/>
      <c r="AI350" s="11"/>
      <c r="AJ350" s="11"/>
      <c r="AK350" s="11"/>
    </row>
    <row r="351" spans="1:37" ht="15.45" customHeight="1" x14ac:dyDescent="0.25">
      <c r="A351" s="31" t="s">
        <v>3828</v>
      </c>
      <c r="C351" s="37" t="s">
        <v>1211</v>
      </c>
      <c r="E351" s="37" t="s">
        <v>2827</v>
      </c>
      <c r="F351" s="24" t="s">
        <v>2283</v>
      </c>
      <c r="H351" s="38" t="s">
        <v>6768</v>
      </c>
      <c r="O351" s="37" t="s">
        <v>5368</v>
      </c>
      <c r="P351" s="37" t="s">
        <v>1463</v>
      </c>
      <c r="Q351" s="37" t="s">
        <v>3506</v>
      </c>
      <c r="R351" s="37" t="s">
        <v>1792</v>
      </c>
      <c r="S351" s="10" t="s">
        <v>2433</v>
      </c>
      <c r="T351" s="11"/>
      <c r="U351" s="21">
        <v>1</v>
      </c>
      <c r="V351" s="21">
        <v>1</v>
      </c>
      <c r="W351" s="73">
        <f t="shared" si="13"/>
        <v>373</v>
      </c>
      <c r="X351" s="80">
        <f t="shared" si="12"/>
        <v>798</v>
      </c>
      <c r="Y351" s="82" t="s">
        <v>3591</v>
      </c>
      <c r="Z351" s="24" t="s">
        <v>487</v>
      </c>
      <c r="AF351" s="11"/>
      <c r="AG351" s="11"/>
      <c r="AH351" s="11"/>
      <c r="AI351" s="11"/>
      <c r="AJ351" s="11"/>
      <c r="AK351" s="11"/>
    </row>
    <row r="352" spans="1:37" ht="15.45" customHeight="1" x14ac:dyDescent="0.25">
      <c r="A352" s="31" t="s">
        <v>2397</v>
      </c>
      <c r="C352" s="37" t="s">
        <v>1211</v>
      </c>
      <c r="E352" s="37" t="s">
        <v>2827</v>
      </c>
      <c r="F352" s="24" t="s">
        <v>2284</v>
      </c>
      <c r="O352" s="37" t="s">
        <v>5583</v>
      </c>
      <c r="P352" s="37" t="s">
        <v>486</v>
      </c>
      <c r="Q352" s="37" t="s">
        <v>3506</v>
      </c>
      <c r="R352" s="37" t="s">
        <v>1792</v>
      </c>
      <c r="S352" s="10" t="s">
        <v>2433</v>
      </c>
      <c r="T352" s="11"/>
      <c r="U352" s="21">
        <v>1</v>
      </c>
      <c r="V352" s="21">
        <v>1</v>
      </c>
      <c r="W352" s="73">
        <f t="shared" si="13"/>
        <v>374</v>
      </c>
      <c r="X352" s="80">
        <f t="shared" si="12"/>
        <v>799</v>
      </c>
      <c r="Y352" s="82" t="s">
        <v>3591</v>
      </c>
      <c r="Z352" s="24" t="s">
        <v>487</v>
      </c>
      <c r="AF352" s="11"/>
      <c r="AG352" s="11"/>
      <c r="AH352" s="11"/>
      <c r="AI352" s="11"/>
      <c r="AJ352" s="11"/>
      <c r="AK352" s="11"/>
    </row>
    <row r="353" spans="1:37" ht="15.45" customHeight="1" x14ac:dyDescent="0.35">
      <c r="A353" s="31" t="s">
        <v>6110</v>
      </c>
      <c r="C353" s="37" t="s">
        <v>1211</v>
      </c>
      <c r="E353" s="37" t="s">
        <v>2827</v>
      </c>
      <c r="H353" s="201" t="s">
        <v>6111</v>
      </c>
      <c r="I353" s="111" t="s">
        <v>5684</v>
      </c>
      <c r="O353" s="37" t="s">
        <v>6112</v>
      </c>
      <c r="P353" s="37" t="s">
        <v>546</v>
      </c>
      <c r="Q353" s="37" t="s">
        <v>3506</v>
      </c>
      <c r="R353" s="37" t="s">
        <v>1792</v>
      </c>
      <c r="S353" s="10" t="s">
        <v>2433</v>
      </c>
      <c r="T353" s="11"/>
      <c r="U353" s="21">
        <v>1</v>
      </c>
      <c r="V353" s="21">
        <v>1</v>
      </c>
      <c r="W353" s="73">
        <f t="shared" si="13"/>
        <v>375</v>
      </c>
      <c r="X353" s="80">
        <f t="shared" si="12"/>
        <v>800</v>
      </c>
      <c r="Y353" s="82" t="s">
        <v>3591</v>
      </c>
      <c r="Z353" s="24" t="s">
        <v>2885</v>
      </c>
      <c r="AB353" s="177">
        <v>44464</v>
      </c>
      <c r="AC353" s="84" t="s">
        <v>5308</v>
      </c>
      <c r="AF353" s="11"/>
      <c r="AG353" s="11"/>
      <c r="AH353" s="11"/>
      <c r="AI353" s="11"/>
      <c r="AJ353" s="11"/>
      <c r="AK353" s="11"/>
    </row>
    <row r="354" spans="1:37" s="5" customFormat="1" ht="18" customHeight="1" x14ac:dyDescent="0.25">
      <c r="A354" s="29" t="s">
        <v>141</v>
      </c>
      <c r="B354" s="24"/>
      <c r="C354" s="37" t="s">
        <v>35</v>
      </c>
      <c r="D354" s="37"/>
      <c r="E354" s="37" t="s">
        <v>2827</v>
      </c>
      <c r="F354" s="24" t="s">
        <v>142</v>
      </c>
      <c r="G354" s="24"/>
      <c r="H354" s="38"/>
      <c r="I354" s="111"/>
      <c r="J354" s="214"/>
      <c r="K354" s="10"/>
      <c r="L354" s="102"/>
      <c r="M354" s="102"/>
      <c r="N354" s="37"/>
      <c r="O354" s="37" t="s">
        <v>5542</v>
      </c>
      <c r="P354" s="37" t="s">
        <v>5543</v>
      </c>
      <c r="Q354" s="37" t="s">
        <v>3506</v>
      </c>
      <c r="R354" s="37" t="s">
        <v>1792</v>
      </c>
      <c r="S354" s="10" t="s">
        <v>2433</v>
      </c>
      <c r="T354" s="10"/>
      <c r="U354" s="21">
        <v>1</v>
      </c>
      <c r="V354" s="21">
        <v>1</v>
      </c>
      <c r="W354" s="73">
        <f t="shared" si="13"/>
        <v>376</v>
      </c>
      <c r="X354" s="80">
        <f t="shared" si="12"/>
        <v>801</v>
      </c>
      <c r="Y354" s="82" t="s">
        <v>3591</v>
      </c>
      <c r="Z354" s="24" t="s">
        <v>6238</v>
      </c>
      <c r="AA354" s="177">
        <v>44509</v>
      </c>
      <c r="AB354" s="180"/>
      <c r="AC354" s="84"/>
      <c r="AD354" s="84"/>
      <c r="AE354" s="85"/>
      <c r="AF354" s="10"/>
      <c r="AG354" s="10"/>
      <c r="AH354" s="10"/>
      <c r="AI354" s="10"/>
      <c r="AJ354" s="10"/>
      <c r="AK354" s="10"/>
    </row>
    <row r="355" spans="1:37" s="5" customFormat="1" ht="18" customHeight="1" x14ac:dyDescent="0.25">
      <c r="A355" s="29" t="s">
        <v>3676</v>
      </c>
      <c r="B355" s="24"/>
      <c r="C355" s="37" t="s">
        <v>1211</v>
      </c>
      <c r="D355" s="37"/>
      <c r="E355" s="37" t="s">
        <v>2928</v>
      </c>
      <c r="F355" s="24" t="s">
        <v>2287</v>
      </c>
      <c r="G355" s="25"/>
      <c r="H355" s="38"/>
      <c r="I355" s="111"/>
      <c r="J355" s="214" t="s">
        <v>3694</v>
      </c>
      <c r="K355" s="10" t="s">
        <v>3699</v>
      </c>
      <c r="L355" s="102"/>
      <c r="M355" s="102"/>
      <c r="N355" s="37"/>
      <c r="O355" s="37" t="s">
        <v>5544</v>
      </c>
      <c r="P355" s="37" t="s">
        <v>1781</v>
      </c>
      <c r="Q355" s="37" t="s">
        <v>3506</v>
      </c>
      <c r="R355" s="37" t="s">
        <v>1792</v>
      </c>
      <c r="S355" s="10" t="s">
        <v>3412</v>
      </c>
      <c r="T355" s="10"/>
      <c r="U355" s="21">
        <v>1</v>
      </c>
      <c r="V355" s="21">
        <v>1</v>
      </c>
      <c r="W355" s="73">
        <f t="shared" si="13"/>
        <v>377</v>
      </c>
      <c r="X355" s="80">
        <f t="shared" si="12"/>
        <v>802</v>
      </c>
      <c r="Y355" s="82" t="s">
        <v>3584</v>
      </c>
      <c r="Z355" s="24"/>
      <c r="AA355" s="180"/>
      <c r="AB355" s="180">
        <v>43193</v>
      </c>
      <c r="AC355" s="84" t="s">
        <v>2885</v>
      </c>
      <c r="AD355" s="84"/>
      <c r="AE355" s="85"/>
      <c r="AF355" s="10"/>
      <c r="AG355" s="10"/>
      <c r="AH355" s="10"/>
      <c r="AI355" s="10"/>
      <c r="AJ355" s="10"/>
      <c r="AK355" s="10"/>
    </row>
    <row r="356" spans="1:37" s="5" customFormat="1" ht="15.45" customHeight="1" x14ac:dyDescent="0.25">
      <c r="A356" s="29" t="s">
        <v>5434</v>
      </c>
      <c r="B356" s="24"/>
      <c r="C356" s="37" t="s">
        <v>1211</v>
      </c>
      <c r="D356" s="37"/>
      <c r="E356" s="37" t="s">
        <v>2827</v>
      </c>
      <c r="F356" s="24" t="s">
        <v>2287</v>
      </c>
      <c r="G356" s="25"/>
      <c r="H356" s="38"/>
      <c r="I356" s="111"/>
      <c r="J356" s="214"/>
      <c r="K356" s="10"/>
      <c r="L356" s="102"/>
      <c r="M356" s="102"/>
      <c r="N356" s="37"/>
      <c r="O356" s="37" t="s">
        <v>17</v>
      </c>
      <c r="P356" s="37" t="s">
        <v>4214</v>
      </c>
      <c r="Q356" s="37" t="s">
        <v>1998</v>
      </c>
      <c r="R356" s="37" t="s">
        <v>1792</v>
      </c>
      <c r="S356" s="10" t="s">
        <v>2433</v>
      </c>
      <c r="T356" s="10"/>
      <c r="U356" s="21">
        <v>1</v>
      </c>
      <c r="V356" s="21">
        <v>1</v>
      </c>
      <c r="W356" s="73">
        <f t="shared" si="13"/>
        <v>378</v>
      </c>
      <c r="X356" s="80">
        <f t="shared" si="12"/>
        <v>803</v>
      </c>
      <c r="Y356" s="82" t="s">
        <v>3584</v>
      </c>
      <c r="Z356" s="24"/>
      <c r="AA356" s="180"/>
      <c r="AB356" s="180"/>
      <c r="AC356" s="84"/>
      <c r="AD356" s="84"/>
      <c r="AE356" s="85"/>
      <c r="AF356" s="10"/>
      <c r="AG356" s="10"/>
      <c r="AH356" s="10"/>
      <c r="AI356" s="10"/>
      <c r="AJ356" s="10"/>
      <c r="AK356" s="10"/>
    </row>
    <row r="357" spans="1:37" ht="15.45" customHeight="1" x14ac:dyDescent="0.25">
      <c r="A357" s="29" t="s">
        <v>2289</v>
      </c>
      <c r="B357" s="24" t="s">
        <v>3138</v>
      </c>
      <c r="C357" s="37" t="s">
        <v>1211</v>
      </c>
      <c r="E357" s="37" t="s">
        <v>2827</v>
      </c>
      <c r="F357" s="24" t="s">
        <v>2287</v>
      </c>
      <c r="G357" s="25"/>
      <c r="O357" s="37" t="s">
        <v>2078</v>
      </c>
      <c r="P357" s="37" t="s">
        <v>546</v>
      </c>
      <c r="Q357" s="37" t="s">
        <v>3506</v>
      </c>
      <c r="R357" s="37" t="s">
        <v>1792</v>
      </c>
      <c r="S357" s="10" t="s">
        <v>2433</v>
      </c>
      <c r="U357" s="21">
        <v>1</v>
      </c>
      <c r="V357" s="21">
        <v>1</v>
      </c>
      <c r="W357" s="73">
        <f t="shared" si="13"/>
        <v>379</v>
      </c>
      <c r="X357" s="80">
        <f t="shared" si="12"/>
        <v>804</v>
      </c>
      <c r="Y357" s="82" t="s">
        <v>3592</v>
      </c>
      <c r="Z357" s="24" t="s">
        <v>2079</v>
      </c>
    </row>
    <row r="358" spans="1:37" ht="15.45" customHeight="1" x14ac:dyDescent="0.25">
      <c r="A358" s="31" t="s">
        <v>2289</v>
      </c>
      <c r="B358" s="24" t="s">
        <v>3138</v>
      </c>
      <c r="C358" s="37" t="s">
        <v>1211</v>
      </c>
      <c r="E358" s="37" t="s">
        <v>2827</v>
      </c>
      <c r="F358" s="24" t="s">
        <v>1214</v>
      </c>
      <c r="G358" s="25"/>
      <c r="Q358" s="37" t="s">
        <v>221</v>
      </c>
      <c r="R358" s="37" t="s">
        <v>1792</v>
      </c>
      <c r="S358" s="10" t="s">
        <v>2433</v>
      </c>
      <c r="T358" s="11"/>
      <c r="U358" s="21">
        <v>1</v>
      </c>
      <c r="V358" s="21">
        <v>1</v>
      </c>
      <c r="W358" s="73">
        <f t="shared" si="13"/>
        <v>380</v>
      </c>
      <c r="X358" s="80">
        <f t="shared" si="12"/>
        <v>805</v>
      </c>
      <c r="Y358" s="82" t="s">
        <v>3584</v>
      </c>
      <c r="AF358" s="11"/>
      <c r="AG358" s="11"/>
      <c r="AH358" s="11"/>
      <c r="AI358" s="11"/>
      <c r="AJ358" s="11"/>
      <c r="AK358" s="11"/>
    </row>
    <row r="359" spans="1:37" s="5" customFormat="1" ht="15.45" customHeight="1" x14ac:dyDescent="0.25">
      <c r="A359" s="80" t="s">
        <v>311</v>
      </c>
      <c r="B359" s="24"/>
      <c r="C359" s="37" t="s">
        <v>1211</v>
      </c>
      <c r="D359" s="37"/>
      <c r="E359" s="37" t="s">
        <v>2827</v>
      </c>
      <c r="F359" s="24" t="s">
        <v>2287</v>
      </c>
      <c r="G359" s="25"/>
      <c r="H359" s="38"/>
      <c r="I359" s="111"/>
      <c r="J359" s="214"/>
      <c r="K359" s="10"/>
      <c r="L359" s="102"/>
      <c r="M359" s="102"/>
      <c r="N359" s="37"/>
      <c r="O359" s="37"/>
      <c r="P359" s="37"/>
      <c r="Q359" s="37"/>
      <c r="R359" s="37"/>
      <c r="S359" s="10" t="s">
        <v>2433</v>
      </c>
      <c r="T359" s="10"/>
      <c r="U359" s="21">
        <v>18</v>
      </c>
      <c r="V359" s="21">
        <v>18</v>
      </c>
      <c r="W359" s="73">
        <f t="shared" si="13"/>
        <v>398</v>
      </c>
      <c r="X359" s="80">
        <f t="shared" si="12"/>
        <v>823</v>
      </c>
      <c r="Y359" s="82" t="s">
        <v>3584</v>
      </c>
      <c r="Z359" s="24"/>
      <c r="AA359" s="180"/>
      <c r="AB359" s="180"/>
      <c r="AC359" s="84"/>
      <c r="AD359" s="84"/>
      <c r="AE359" s="85"/>
      <c r="AF359" s="10"/>
      <c r="AG359" s="10"/>
      <c r="AH359" s="10"/>
      <c r="AI359" s="10"/>
      <c r="AJ359" s="10"/>
      <c r="AK359" s="10"/>
    </row>
    <row r="360" spans="1:37" s="5" customFormat="1" ht="15.45" customHeight="1" x14ac:dyDescent="0.25">
      <c r="A360" s="29" t="s">
        <v>3675</v>
      </c>
      <c r="B360" s="24"/>
      <c r="C360" s="37" t="s">
        <v>1211</v>
      </c>
      <c r="D360" s="37"/>
      <c r="E360" s="37" t="s">
        <v>2928</v>
      </c>
      <c r="F360" s="24" t="s">
        <v>2287</v>
      </c>
      <c r="G360" s="25"/>
      <c r="H360" s="38"/>
      <c r="I360" s="111"/>
      <c r="J360" s="214" t="s">
        <v>3694</v>
      </c>
      <c r="K360" s="10" t="s">
        <v>3699</v>
      </c>
      <c r="L360" s="102"/>
      <c r="M360" s="102"/>
      <c r="N360" s="37"/>
      <c r="O360" s="37" t="s">
        <v>5541</v>
      </c>
      <c r="P360" s="37" t="s">
        <v>4527</v>
      </c>
      <c r="Q360" s="37" t="s">
        <v>3506</v>
      </c>
      <c r="R360" s="37" t="s">
        <v>1792</v>
      </c>
      <c r="S360" s="10" t="s">
        <v>3412</v>
      </c>
      <c r="T360" s="10"/>
      <c r="U360" s="21">
        <v>1</v>
      </c>
      <c r="V360" s="21">
        <v>1</v>
      </c>
      <c r="W360" s="73">
        <f t="shared" si="13"/>
        <v>399</v>
      </c>
      <c r="X360" s="80">
        <f t="shared" si="12"/>
        <v>824</v>
      </c>
      <c r="Y360" s="82" t="s">
        <v>3584</v>
      </c>
      <c r="Z360" s="24"/>
      <c r="AA360" s="180"/>
      <c r="AB360" s="180">
        <v>43193</v>
      </c>
      <c r="AC360" s="84" t="s">
        <v>2885</v>
      </c>
      <c r="AD360" s="84"/>
      <c r="AE360" s="85"/>
      <c r="AF360" s="10"/>
      <c r="AG360" s="10"/>
      <c r="AH360" s="10"/>
      <c r="AI360" s="10"/>
      <c r="AJ360" s="10"/>
      <c r="AK360" s="10"/>
    </row>
    <row r="361" spans="1:37" s="5" customFormat="1" ht="15.45" customHeight="1" x14ac:dyDescent="0.25">
      <c r="A361" s="29" t="s">
        <v>3720</v>
      </c>
      <c r="B361" s="24"/>
      <c r="C361" s="37" t="s">
        <v>1211</v>
      </c>
      <c r="D361" s="37"/>
      <c r="E361" s="37" t="s">
        <v>2928</v>
      </c>
      <c r="F361" s="24" t="s">
        <v>2287</v>
      </c>
      <c r="G361" s="25"/>
      <c r="H361" s="38"/>
      <c r="I361" s="111"/>
      <c r="J361" s="214" t="s">
        <v>3691</v>
      </c>
      <c r="K361" s="10" t="s">
        <v>3717</v>
      </c>
      <c r="L361" s="102"/>
      <c r="M361" s="102"/>
      <c r="N361" s="37"/>
      <c r="O361" s="37"/>
      <c r="Q361" s="37" t="s">
        <v>1995</v>
      </c>
      <c r="R361" s="37" t="s">
        <v>1811</v>
      </c>
      <c r="S361" s="10" t="s">
        <v>3412</v>
      </c>
      <c r="T361" s="10"/>
      <c r="U361" s="21">
        <v>1</v>
      </c>
      <c r="V361" s="21">
        <v>1</v>
      </c>
      <c r="W361" s="73">
        <f t="shared" si="13"/>
        <v>400</v>
      </c>
      <c r="X361" s="80">
        <f t="shared" si="12"/>
        <v>825</v>
      </c>
      <c r="Y361" s="82" t="s">
        <v>3584</v>
      </c>
      <c r="Z361" s="24"/>
      <c r="AA361" s="180"/>
      <c r="AB361" s="180">
        <v>43193</v>
      </c>
      <c r="AC361" s="84" t="s">
        <v>2885</v>
      </c>
      <c r="AD361" s="84"/>
      <c r="AE361" s="85"/>
      <c r="AF361" s="10"/>
      <c r="AG361" s="10"/>
      <c r="AH361" s="10"/>
      <c r="AI361" s="10"/>
      <c r="AJ361" s="10"/>
      <c r="AK361" s="10"/>
    </row>
    <row r="362" spans="1:37" s="5" customFormat="1" ht="15.45" customHeight="1" x14ac:dyDescent="0.25">
      <c r="A362" s="29" t="s">
        <v>3722</v>
      </c>
      <c r="B362" s="24" t="s">
        <v>3723</v>
      </c>
      <c r="C362" s="37" t="s">
        <v>1211</v>
      </c>
      <c r="D362" s="37"/>
      <c r="E362" s="37" t="s">
        <v>2928</v>
      </c>
      <c r="F362" s="24" t="s">
        <v>2287</v>
      </c>
      <c r="G362" s="25"/>
      <c r="H362" s="38"/>
      <c r="I362" s="111"/>
      <c r="J362" s="214" t="s">
        <v>3691</v>
      </c>
      <c r="K362" s="10" t="s">
        <v>3724</v>
      </c>
      <c r="L362" s="102"/>
      <c r="M362" s="102"/>
      <c r="N362" s="37"/>
      <c r="O362" s="37"/>
      <c r="P362" s="37" t="s">
        <v>266</v>
      </c>
      <c r="Q362" s="37" t="s">
        <v>1979</v>
      </c>
      <c r="R362" s="37" t="s">
        <v>1792</v>
      </c>
      <c r="S362" s="10" t="s">
        <v>3412</v>
      </c>
      <c r="T362" s="10"/>
      <c r="U362" s="21">
        <v>1</v>
      </c>
      <c r="V362" s="21">
        <v>1</v>
      </c>
      <c r="W362" s="73">
        <f t="shared" si="13"/>
        <v>401</v>
      </c>
      <c r="X362" s="80">
        <f t="shared" ref="X362:X403" si="14">V362+X361</f>
        <v>826</v>
      </c>
      <c r="Y362" s="82" t="s">
        <v>3584</v>
      </c>
      <c r="Z362" s="24"/>
      <c r="AA362" s="180"/>
      <c r="AB362" s="180">
        <v>43193</v>
      </c>
      <c r="AC362" s="84" t="s">
        <v>2885</v>
      </c>
      <c r="AD362" s="84"/>
      <c r="AE362" s="85"/>
      <c r="AF362" s="10"/>
      <c r="AG362" s="10"/>
      <c r="AH362" s="10"/>
      <c r="AI362" s="10"/>
      <c r="AJ362" s="10"/>
      <c r="AK362" s="10"/>
    </row>
    <row r="363" spans="1:37" ht="15.45" customHeight="1" x14ac:dyDescent="0.25">
      <c r="A363" s="31" t="s">
        <v>6316</v>
      </c>
      <c r="B363" s="24" t="s">
        <v>6315</v>
      </c>
      <c r="C363" s="37" t="s">
        <v>1211</v>
      </c>
      <c r="E363" s="37" t="s">
        <v>2827</v>
      </c>
      <c r="F363" s="24" t="s">
        <v>4707</v>
      </c>
      <c r="H363" s="201" t="s">
        <v>6320</v>
      </c>
      <c r="J363" s="214" t="s">
        <v>5334</v>
      </c>
      <c r="O363" s="37" t="s">
        <v>6317</v>
      </c>
      <c r="P363" s="37" t="s">
        <v>546</v>
      </c>
      <c r="Q363" s="37" t="s">
        <v>3506</v>
      </c>
      <c r="R363" s="37" t="s">
        <v>1792</v>
      </c>
      <c r="S363" s="10" t="s">
        <v>3412</v>
      </c>
      <c r="T363" s="11"/>
      <c r="U363" s="21">
        <v>1</v>
      </c>
      <c r="V363" s="21">
        <v>1</v>
      </c>
      <c r="W363" s="73">
        <f t="shared" ref="W363:W404" si="15">W362+V363</f>
        <v>402</v>
      </c>
      <c r="X363" s="80">
        <f t="shared" si="14"/>
        <v>827</v>
      </c>
      <c r="Y363" s="82" t="s">
        <v>3591</v>
      </c>
      <c r="Z363" s="24" t="s">
        <v>2885</v>
      </c>
      <c r="AB363" s="177">
        <v>44512</v>
      </c>
      <c r="AC363" s="84" t="s">
        <v>5308</v>
      </c>
      <c r="AF363" s="11"/>
      <c r="AG363" s="11"/>
      <c r="AH363" s="11"/>
      <c r="AI363" s="11"/>
      <c r="AJ363" s="11"/>
      <c r="AK363" s="11"/>
    </row>
    <row r="364" spans="1:37" ht="15.45" customHeight="1" x14ac:dyDescent="0.25">
      <c r="A364" s="31" t="s">
        <v>6195</v>
      </c>
      <c r="B364" s="24" t="s">
        <v>6314</v>
      </c>
      <c r="C364" s="37" t="s">
        <v>1211</v>
      </c>
      <c r="E364" s="37" t="s">
        <v>2827</v>
      </c>
      <c r="F364" s="24" t="s">
        <v>4707</v>
      </c>
      <c r="Q364" s="37" t="s">
        <v>1870</v>
      </c>
      <c r="R364" s="37" t="s">
        <v>3664</v>
      </c>
      <c r="S364" s="10" t="s">
        <v>2433</v>
      </c>
      <c r="T364" s="11"/>
      <c r="U364" s="21">
        <v>1</v>
      </c>
      <c r="V364" s="21">
        <v>1</v>
      </c>
      <c r="W364" s="73">
        <f t="shared" si="15"/>
        <v>403</v>
      </c>
      <c r="X364" s="80">
        <f t="shared" si="14"/>
        <v>828</v>
      </c>
      <c r="Y364" s="82" t="s">
        <v>3592</v>
      </c>
      <c r="Z364" s="24" t="s">
        <v>2888</v>
      </c>
      <c r="AF364" s="11"/>
      <c r="AG364" s="11"/>
      <c r="AH364" s="11"/>
      <c r="AI364" s="11"/>
      <c r="AJ364" s="11"/>
      <c r="AK364" s="11"/>
    </row>
    <row r="365" spans="1:37" ht="15.45" customHeight="1" x14ac:dyDescent="0.25">
      <c r="A365" s="31" t="s">
        <v>6195</v>
      </c>
      <c r="B365" s="24" t="s">
        <v>6200</v>
      </c>
      <c r="C365" s="37" t="s">
        <v>1211</v>
      </c>
      <c r="E365" s="37" t="s">
        <v>2928</v>
      </c>
      <c r="F365" s="24" t="s">
        <v>4707</v>
      </c>
      <c r="H365" s="38" t="s">
        <v>6199</v>
      </c>
      <c r="J365" s="214" t="s">
        <v>5312</v>
      </c>
      <c r="O365" s="37" t="s">
        <v>6197</v>
      </c>
      <c r="P365" s="37" t="s">
        <v>6198</v>
      </c>
      <c r="Q365" s="37" t="s">
        <v>1870</v>
      </c>
      <c r="R365" s="37" t="s">
        <v>3664</v>
      </c>
      <c r="S365" s="10" t="s">
        <v>3436</v>
      </c>
      <c r="T365" s="11"/>
      <c r="U365" s="21">
        <v>1</v>
      </c>
      <c r="V365" s="21">
        <v>1</v>
      </c>
      <c r="W365" s="73">
        <f t="shared" si="15"/>
        <v>404</v>
      </c>
      <c r="X365" s="80">
        <f t="shared" si="14"/>
        <v>829</v>
      </c>
      <c r="Y365" s="82" t="s">
        <v>3591</v>
      </c>
      <c r="Z365" s="24" t="s">
        <v>4515</v>
      </c>
      <c r="AB365" s="177">
        <v>44494</v>
      </c>
      <c r="AC365" s="84" t="s">
        <v>5308</v>
      </c>
      <c r="AF365" s="11"/>
      <c r="AG365" s="11"/>
      <c r="AH365" s="11"/>
      <c r="AI365" s="11"/>
      <c r="AJ365" s="11"/>
      <c r="AK365" s="11"/>
    </row>
    <row r="366" spans="1:37" ht="15.45" customHeight="1" x14ac:dyDescent="0.25">
      <c r="A366" s="31" t="s">
        <v>6201</v>
      </c>
      <c r="B366" s="24" t="s">
        <v>6200</v>
      </c>
      <c r="C366" s="37" t="s">
        <v>1211</v>
      </c>
      <c r="E366" s="37" t="s">
        <v>2928</v>
      </c>
      <c r="F366" s="24" t="s">
        <v>4707</v>
      </c>
      <c r="H366" s="38" t="s">
        <v>6202</v>
      </c>
      <c r="J366" s="214" t="s">
        <v>5312</v>
      </c>
      <c r="O366" s="37" t="s">
        <v>6197</v>
      </c>
      <c r="P366" s="37" t="s">
        <v>6198</v>
      </c>
      <c r="Q366" s="37" t="s">
        <v>1870</v>
      </c>
      <c r="R366" s="37" t="s">
        <v>3664</v>
      </c>
      <c r="S366" s="10" t="s">
        <v>3436</v>
      </c>
      <c r="T366" s="11"/>
      <c r="U366" s="21">
        <v>1</v>
      </c>
      <c r="V366" s="21">
        <v>1</v>
      </c>
      <c r="W366" s="73">
        <f t="shared" si="15"/>
        <v>405</v>
      </c>
      <c r="X366" s="80">
        <f t="shared" si="14"/>
        <v>830</v>
      </c>
      <c r="Y366" s="82" t="s">
        <v>3591</v>
      </c>
      <c r="Z366" s="24" t="s">
        <v>4515</v>
      </c>
      <c r="AB366" s="177">
        <v>44494</v>
      </c>
      <c r="AC366" s="84" t="s">
        <v>5308</v>
      </c>
      <c r="AF366" s="11"/>
      <c r="AG366" s="11"/>
      <c r="AH366" s="11"/>
      <c r="AI366" s="11"/>
      <c r="AJ366" s="11"/>
      <c r="AK366" s="11"/>
    </row>
    <row r="367" spans="1:37" s="5" customFormat="1" ht="15.45" customHeight="1" x14ac:dyDescent="0.25">
      <c r="A367" s="29" t="s">
        <v>6313</v>
      </c>
      <c r="B367" s="24"/>
      <c r="C367" s="37" t="s">
        <v>1211</v>
      </c>
      <c r="D367" s="37"/>
      <c r="E367" s="37" t="s">
        <v>2827</v>
      </c>
      <c r="F367" s="24" t="s">
        <v>2287</v>
      </c>
      <c r="G367" s="25"/>
      <c r="H367" s="38"/>
      <c r="I367" s="111"/>
      <c r="J367" s="214" t="s">
        <v>4110</v>
      </c>
      <c r="K367" s="10" t="s">
        <v>4109</v>
      </c>
      <c r="L367" s="102"/>
      <c r="M367" s="102"/>
      <c r="N367" s="37"/>
      <c r="O367" s="37"/>
      <c r="P367" s="37"/>
      <c r="Q367" s="37" t="s">
        <v>1870</v>
      </c>
      <c r="R367" s="37" t="s">
        <v>3664</v>
      </c>
      <c r="S367" s="10" t="s">
        <v>2433</v>
      </c>
      <c r="T367" s="10"/>
      <c r="U367" s="21">
        <v>3</v>
      </c>
      <c r="V367" s="21">
        <v>3</v>
      </c>
      <c r="W367" s="73">
        <f t="shared" si="15"/>
        <v>408</v>
      </c>
      <c r="X367" s="80">
        <f t="shared" si="14"/>
        <v>833</v>
      </c>
      <c r="Y367" s="82" t="s">
        <v>3584</v>
      </c>
      <c r="Z367" s="24"/>
      <c r="AA367" s="180"/>
      <c r="AB367" s="180"/>
      <c r="AC367" s="84"/>
      <c r="AD367" s="84"/>
      <c r="AE367" s="85"/>
      <c r="AF367" s="10"/>
      <c r="AG367" s="10"/>
      <c r="AH367" s="10"/>
      <c r="AI367" s="10"/>
      <c r="AJ367" s="10"/>
      <c r="AK367" s="10"/>
    </row>
    <row r="368" spans="1:37" s="5" customFormat="1" ht="15.45" customHeight="1" x14ac:dyDescent="0.25">
      <c r="A368" s="29" t="s">
        <v>52</v>
      </c>
      <c r="B368" s="24"/>
      <c r="C368" s="37" t="s">
        <v>1211</v>
      </c>
      <c r="D368" s="37"/>
      <c r="E368" s="37" t="s">
        <v>2827</v>
      </c>
      <c r="F368" s="24" t="s">
        <v>2287</v>
      </c>
      <c r="G368" s="25"/>
      <c r="H368" s="38"/>
      <c r="I368" s="111"/>
      <c r="J368" s="214"/>
      <c r="K368" s="10"/>
      <c r="L368" s="102"/>
      <c r="M368" s="102"/>
      <c r="N368" s="37"/>
      <c r="O368" s="37"/>
      <c r="P368" s="37" t="s">
        <v>266</v>
      </c>
      <c r="Q368" s="37" t="s">
        <v>1979</v>
      </c>
      <c r="R368" s="37" t="s">
        <v>1792</v>
      </c>
      <c r="S368" s="10" t="s">
        <v>2433</v>
      </c>
      <c r="T368" s="10"/>
      <c r="U368" s="21">
        <v>1</v>
      </c>
      <c r="V368" s="21">
        <v>1</v>
      </c>
      <c r="W368" s="73">
        <f t="shared" si="15"/>
        <v>409</v>
      </c>
      <c r="X368" s="80">
        <f t="shared" si="14"/>
        <v>834</v>
      </c>
      <c r="Y368" s="82" t="s">
        <v>3584</v>
      </c>
      <c r="Z368" s="24"/>
      <c r="AA368" s="180"/>
      <c r="AB368" s="180"/>
      <c r="AC368" s="84"/>
      <c r="AD368" s="84"/>
      <c r="AE368" s="85"/>
      <c r="AF368" s="10"/>
      <c r="AG368" s="10"/>
      <c r="AH368" s="10"/>
      <c r="AI368" s="10"/>
      <c r="AJ368" s="10"/>
      <c r="AK368" s="10"/>
    </row>
    <row r="369" spans="1:37" s="5" customFormat="1" ht="15.45" customHeight="1" x14ac:dyDescent="0.25">
      <c r="A369" s="29" t="s">
        <v>1477</v>
      </c>
      <c r="B369" s="24"/>
      <c r="C369" s="37" t="s">
        <v>1211</v>
      </c>
      <c r="D369" s="37"/>
      <c r="E369" s="37" t="s">
        <v>2827</v>
      </c>
      <c r="F369" s="24" t="s">
        <v>2287</v>
      </c>
      <c r="G369" s="25"/>
      <c r="H369" s="38"/>
      <c r="I369" s="111"/>
      <c r="J369" s="214"/>
      <c r="K369" s="10"/>
      <c r="L369" s="102"/>
      <c r="M369" s="102"/>
      <c r="N369" s="37"/>
      <c r="O369" s="37"/>
      <c r="P369" s="37" t="s">
        <v>266</v>
      </c>
      <c r="Q369" s="37" t="s">
        <v>1979</v>
      </c>
      <c r="R369" s="37" t="s">
        <v>1792</v>
      </c>
      <c r="S369" s="10" t="s">
        <v>2433</v>
      </c>
      <c r="T369" s="10"/>
      <c r="U369" s="21">
        <v>1</v>
      </c>
      <c r="V369" s="21">
        <v>1</v>
      </c>
      <c r="W369" s="73">
        <f t="shared" si="15"/>
        <v>410</v>
      </c>
      <c r="X369" s="80">
        <f t="shared" si="14"/>
        <v>835</v>
      </c>
      <c r="Y369" s="82" t="s">
        <v>3584</v>
      </c>
      <c r="Z369" s="24"/>
      <c r="AA369" s="180"/>
      <c r="AB369" s="180"/>
      <c r="AC369" s="84"/>
      <c r="AD369" s="84"/>
      <c r="AE369" s="85"/>
      <c r="AF369" s="10"/>
      <c r="AG369" s="10"/>
      <c r="AH369" s="10"/>
      <c r="AI369" s="10"/>
      <c r="AJ369" s="10"/>
      <c r="AK369" s="10"/>
    </row>
    <row r="370" spans="1:37" s="5" customFormat="1" ht="15.45" customHeight="1" x14ac:dyDescent="0.25">
      <c r="A370" s="29" t="s">
        <v>7264</v>
      </c>
      <c r="B370" s="24"/>
      <c r="C370" s="37" t="s">
        <v>1211</v>
      </c>
      <c r="D370" s="37"/>
      <c r="E370" s="37" t="s">
        <v>2827</v>
      </c>
      <c r="F370" s="24" t="s">
        <v>2287</v>
      </c>
      <c r="G370" s="25"/>
      <c r="H370" s="38" t="s">
        <v>7265</v>
      </c>
      <c r="I370" s="111"/>
      <c r="J370" s="214" t="s">
        <v>5916</v>
      </c>
      <c r="K370" s="10"/>
      <c r="L370" s="102"/>
      <c r="M370" s="102"/>
      <c r="N370" s="37" t="s">
        <v>7268</v>
      </c>
      <c r="O370" s="37"/>
      <c r="P370" s="37"/>
      <c r="Q370" s="37"/>
      <c r="R370" s="37"/>
      <c r="S370" s="10" t="s">
        <v>2983</v>
      </c>
      <c r="T370" s="10" t="s">
        <v>7266</v>
      </c>
      <c r="U370" s="21">
        <v>1</v>
      </c>
      <c r="V370" s="21">
        <v>1</v>
      </c>
      <c r="W370" s="73">
        <f t="shared" si="15"/>
        <v>411</v>
      </c>
      <c r="X370" s="80">
        <f t="shared" si="14"/>
        <v>836</v>
      </c>
      <c r="Y370" s="82" t="s">
        <v>3591</v>
      </c>
      <c r="Z370" s="24" t="s">
        <v>7263</v>
      </c>
      <c r="AA370" s="180"/>
      <c r="AB370" s="180">
        <v>45702</v>
      </c>
      <c r="AC370" s="84" t="s">
        <v>2885</v>
      </c>
      <c r="AD370" s="84"/>
      <c r="AE370" s="85"/>
      <c r="AF370" s="10"/>
      <c r="AG370" s="10"/>
      <c r="AH370" s="10"/>
      <c r="AI370" s="10"/>
      <c r="AJ370" s="10"/>
      <c r="AK370" s="10"/>
    </row>
    <row r="371" spans="1:37" s="5" customFormat="1" ht="15.45" customHeight="1" x14ac:dyDescent="0.25">
      <c r="A371" s="29" t="s">
        <v>6192</v>
      </c>
      <c r="B371" s="24"/>
      <c r="C371" s="37" t="s">
        <v>6193</v>
      </c>
      <c r="D371" s="37"/>
      <c r="E371" s="37"/>
      <c r="F371" s="24"/>
      <c r="G371" s="25"/>
      <c r="H371" s="38" t="s">
        <v>6194</v>
      </c>
      <c r="I371" s="111"/>
      <c r="J371" s="214" t="s">
        <v>5279</v>
      </c>
      <c r="K371" s="10" t="s">
        <v>6181</v>
      </c>
      <c r="L371" s="102"/>
      <c r="M371" s="102"/>
      <c r="N371" s="37"/>
      <c r="O371" s="37"/>
      <c r="P371" s="37"/>
      <c r="Q371" s="37"/>
      <c r="R371" s="37"/>
      <c r="S371" s="10" t="s">
        <v>2983</v>
      </c>
      <c r="T371" s="10"/>
      <c r="U371" s="21">
        <v>1</v>
      </c>
      <c r="V371" s="21">
        <v>1</v>
      </c>
      <c r="W371" s="73">
        <f t="shared" si="15"/>
        <v>412</v>
      </c>
      <c r="X371" s="80">
        <f t="shared" si="14"/>
        <v>837</v>
      </c>
      <c r="Y371" s="82" t="s">
        <v>3591</v>
      </c>
      <c r="Z371" s="24" t="s">
        <v>4514</v>
      </c>
      <c r="AA371" s="180"/>
      <c r="AB371" s="180">
        <v>44494</v>
      </c>
      <c r="AC371" s="84" t="s">
        <v>5308</v>
      </c>
      <c r="AD371" s="84"/>
      <c r="AE371" s="85"/>
      <c r="AF371" s="10"/>
      <c r="AG371" s="10"/>
      <c r="AH371" s="10"/>
      <c r="AI371" s="10"/>
      <c r="AJ371" s="10"/>
      <c r="AK371" s="10"/>
    </row>
    <row r="372" spans="1:37" ht="15.45" customHeight="1" x14ac:dyDescent="0.25">
      <c r="A372" s="31" t="s">
        <v>5429</v>
      </c>
      <c r="B372" s="24" t="s">
        <v>5391</v>
      </c>
      <c r="C372" s="37" t="s">
        <v>1211</v>
      </c>
      <c r="E372" s="37" t="s">
        <v>2827</v>
      </c>
      <c r="F372" s="24" t="s">
        <v>2287</v>
      </c>
      <c r="H372" s="38" t="s">
        <v>3903</v>
      </c>
      <c r="O372" s="37" t="s">
        <v>5538</v>
      </c>
      <c r="P372" s="37" t="s">
        <v>1463</v>
      </c>
      <c r="Q372" s="37" t="s">
        <v>3506</v>
      </c>
      <c r="R372" s="37" t="s">
        <v>1792</v>
      </c>
      <c r="S372" s="10" t="s">
        <v>2433</v>
      </c>
      <c r="T372" s="11"/>
      <c r="U372" s="21">
        <v>1</v>
      </c>
      <c r="V372" s="21">
        <v>1</v>
      </c>
      <c r="W372" s="73">
        <f t="shared" si="15"/>
        <v>413</v>
      </c>
      <c r="X372" s="80">
        <f t="shared" si="14"/>
        <v>838</v>
      </c>
      <c r="Y372" s="82" t="s">
        <v>3591</v>
      </c>
      <c r="Z372" s="24" t="s">
        <v>487</v>
      </c>
      <c r="AF372" s="11"/>
      <c r="AG372" s="11"/>
      <c r="AH372" s="11"/>
      <c r="AI372" s="11"/>
      <c r="AJ372" s="11"/>
      <c r="AK372" s="11"/>
    </row>
    <row r="373" spans="1:37" ht="15.45" customHeight="1" x14ac:dyDescent="0.25">
      <c r="A373" s="29" t="s">
        <v>6103</v>
      </c>
      <c r="C373" s="37" t="s">
        <v>1211</v>
      </c>
      <c r="E373" s="37" t="s">
        <v>2827</v>
      </c>
      <c r="H373" s="38" t="s">
        <v>6106</v>
      </c>
      <c r="J373" s="214" t="s">
        <v>5684</v>
      </c>
      <c r="O373" s="37" t="s">
        <v>6109</v>
      </c>
      <c r="P373" s="37" t="s">
        <v>1463</v>
      </c>
      <c r="Q373" s="37" t="s">
        <v>3506</v>
      </c>
      <c r="R373" s="37" t="s">
        <v>1792</v>
      </c>
      <c r="S373" s="10" t="s">
        <v>3412</v>
      </c>
      <c r="T373" s="11"/>
      <c r="U373" s="21">
        <v>4</v>
      </c>
      <c r="V373" s="21">
        <v>4</v>
      </c>
      <c r="W373" s="73">
        <f t="shared" si="15"/>
        <v>417</v>
      </c>
      <c r="X373" s="80">
        <f t="shared" si="14"/>
        <v>842</v>
      </c>
      <c r="Y373" s="82" t="s">
        <v>3591</v>
      </c>
      <c r="Z373" s="24" t="s">
        <v>2885</v>
      </c>
      <c r="AB373" s="177">
        <v>44464</v>
      </c>
      <c r="AC373" s="84" t="s">
        <v>5308</v>
      </c>
      <c r="AF373" s="11"/>
      <c r="AG373" s="11"/>
      <c r="AH373" s="11"/>
      <c r="AI373" s="11"/>
      <c r="AJ373" s="11"/>
      <c r="AK373" s="11"/>
    </row>
    <row r="374" spans="1:37" ht="15.45" customHeight="1" x14ac:dyDescent="0.25">
      <c r="A374" s="29" t="s">
        <v>6104</v>
      </c>
      <c r="C374" s="37" t="s">
        <v>1211</v>
      </c>
      <c r="E374" s="37" t="s">
        <v>2827</v>
      </c>
      <c r="H374" s="38" t="s">
        <v>6107</v>
      </c>
      <c r="J374" s="214" t="s">
        <v>5684</v>
      </c>
      <c r="O374" s="37" t="s">
        <v>6109</v>
      </c>
      <c r="P374" s="37" t="s">
        <v>1463</v>
      </c>
      <c r="Q374" s="37" t="s">
        <v>3506</v>
      </c>
      <c r="R374" s="37" t="s">
        <v>1792</v>
      </c>
      <c r="S374" s="10" t="s">
        <v>3412</v>
      </c>
      <c r="T374" s="11"/>
      <c r="U374" s="21">
        <v>13</v>
      </c>
      <c r="V374" s="21">
        <v>13</v>
      </c>
      <c r="W374" s="73">
        <f t="shared" si="15"/>
        <v>430</v>
      </c>
      <c r="X374" s="80">
        <f t="shared" si="14"/>
        <v>855</v>
      </c>
      <c r="Y374" s="82" t="s">
        <v>3591</v>
      </c>
      <c r="Z374" s="24" t="s">
        <v>2885</v>
      </c>
      <c r="AB374" s="177">
        <v>44464</v>
      </c>
      <c r="AC374" s="84" t="s">
        <v>5308</v>
      </c>
      <c r="AF374" s="11"/>
      <c r="AG374" s="11"/>
      <c r="AH374" s="11"/>
      <c r="AI374" s="11"/>
      <c r="AJ374" s="11"/>
      <c r="AK374" s="11"/>
    </row>
    <row r="375" spans="1:37" ht="15.45" customHeight="1" x14ac:dyDescent="0.25">
      <c r="A375" s="29" t="s">
        <v>6105</v>
      </c>
      <c r="C375" s="37" t="s">
        <v>1211</v>
      </c>
      <c r="E375" s="37" t="s">
        <v>2827</v>
      </c>
      <c r="H375" s="38" t="s">
        <v>6108</v>
      </c>
      <c r="J375" s="214" t="s">
        <v>5684</v>
      </c>
      <c r="O375" s="37" t="s">
        <v>6109</v>
      </c>
      <c r="P375" s="37" t="s">
        <v>1463</v>
      </c>
      <c r="Q375" s="37" t="s">
        <v>3506</v>
      </c>
      <c r="R375" s="37" t="s">
        <v>1792</v>
      </c>
      <c r="S375" s="10" t="s">
        <v>3412</v>
      </c>
      <c r="T375" s="11"/>
      <c r="U375" s="21">
        <v>1</v>
      </c>
      <c r="V375" s="21">
        <v>1</v>
      </c>
      <c r="W375" s="73">
        <f t="shared" si="15"/>
        <v>431</v>
      </c>
      <c r="X375" s="80">
        <f t="shared" si="14"/>
        <v>856</v>
      </c>
      <c r="Y375" s="82" t="s">
        <v>3591</v>
      </c>
      <c r="Z375" s="24" t="s">
        <v>2885</v>
      </c>
      <c r="AB375" s="177">
        <v>44464</v>
      </c>
      <c r="AC375" s="84" t="s">
        <v>5308</v>
      </c>
      <c r="AF375" s="11"/>
      <c r="AG375" s="11"/>
      <c r="AH375" s="11"/>
      <c r="AI375" s="11"/>
      <c r="AJ375" s="11"/>
      <c r="AK375" s="11"/>
    </row>
    <row r="376" spans="1:37" s="5" customFormat="1" ht="15.45" customHeight="1" x14ac:dyDescent="0.25">
      <c r="A376" s="29" t="s">
        <v>5668</v>
      </c>
      <c r="B376" s="24"/>
      <c r="C376" s="37" t="s">
        <v>1211</v>
      </c>
      <c r="D376" s="37"/>
      <c r="E376" s="37" t="s">
        <v>2827</v>
      </c>
      <c r="F376" s="24" t="s">
        <v>2287</v>
      </c>
      <c r="G376" s="25"/>
      <c r="H376" s="38" t="s">
        <v>3823</v>
      </c>
      <c r="I376" s="111"/>
      <c r="J376" s="214"/>
      <c r="K376" s="10"/>
      <c r="L376" s="102"/>
      <c r="M376" s="102"/>
      <c r="N376" s="37"/>
      <c r="O376" s="37"/>
      <c r="Q376" s="37" t="s">
        <v>1870</v>
      </c>
      <c r="R376" s="37" t="s">
        <v>3664</v>
      </c>
      <c r="S376" s="10" t="s">
        <v>2433</v>
      </c>
      <c r="T376" s="10"/>
      <c r="U376" s="21">
        <v>3</v>
      </c>
      <c r="V376" s="21">
        <v>3</v>
      </c>
      <c r="W376" s="73">
        <f t="shared" si="15"/>
        <v>434</v>
      </c>
      <c r="X376" s="80">
        <f t="shared" si="14"/>
        <v>859</v>
      </c>
      <c r="Y376" s="82" t="s">
        <v>3584</v>
      </c>
      <c r="Z376" s="24"/>
      <c r="AA376" s="180"/>
      <c r="AB376" s="180"/>
      <c r="AC376" s="84"/>
      <c r="AD376" s="84"/>
      <c r="AE376" s="85"/>
      <c r="AF376" s="10"/>
      <c r="AG376" s="10"/>
      <c r="AH376" s="10"/>
      <c r="AI376" s="10"/>
      <c r="AJ376" s="10"/>
      <c r="AK376" s="10"/>
    </row>
    <row r="377" spans="1:37" s="5" customFormat="1" ht="15.45" customHeight="1" x14ac:dyDescent="0.25">
      <c r="A377" s="29" t="s">
        <v>128</v>
      </c>
      <c r="B377" s="24"/>
      <c r="C377" s="37" t="s">
        <v>1211</v>
      </c>
      <c r="D377" s="37"/>
      <c r="E377" s="37" t="s">
        <v>2827</v>
      </c>
      <c r="F377" s="24" t="s">
        <v>2287</v>
      </c>
      <c r="G377" s="25"/>
      <c r="H377" s="38"/>
      <c r="I377" s="111"/>
      <c r="J377" s="214"/>
      <c r="K377" s="10"/>
      <c r="L377" s="102"/>
      <c r="M377" s="102"/>
      <c r="N377" s="37"/>
      <c r="O377" s="37"/>
      <c r="P377" s="37"/>
      <c r="Q377" s="37"/>
      <c r="R377" s="37"/>
      <c r="S377" s="10" t="s">
        <v>2433</v>
      </c>
      <c r="T377" s="10"/>
      <c r="U377" s="21">
        <v>1</v>
      </c>
      <c r="V377" s="21">
        <v>1</v>
      </c>
      <c r="W377" s="73">
        <f t="shared" si="15"/>
        <v>435</v>
      </c>
      <c r="X377" s="80">
        <f t="shared" si="14"/>
        <v>860</v>
      </c>
      <c r="Y377" s="82" t="s">
        <v>3592</v>
      </c>
      <c r="Z377" s="24" t="s">
        <v>2884</v>
      </c>
      <c r="AA377" s="180"/>
      <c r="AB377" s="180"/>
      <c r="AC377" s="84"/>
      <c r="AD377" s="84"/>
      <c r="AE377" s="85"/>
      <c r="AF377" s="10"/>
      <c r="AG377" s="10"/>
      <c r="AH377" s="10"/>
      <c r="AI377" s="10"/>
      <c r="AJ377" s="10"/>
      <c r="AK377" s="10"/>
    </row>
    <row r="378" spans="1:37" s="5" customFormat="1" ht="15.45" customHeight="1" x14ac:dyDescent="0.25">
      <c r="A378" s="29" t="s">
        <v>5430</v>
      </c>
      <c r="B378" s="24" t="s">
        <v>5431</v>
      </c>
      <c r="C378" s="37" t="s">
        <v>1211</v>
      </c>
      <c r="D378" s="37"/>
      <c r="E378" s="37" t="s">
        <v>2827</v>
      </c>
      <c r="F378" s="24" t="s">
        <v>2287</v>
      </c>
      <c r="G378" s="25"/>
      <c r="H378" s="38" t="s">
        <v>3904</v>
      </c>
      <c r="I378" s="111"/>
      <c r="J378" s="214"/>
      <c r="K378" s="10"/>
      <c r="L378" s="102"/>
      <c r="M378" s="102"/>
      <c r="N378" s="37"/>
      <c r="O378" s="37"/>
      <c r="Q378" s="37" t="s">
        <v>1870</v>
      </c>
      <c r="R378" s="37" t="s">
        <v>3664</v>
      </c>
      <c r="S378" s="10" t="s">
        <v>2433</v>
      </c>
      <c r="T378" s="10"/>
      <c r="U378" s="21">
        <v>1</v>
      </c>
      <c r="V378" s="21">
        <v>1</v>
      </c>
      <c r="W378" s="73">
        <f t="shared" si="15"/>
        <v>436</v>
      </c>
      <c r="X378" s="80">
        <f t="shared" si="14"/>
        <v>861</v>
      </c>
      <c r="Y378" s="82" t="s">
        <v>3592</v>
      </c>
      <c r="Z378" s="24" t="s">
        <v>2888</v>
      </c>
      <c r="AA378" s="180"/>
      <c r="AB378" s="180"/>
      <c r="AC378" s="84"/>
      <c r="AD378" s="84"/>
      <c r="AE378" s="85"/>
      <c r="AF378" s="10"/>
      <c r="AG378" s="10"/>
      <c r="AH378" s="10"/>
      <c r="AI378" s="10"/>
      <c r="AJ378" s="10"/>
      <c r="AK378" s="10"/>
    </row>
    <row r="379" spans="1:37" s="5" customFormat="1" ht="15.45" customHeight="1" x14ac:dyDescent="0.25">
      <c r="A379" s="29" t="s">
        <v>5667</v>
      </c>
      <c r="B379" s="24"/>
      <c r="C379" s="37" t="s">
        <v>1211</v>
      </c>
      <c r="D379" s="37"/>
      <c r="E379" s="37" t="s">
        <v>2827</v>
      </c>
      <c r="F379" s="24" t="s">
        <v>2287</v>
      </c>
      <c r="G379" s="25"/>
      <c r="H379" s="38" t="s">
        <v>3824</v>
      </c>
      <c r="I379" s="111"/>
      <c r="J379" s="214"/>
      <c r="K379" s="10"/>
      <c r="L379" s="102"/>
      <c r="M379" s="102"/>
      <c r="N379" s="37"/>
      <c r="O379" s="37" t="s">
        <v>5374</v>
      </c>
      <c r="P379" s="37" t="s">
        <v>5375</v>
      </c>
      <c r="Q379" s="37" t="s">
        <v>1998</v>
      </c>
      <c r="R379" s="37" t="s">
        <v>1792</v>
      </c>
      <c r="S379" s="10" t="s">
        <v>2433</v>
      </c>
      <c r="T379" s="10"/>
      <c r="U379" s="21">
        <v>1</v>
      </c>
      <c r="V379" s="21">
        <v>1</v>
      </c>
      <c r="W379" s="73">
        <f t="shared" si="15"/>
        <v>437</v>
      </c>
      <c r="X379" s="80">
        <f t="shared" si="14"/>
        <v>862</v>
      </c>
      <c r="Y379" s="82" t="s">
        <v>3584</v>
      </c>
      <c r="Z379" s="24"/>
      <c r="AA379" s="180"/>
      <c r="AB379" s="180"/>
      <c r="AC379" s="84"/>
      <c r="AD379" s="84"/>
      <c r="AE379" s="85"/>
      <c r="AF379" s="10"/>
      <c r="AG379" s="10"/>
      <c r="AH379" s="10"/>
      <c r="AI379" s="10"/>
      <c r="AJ379" s="10"/>
      <c r="AK379" s="10"/>
    </row>
    <row r="380" spans="1:37" s="5" customFormat="1" ht="15.45" customHeight="1" x14ac:dyDescent="0.25">
      <c r="A380" s="29" t="s">
        <v>5432</v>
      </c>
      <c r="B380" s="24" t="s">
        <v>5433</v>
      </c>
      <c r="C380" s="37" t="s">
        <v>1211</v>
      </c>
      <c r="D380" s="37"/>
      <c r="E380" s="37" t="s">
        <v>2827</v>
      </c>
      <c r="F380" s="24" t="s">
        <v>2287</v>
      </c>
      <c r="G380" s="25"/>
      <c r="H380" s="38" t="s">
        <v>4203</v>
      </c>
      <c r="I380" s="111"/>
      <c r="J380" s="214" t="s">
        <v>4034</v>
      </c>
      <c r="K380" s="10" t="s">
        <v>4035</v>
      </c>
      <c r="L380" s="102"/>
      <c r="M380" s="102"/>
      <c r="N380" s="37"/>
      <c r="O380" s="37" t="s">
        <v>624</v>
      </c>
      <c r="P380" s="4" t="s">
        <v>5503</v>
      </c>
      <c r="Q380" s="37" t="s">
        <v>3506</v>
      </c>
      <c r="R380" s="37" t="s">
        <v>1792</v>
      </c>
      <c r="S380" s="10" t="s">
        <v>2433</v>
      </c>
      <c r="T380" s="10"/>
      <c r="U380" s="21">
        <v>1</v>
      </c>
      <c r="V380" s="21">
        <v>1</v>
      </c>
      <c r="W380" s="73">
        <f t="shared" si="15"/>
        <v>438</v>
      </c>
      <c r="X380" s="80">
        <f t="shared" si="14"/>
        <v>863</v>
      </c>
      <c r="Y380" s="82" t="s">
        <v>3584</v>
      </c>
      <c r="Z380" s="24"/>
      <c r="AA380" s="180"/>
      <c r="AB380" s="180"/>
      <c r="AC380" s="84"/>
      <c r="AD380" s="84"/>
      <c r="AE380" s="24" t="s">
        <v>4082</v>
      </c>
      <c r="AF380" s="10"/>
      <c r="AG380" s="10"/>
      <c r="AH380" s="10"/>
      <c r="AI380" s="10"/>
      <c r="AJ380" s="10"/>
      <c r="AK380" s="10"/>
    </row>
    <row r="381" spans="1:37" s="5" customFormat="1" ht="15.45" customHeight="1" x14ac:dyDescent="0.25">
      <c r="A381" s="29" t="s">
        <v>16</v>
      </c>
      <c r="B381" s="24"/>
      <c r="C381" s="37" t="s">
        <v>1211</v>
      </c>
      <c r="D381" s="37"/>
      <c r="E381" s="37" t="s">
        <v>2827</v>
      </c>
      <c r="F381" s="24" t="s">
        <v>2287</v>
      </c>
      <c r="G381" s="25"/>
      <c r="H381" s="38"/>
      <c r="I381" s="111"/>
      <c r="J381" s="214" t="s">
        <v>3691</v>
      </c>
      <c r="K381" s="10" t="s">
        <v>3717</v>
      </c>
      <c r="L381" s="102"/>
      <c r="M381" s="102"/>
      <c r="N381" s="37"/>
      <c r="O381" s="37" t="s">
        <v>5</v>
      </c>
      <c r="P381" s="37" t="s">
        <v>5376</v>
      </c>
      <c r="Q381" s="37" t="s">
        <v>1998</v>
      </c>
      <c r="R381" s="37" t="s">
        <v>1792</v>
      </c>
      <c r="S381" s="10" t="s">
        <v>2433</v>
      </c>
      <c r="T381" s="10"/>
      <c r="U381" s="21">
        <v>2</v>
      </c>
      <c r="V381" s="21">
        <v>2</v>
      </c>
      <c r="W381" s="73">
        <f t="shared" si="15"/>
        <v>440</v>
      </c>
      <c r="X381" s="80">
        <f t="shared" si="14"/>
        <v>865</v>
      </c>
      <c r="Y381" s="82" t="s">
        <v>3584</v>
      </c>
      <c r="Z381" s="24"/>
      <c r="AA381" s="180"/>
      <c r="AB381" s="180"/>
      <c r="AC381" s="84"/>
      <c r="AD381" s="84"/>
      <c r="AE381" s="85"/>
      <c r="AF381" s="10"/>
      <c r="AG381" s="10"/>
      <c r="AH381" s="10"/>
      <c r="AI381" s="10"/>
      <c r="AJ381" s="10"/>
      <c r="AK381" s="10"/>
    </row>
    <row r="382" spans="1:37" s="5" customFormat="1" ht="15.45" customHeight="1" x14ac:dyDescent="0.25">
      <c r="A382" s="29" t="s">
        <v>5790</v>
      </c>
      <c r="B382" s="24"/>
      <c r="C382" s="37" t="s">
        <v>1211</v>
      </c>
      <c r="D382" s="37"/>
      <c r="E382" s="37" t="s">
        <v>2827</v>
      </c>
      <c r="F382" s="24" t="s">
        <v>2287</v>
      </c>
      <c r="G382" s="25"/>
      <c r="H382" s="38"/>
      <c r="I382" s="111"/>
      <c r="J382" s="214"/>
      <c r="K382" s="10"/>
      <c r="L382" s="102"/>
      <c r="M382" s="102"/>
      <c r="N382" s="37"/>
      <c r="O382" s="37"/>
      <c r="P382" s="37"/>
      <c r="Q382" s="37"/>
      <c r="R382" s="37"/>
      <c r="S382" s="10" t="s">
        <v>2433</v>
      </c>
      <c r="T382" s="10"/>
      <c r="U382" s="21">
        <v>1</v>
      </c>
      <c r="V382" s="21">
        <v>1</v>
      </c>
      <c r="W382" s="73">
        <f t="shared" si="15"/>
        <v>441</v>
      </c>
      <c r="X382" s="80">
        <f t="shared" si="14"/>
        <v>866</v>
      </c>
      <c r="Y382" s="82" t="s">
        <v>3591</v>
      </c>
      <c r="Z382" s="24" t="s">
        <v>2884</v>
      </c>
      <c r="AA382" s="180"/>
      <c r="AB382" s="180"/>
      <c r="AC382" s="84"/>
      <c r="AD382" s="84"/>
      <c r="AE382" s="85"/>
      <c r="AF382" s="10"/>
      <c r="AG382" s="10"/>
      <c r="AH382" s="10"/>
      <c r="AI382" s="10"/>
      <c r="AJ382" s="10"/>
      <c r="AK382" s="10"/>
    </row>
    <row r="383" spans="1:37" s="5" customFormat="1" ht="15.45" customHeight="1" x14ac:dyDescent="0.25">
      <c r="A383" s="29" t="s">
        <v>1877</v>
      </c>
      <c r="B383" s="24"/>
      <c r="C383" s="37" t="s">
        <v>1211</v>
      </c>
      <c r="D383" s="37"/>
      <c r="E383" s="37" t="s">
        <v>2827</v>
      </c>
      <c r="F383" s="24" t="s">
        <v>2286</v>
      </c>
      <c r="G383" s="25"/>
      <c r="H383" s="38"/>
      <c r="I383" s="111"/>
      <c r="J383" s="214"/>
      <c r="K383" s="10"/>
      <c r="L383" s="102"/>
      <c r="M383" s="102"/>
      <c r="N383" s="37"/>
      <c r="O383" s="37" t="s">
        <v>1675</v>
      </c>
      <c r="P383" s="37" t="s">
        <v>486</v>
      </c>
      <c r="Q383" s="37" t="s">
        <v>3506</v>
      </c>
      <c r="R383" s="37" t="s">
        <v>1792</v>
      </c>
      <c r="S383" s="10" t="s">
        <v>2433</v>
      </c>
      <c r="T383" s="10"/>
      <c r="U383" s="21">
        <v>1</v>
      </c>
      <c r="V383" s="21">
        <v>1</v>
      </c>
      <c r="W383" s="73">
        <f t="shared" si="15"/>
        <v>442</v>
      </c>
      <c r="X383" s="80">
        <f t="shared" si="14"/>
        <v>867</v>
      </c>
      <c r="Y383" s="82" t="s">
        <v>3592</v>
      </c>
      <c r="Z383" s="24" t="s">
        <v>2888</v>
      </c>
      <c r="AA383" s="180"/>
      <c r="AB383" s="180"/>
      <c r="AC383" s="84"/>
      <c r="AD383" s="84"/>
      <c r="AE383" s="85"/>
      <c r="AF383" s="10"/>
      <c r="AG383" s="10"/>
      <c r="AH383" s="10"/>
      <c r="AI383" s="10"/>
      <c r="AJ383" s="10"/>
      <c r="AK383" s="10"/>
    </row>
    <row r="384" spans="1:37" s="5" customFormat="1" ht="15.45" customHeight="1" x14ac:dyDescent="0.25">
      <c r="A384" s="29" t="s">
        <v>1877</v>
      </c>
      <c r="B384" s="24"/>
      <c r="C384" s="37" t="s">
        <v>1211</v>
      </c>
      <c r="D384" s="37"/>
      <c r="E384" s="37" t="s">
        <v>2827</v>
      </c>
      <c r="F384" s="24" t="s">
        <v>2286</v>
      </c>
      <c r="G384" s="25"/>
      <c r="H384" s="38"/>
      <c r="I384" s="111"/>
      <c r="J384" s="214"/>
      <c r="K384" s="10"/>
      <c r="L384" s="102"/>
      <c r="M384" s="102"/>
      <c r="N384" s="37"/>
      <c r="O384" s="37"/>
      <c r="P384" s="37" t="s">
        <v>1687</v>
      </c>
      <c r="Q384" s="37" t="s">
        <v>3506</v>
      </c>
      <c r="R384" s="37" t="s">
        <v>1792</v>
      </c>
      <c r="S384" s="10" t="s">
        <v>2433</v>
      </c>
      <c r="T384" s="10"/>
      <c r="U384" s="21">
        <v>1</v>
      </c>
      <c r="V384" s="21">
        <v>1</v>
      </c>
      <c r="W384" s="73">
        <f t="shared" si="15"/>
        <v>443</v>
      </c>
      <c r="X384" s="80">
        <f t="shared" si="14"/>
        <v>868</v>
      </c>
      <c r="Y384" s="82" t="s">
        <v>3591</v>
      </c>
      <c r="Z384" s="24" t="s">
        <v>6238</v>
      </c>
      <c r="AA384" s="177">
        <v>44509</v>
      </c>
      <c r="AB384" s="180"/>
      <c r="AC384" s="84"/>
      <c r="AD384" s="84"/>
      <c r="AE384" s="85"/>
      <c r="AF384" s="10"/>
      <c r="AG384" s="10"/>
      <c r="AH384" s="10"/>
      <c r="AI384" s="10"/>
      <c r="AJ384" s="10"/>
      <c r="AK384" s="10"/>
    </row>
    <row r="385" spans="1:37" s="5" customFormat="1" ht="15.45" customHeight="1" x14ac:dyDescent="0.25">
      <c r="A385" s="29" t="s">
        <v>1980</v>
      </c>
      <c r="B385" s="24"/>
      <c r="C385" s="37" t="s">
        <v>35</v>
      </c>
      <c r="D385" s="37"/>
      <c r="E385" s="37" t="s">
        <v>2827</v>
      </c>
      <c r="F385" s="24" t="s">
        <v>2286</v>
      </c>
      <c r="G385" s="25"/>
      <c r="H385" s="38"/>
      <c r="I385" s="111"/>
      <c r="J385" s="214"/>
      <c r="K385" s="10"/>
      <c r="L385" s="102"/>
      <c r="M385" s="102"/>
      <c r="N385" s="37"/>
      <c r="O385" s="37" t="s">
        <v>5546</v>
      </c>
      <c r="P385" s="37" t="s">
        <v>5545</v>
      </c>
      <c r="Q385" s="37" t="s">
        <v>3506</v>
      </c>
      <c r="R385" s="37" t="s">
        <v>1792</v>
      </c>
      <c r="S385" s="10" t="s">
        <v>2433</v>
      </c>
      <c r="T385" s="10"/>
      <c r="U385" s="21">
        <v>1</v>
      </c>
      <c r="V385" s="21">
        <v>1</v>
      </c>
      <c r="W385" s="73">
        <f t="shared" si="15"/>
        <v>444</v>
      </c>
      <c r="X385" s="80">
        <f t="shared" si="14"/>
        <v>869</v>
      </c>
      <c r="Y385" s="82" t="s">
        <v>3591</v>
      </c>
      <c r="Z385" s="24" t="s">
        <v>6238</v>
      </c>
      <c r="AA385" s="177">
        <v>44509</v>
      </c>
      <c r="AB385" s="180"/>
      <c r="AC385" s="84"/>
      <c r="AD385" s="84"/>
      <c r="AE385" s="85"/>
      <c r="AF385" s="10"/>
      <c r="AG385" s="10"/>
      <c r="AH385" s="10"/>
      <c r="AI385" s="10"/>
      <c r="AJ385" s="10"/>
      <c r="AK385" s="10"/>
    </row>
    <row r="386" spans="1:37" s="5" customFormat="1" ht="15.45" customHeight="1" x14ac:dyDescent="0.25">
      <c r="A386" s="29" t="s">
        <v>1464</v>
      </c>
      <c r="B386" s="24"/>
      <c r="C386" s="37" t="s">
        <v>1211</v>
      </c>
      <c r="D386" s="37"/>
      <c r="E386" s="37" t="s">
        <v>2827</v>
      </c>
      <c r="F386" s="24" t="s">
        <v>2286</v>
      </c>
      <c r="G386" s="25"/>
      <c r="H386" s="38"/>
      <c r="I386" s="111"/>
      <c r="J386" s="214"/>
      <c r="K386" s="10"/>
      <c r="L386" s="102"/>
      <c r="M386" s="102"/>
      <c r="N386" s="37"/>
      <c r="O386" s="37"/>
      <c r="P386" s="37"/>
      <c r="Q386" s="37"/>
      <c r="R386" s="37"/>
      <c r="S386" s="10" t="s">
        <v>2433</v>
      </c>
      <c r="T386" s="10"/>
      <c r="U386" s="21">
        <v>1</v>
      </c>
      <c r="V386" s="21">
        <v>1</v>
      </c>
      <c r="W386" s="73">
        <f t="shared" si="15"/>
        <v>445</v>
      </c>
      <c r="X386" s="80">
        <f t="shared" si="14"/>
        <v>870</v>
      </c>
      <c r="Y386" s="82" t="s">
        <v>3592</v>
      </c>
      <c r="Z386" s="24" t="s">
        <v>2888</v>
      </c>
      <c r="AA386" s="180"/>
      <c r="AB386" s="180"/>
      <c r="AC386" s="84"/>
      <c r="AD386" s="84"/>
      <c r="AE386" s="85"/>
      <c r="AF386" s="10"/>
      <c r="AG386" s="10"/>
      <c r="AH386" s="10"/>
      <c r="AI386" s="10"/>
      <c r="AJ386" s="10"/>
      <c r="AK386" s="10"/>
    </row>
    <row r="387" spans="1:37" s="5" customFormat="1" ht="15.45" customHeight="1" x14ac:dyDescent="0.25">
      <c r="A387" s="29" t="s">
        <v>1464</v>
      </c>
      <c r="B387" s="24"/>
      <c r="C387" s="37" t="s">
        <v>1211</v>
      </c>
      <c r="D387" s="37"/>
      <c r="E387" s="37" t="s">
        <v>2827</v>
      </c>
      <c r="F387" s="24" t="s">
        <v>2286</v>
      </c>
      <c r="G387" s="25"/>
      <c r="H387" s="38"/>
      <c r="I387" s="111"/>
      <c r="J387" s="214"/>
      <c r="K387" s="10"/>
      <c r="L387" s="102"/>
      <c r="M387" s="102"/>
      <c r="N387" s="37"/>
      <c r="O387" s="37"/>
      <c r="P387" s="37"/>
      <c r="Q387" s="37"/>
      <c r="R387" s="37"/>
      <c r="S387" s="10" t="s">
        <v>2433</v>
      </c>
      <c r="T387" s="10"/>
      <c r="U387" s="21">
        <v>1</v>
      </c>
      <c r="V387" s="21">
        <v>1</v>
      </c>
      <c r="W387" s="73">
        <f t="shared" si="15"/>
        <v>446</v>
      </c>
      <c r="X387" s="80">
        <f t="shared" si="14"/>
        <v>871</v>
      </c>
      <c r="Y387" s="82" t="s">
        <v>3592</v>
      </c>
      <c r="Z387" s="24" t="s">
        <v>2888</v>
      </c>
      <c r="AA387" s="180"/>
      <c r="AB387" s="180"/>
      <c r="AC387" s="84"/>
      <c r="AD387" s="84"/>
      <c r="AE387" s="85"/>
      <c r="AF387" s="10"/>
      <c r="AG387" s="10"/>
      <c r="AH387" s="10"/>
      <c r="AI387" s="10"/>
      <c r="AJ387" s="10"/>
      <c r="AK387" s="10"/>
    </row>
    <row r="388" spans="1:37" s="5" customFormat="1" ht="15.45" customHeight="1" x14ac:dyDescent="0.25">
      <c r="A388" s="29" t="s">
        <v>1465</v>
      </c>
      <c r="B388" s="24"/>
      <c r="C388" s="37" t="s">
        <v>1211</v>
      </c>
      <c r="D388" s="37"/>
      <c r="E388" s="37" t="s">
        <v>2827</v>
      </c>
      <c r="F388" s="24" t="s">
        <v>2286</v>
      </c>
      <c r="G388" s="25"/>
      <c r="H388" s="38"/>
      <c r="I388" s="111"/>
      <c r="J388" s="214"/>
      <c r="K388" s="10"/>
      <c r="L388" s="102"/>
      <c r="M388" s="102"/>
      <c r="N388" s="37"/>
      <c r="O388" s="37"/>
      <c r="P388" s="37"/>
      <c r="Q388" s="37"/>
      <c r="R388" s="37"/>
      <c r="S388" s="10" t="s">
        <v>2433</v>
      </c>
      <c r="T388" s="10"/>
      <c r="U388" s="21">
        <v>1</v>
      </c>
      <c r="V388" s="21">
        <v>1</v>
      </c>
      <c r="W388" s="73">
        <f t="shared" si="15"/>
        <v>447</v>
      </c>
      <c r="X388" s="80">
        <f t="shared" si="14"/>
        <v>872</v>
      </c>
      <c r="Y388" s="82" t="s">
        <v>3592</v>
      </c>
      <c r="Z388" s="24" t="s">
        <v>2888</v>
      </c>
      <c r="AA388" s="180"/>
      <c r="AB388" s="180"/>
      <c r="AC388" s="84"/>
      <c r="AD388" s="84"/>
      <c r="AE388" s="85"/>
      <c r="AF388" s="10"/>
      <c r="AG388" s="10"/>
      <c r="AH388" s="10"/>
      <c r="AI388" s="10"/>
      <c r="AJ388" s="10"/>
      <c r="AK388" s="10"/>
    </row>
    <row r="389" spans="1:37" s="5" customFormat="1" ht="15.45" customHeight="1" x14ac:dyDescent="0.25">
      <c r="A389" s="29" t="s">
        <v>1571</v>
      </c>
      <c r="B389" s="24"/>
      <c r="C389" s="37" t="s">
        <v>1211</v>
      </c>
      <c r="D389" s="37"/>
      <c r="E389" s="37" t="s">
        <v>2827</v>
      </c>
      <c r="F389" s="24" t="s">
        <v>2286</v>
      </c>
      <c r="G389" s="25"/>
      <c r="H389" s="38"/>
      <c r="I389" s="111"/>
      <c r="J389" s="214"/>
      <c r="K389" s="10"/>
      <c r="L389" s="102"/>
      <c r="M389" s="102"/>
      <c r="N389" s="37"/>
      <c r="O389" s="37"/>
      <c r="P389" s="37" t="s">
        <v>5547</v>
      </c>
      <c r="Q389" s="37" t="s">
        <v>417</v>
      </c>
      <c r="R389" s="37" t="s">
        <v>2014</v>
      </c>
      <c r="S389" s="10" t="s">
        <v>2433</v>
      </c>
      <c r="T389" s="10"/>
      <c r="U389" s="21">
        <v>1</v>
      </c>
      <c r="V389" s="21">
        <v>1</v>
      </c>
      <c r="W389" s="73">
        <f t="shared" si="15"/>
        <v>448</v>
      </c>
      <c r="X389" s="80">
        <f t="shared" si="14"/>
        <v>873</v>
      </c>
      <c r="Y389" s="82" t="s">
        <v>3592</v>
      </c>
      <c r="Z389" s="24" t="s">
        <v>2888</v>
      </c>
      <c r="AA389" s="180"/>
      <c r="AB389" s="180"/>
      <c r="AC389" s="84"/>
      <c r="AD389" s="84"/>
      <c r="AE389" s="85"/>
      <c r="AF389" s="10"/>
      <c r="AG389" s="10"/>
      <c r="AH389" s="10"/>
      <c r="AI389" s="10"/>
      <c r="AJ389" s="10"/>
      <c r="AK389" s="10"/>
    </row>
    <row r="390" spans="1:37" s="5" customFormat="1" ht="15.45" customHeight="1" x14ac:dyDescent="0.25">
      <c r="A390" s="29" t="s">
        <v>2013</v>
      </c>
      <c r="B390" s="24"/>
      <c r="C390" s="37" t="s">
        <v>1211</v>
      </c>
      <c r="D390" s="37"/>
      <c r="E390" s="37" t="s">
        <v>2827</v>
      </c>
      <c r="F390" s="24" t="s">
        <v>2286</v>
      </c>
      <c r="G390" s="25"/>
      <c r="H390" s="38"/>
      <c r="I390" s="111"/>
      <c r="J390" s="214"/>
      <c r="K390" s="10"/>
      <c r="L390" s="102"/>
      <c r="M390" s="102"/>
      <c r="N390" s="37"/>
      <c r="O390" s="37" t="s">
        <v>5549</v>
      </c>
      <c r="P390" s="37" t="s">
        <v>5548</v>
      </c>
      <c r="Q390" s="37" t="s">
        <v>5550</v>
      </c>
      <c r="R390" s="37" t="s">
        <v>3663</v>
      </c>
      <c r="S390" s="10" t="s">
        <v>2433</v>
      </c>
      <c r="T390" s="10"/>
      <c r="U390" s="21">
        <v>1</v>
      </c>
      <c r="V390" s="21">
        <v>1</v>
      </c>
      <c r="W390" s="73">
        <f t="shared" si="15"/>
        <v>449</v>
      </c>
      <c r="X390" s="80">
        <f t="shared" si="14"/>
        <v>874</v>
      </c>
      <c r="Y390" s="82" t="s">
        <v>3584</v>
      </c>
      <c r="Z390" s="24"/>
      <c r="AA390" s="180"/>
      <c r="AB390" s="180"/>
      <c r="AC390" s="84"/>
      <c r="AD390" s="84"/>
      <c r="AE390" s="85"/>
      <c r="AF390" s="10"/>
      <c r="AG390" s="10"/>
      <c r="AH390" s="10"/>
      <c r="AI390" s="10"/>
      <c r="AJ390" s="10"/>
      <c r="AK390" s="10"/>
    </row>
    <row r="391" spans="1:37" s="5" customFormat="1" ht="15.45" customHeight="1" x14ac:dyDescent="0.25">
      <c r="A391" s="29" t="s">
        <v>1755</v>
      </c>
      <c r="B391" s="24"/>
      <c r="C391" s="37" t="s">
        <v>1211</v>
      </c>
      <c r="D391" s="37"/>
      <c r="E391" s="37" t="s">
        <v>2827</v>
      </c>
      <c r="F391" s="24" t="s">
        <v>2286</v>
      </c>
      <c r="G391" s="25"/>
      <c r="H391" s="38"/>
      <c r="I391" s="111"/>
      <c r="J391" s="214"/>
      <c r="K391" s="10"/>
      <c r="L391" s="102"/>
      <c r="M391" s="102"/>
      <c r="N391" s="37"/>
      <c r="O391" s="37"/>
      <c r="P391" s="37"/>
      <c r="Q391" s="37"/>
      <c r="R391" s="37"/>
      <c r="S391" s="10" t="s">
        <v>2433</v>
      </c>
      <c r="T391" s="10"/>
      <c r="U391" s="21">
        <v>1</v>
      </c>
      <c r="V391" s="21">
        <v>1</v>
      </c>
      <c r="W391" s="73">
        <f t="shared" si="15"/>
        <v>450</v>
      </c>
      <c r="X391" s="80">
        <f t="shared" si="14"/>
        <v>875</v>
      </c>
      <c r="Y391" s="82" t="s">
        <v>3584</v>
      </c>
      <c r="Z391" s="24"/>
      <c r="AA391" s="180"/>
      <c r="AB391" s="180"/>
      <c r="AC391" s="84"/>
      <c r="AD391" s="84"/>
      <c r="AE391" s="85"/>
      <c r="AF391" s="10"/>
      <c r="AG391" s="10"/>
      <c r="AH391" s="10"/>
      <c r="AI391" s="10"/>
      <c r="AJ391" s="10"/>
      <c r="AK391" s="10"/>
    </row>
    <row r="392" spans="1:37" s="5" customFormat="1" ht="15.45" customHeight="1" x14ac:dyDescent="0.25">
      <c r="A392" s="29" t="s">
        <v>1755</v>
      </c>
      <c r="B392" s="24"/>
      <c r="C392" s="37" t="s">
        <v>1211</v>
      </c>
      <c r="D392" s="37"/>
      <c r="E392" s="37" t="s">
        <v>2827</v>
      </c>
      <c r="F392" s="24" t="s">
        <v>2286</v>
      </c>
      <c r="G392" s="25"/>
      <c r="H392" s="38"/>
      <c r="I392" s="111"/>
      <c r="J392" s="214"/>
      <c r="K392" s="10"/>
      <c r="L392" s="102"/>
      <c r="M392" s="102"/>
      <c r="N392" s="37"/>
      <c r="O392" s="37"/>
      <c r="P392" s="37"/>
      <c r="Q392" s="37"/>
      <c r="R392" s="37"/>
      <c r="S392" s="10" t="s">
        <v>2433</v>
      </c>
      <c r="T392" s="10"/>
      <c r="U392" s="21">
        <v>1</v>
      </c>
      <c r="V392" s="21">
        <v>1</v>
      </c>
      <c r="W392" s="73">
        <f t="shared" si="15"/>
        <v>451</v>
      </c>
      <c r="X392" s="80">
        <f t="shared" si="14"/>
        <v>876</v>
      </c>
      <c r="Y392" s="82" t="s">
        <v>3592</v>
      </c>
      <c r="Z392" s="24" t="s">
        <v>2884</v>
      </c>
      <c r="AA392" s="180"/>
      <c r="AB392" s="180"/>
      <c r="AC392" s="84"/>
      <c r="AD392" s="84"/>
      <c r="AE392" s="85"/>
      <c r="AF392" s="10"/>
      <c r="AG392" s="10"/>
      <c r="AH392" s="10"/>
      <c r="AI392" s="10"/>
      <c r="AJ392" s="10"/>
      <c r="AK392" s="10"/>
    </row>
    <row r="393" spans="1:37" s="5" customFormat="1" ht="15.45" customHeight="1" x14ac:dyDescent="0.25">
      <c r="A393" s="29" t="s">
        <v>268</v>
      </c>
      <c r="B393" s="24"/>
      <c r="C393" s="37" t="s">
        <v>1211</v>
      </c>
      <c r="D393" s="37"/>
      <c r="E393" s="37" t="s">
        <v>2827</v>
      </c>
      <c r="F393" s="24" t="s">
        <v>2286</v>
      </c>
      <c r="G393" s="25"/>
      <c r="H393" s="38"/>
      <c r="I393" s="111"/>
      <c r="J393" s="214"/>
      <c r="K393" s="10"/>
      <c r="L393" s="102"/>
      <c r="M393" s="102"/>
      <c r="N393" s="37"/>
      <c r="O393" s="37"/>
      <c r="P393" s="37"/>
      <c r="Q393" s="37"/>
      <c r="R393" s="37"/>
      <c r="S393" s="10" t="s">
        <v>2433</v>
      </c>
      <c r="T393" s="10"/>
      <c r="U393" s="21">
        <v>1</v>
      </c>
      <c r="V393" s="21">
        <v>1</v>
      </c>
      <c r="W393" s="73">
        <f t="shared" si="15"/>
        <v>452</v>
      </c>
      <c r="X393" s="80">
        <f t="shared" si="14"/>
        <v>877</v>
      </c>
      <c r="Y393" s="82" t="s">
        <v>3584</v>
      </c>
      <c r="Z393" s="24"/>
      <c r="AA393" s="180"/>
      <c r="AB393" s="180"/>
      <c r="AC393" s="84"/>
      <c r="AD393" s="84"/>
      <c r="AE393" s="85"/>
      <c r="AF393" s="10"/>
      <c r="AG393" s="10"/>
      <c r="AH393" s="10"/>
      <c r="AI393" s="10"/>
      <c r="AJ393" s="10"/>
      <c r="AK393" s="10"/>
    </row>
    <row r="394" spans="1:37" s="5" customFormat="1" ht="15.45" customHeight="1" x14ac:dyDescent="0.25">
      <c r="A394" s="29" t="s">
        <v>1755</v>
      </c>
      <c r="B394" s="24"/>
      <c r="C394" s="37" t="s">
        <v>1211</v>
      </c>
      <c r="D394" s="37"/>
      <c r="E394" s="37" t="s">
        <v>2827</v>
      </c>
      <c r="F394" s="24" t="s">
        <v>2286</v>
      </c>
      <c r="G394" s="25"/>
      <c r="H394" s="38"/>
      <c r="I394" s="111"/>
      <c r="J394" s="214"/>
      <c r="K394" s="10"/>
      <c r="L394" s="102"/>
      <c r="M394" s="102"/>
      <c r="N394" s="37"/>
      <c r="O394" s="37" t="s">
        <v>5551</v>
      </c>
      <c r="P394" s="37" t="s">
        <v>1781</v>
      </c>
      <c r="Q394" s="37" t="s">
        <v>3506</v>
      </c>
      <c r="R394" s="37" t="s">
        <v>1792</v>
      </c>
      <c r="S394" s="10" t="s">
        <v>2433</v>
      </c>
      <c r="T394" s="10"/>
      <c r="U394" s="21">
        <v>1</v>
      </c>
      <c r="V394" s="21">
        <v>1</v>
      </c>
      <c r="W394" s="73">
        <f t="shared" si="15"/>
        <v>453</v>
      </c>
      <c r="X394" s="80">
        <f t="shared" si="14"/>
        <v>878</v>
      </c>
      <c r="Y394" s="82" t="s">
        <v>3592</v>
      </c>
      <c r="Z394" s="24" t="s">
        <v>2888</v>
      </c>
      <c r="AA394" s="180"/>
      <c r="AB394" s="180"/>
      <c r="AC394" s="84"/>
      <c r="AD394" s="84"/>
      <c r="AE394" s="85"/>
      <c r="AF394" s="10"/>
      <c r="AG394" s="10"/>
      <c r="AH394" s="10"/>
      <c r="AI394" s="10"/>
      <c r="AJ394" s="10"/>
      <c r="AK394" s="10"/>
    </row>
    <row r="395" spans="1:37" s="5" customFormat="1" ht="15.45" customHeight="1" x14ac:dyDescent="0.25">
      <c r="A395" s="29" t="s">
        <v>5921</v>
      </c>
      <c r="B395" s="24"/>
      <c r="C395" s="37" t="s">
        <v>1211</v>
      </c>
      <c r="D395" s="37"/>
      <c r="E395" s="37" t="s">
        <v>2827</v>
      </c>
      <c r="F395" s="24" t="s">
        <v>2286</v>
      </c>
      <c r="G395" s="25"/>
      <c r="H395" s="38" t="s">
        <v>5920</v>
      </c>
      <c r="I395" s="111"/>
      <c r="J395" s="214" t="s">
        <v>5327</v>
      </c>
      <c r="K395" s="10"/>
      <c r="L395" s="102"/>
      <c r="M395" s="102"/>
      <c r="N395" s="37"/>
      <c r="O395" s="37" t="s">
        <v>5916</v>
      </c>
      <c r="P395" s="37"/>
      <c r="Q395" s="37" t="s">
        <v>3506</v>
      </c>
      <c r="R395" s="37" t="s">
        <v>1792</v>
      </c>
      <c r="S395" s="10" t="s">
        <v>2433</v>
      </c>
      <c r="T395" s="10"/>
      <c r="U395" s="21">
        <v>1</v>
      </c>
      <c r="V395" s="21">
        <v>1</v>
      </c>
      <c r="W395" s="73">
        <f t="shared" si="15"/>
        <v>454</v>
      </c>
      <c r="X395" s="80">
        <f t="shared" si="14"/>
        <v>879</v>
      </c>
      <c r="Y395" s="82" t="s">
        <v>3591</v>
      </c>
      <c r="Z395" s="24" t="s">
        <v>2885</v>
      </c>
      <c r="AA395" s="177"/>
      <c r="AB395" s="177">
        <v>44387</v>
      </c>
      <c r="AC395" s="84" t="s">
        <v>2885</v>
      </c>
      <c r="AD395" s="84"/>
      <c r="AE395" s="85"/>
      <c r="AF395" s="10"/>
      <c r="AG395" s="10"/>
      <c r="AH395" s="10"/>
      <c r="AI395" s="10"/>
      <c r="AJ395" s="10"/>
      <c r="AK395" s="10"/>
    </row>
    <row r="396" spans="1:37" s="5" customFormat="1" ht="15.45" customHeight="1" x14ac:dyDescent="0.25">
      <c r="A396" s="29" t="s">
        <v>1570</v>
      </c>
      <c r="B396" s="24"/>
      <c r="C396" s="37" t="s">
        <v>1211</v>
      </c>
      <c r="D396" s="37"/>
      <c r="E396" s="37" t="s">
        <v>2827</v>
      </c>
      <c r="F396" s="24" t="s">
        <v>2286</v>
      </c>
      <c r="G396" s="25"/>
      <c r="H396" s="38"/>
      <c r="I396" s="111"/>
      <c r="J396" s="214"/>
      <c r="K396" s="10"/>
      <c r="L396" s="102"/>
      <c r="M396" s="102"/>
      <c r="N396" s="37"/>
      <c r="O396" s="37"/>
      <c r="P396" s="37" t="s">
        <v>1463</v>
      </c>
      <c r="Q396" s="37" t="s">
        <v>3506</v>
      </c>
      <c r="R396" s="37" t="s">
        <v>1792</v>
      </c>
      <c r="S396" s="10" t="s">
        <v>2433</v>
      </c>
      <c r="T396" s="10"/>
      <c r="U396" s="21">
        <v>1</v>
      </c>
      <c r="V396" s="21">
        <v>1</v>
      </c>
      <c r="W396" s="73">
        <f t="shared" si="15"/>
        <v>455</v>
      </c>
      <c r="X396" s="80">
        <f t="shared" si="14"/>
        <v>880</v>
      </c>
      <c r="Y396" s="82" t="s">
        <v>3591</v>
      </c>
      <c r="Z396" s="24" t="s">
        <v>6238</v>
      </c>
      <c r="AA396" s="177">
        <v>44509</v>
      </c>
      <c r="AB396" s="180"/>
      <c r="AC396" s="84"/>
      <c r="AD396" s="84"/>
      <c r="AE396" s="85"/>
      <c r="AF396" s="10"/>
      <c r="AG396" s="10"/>
      <c r="AH396" s="10"/>
      <c r="AI396" s="10"/>
      <c r="AJ396" s="10"/>
      <c r="AK396" s="10"/>
    </row>
    <row r="397" spans="1:37" s="5" customFormat="1" ht="15.45" customHeight="1" x14ac:dyDescent="0.25">
      <c r="A397" s="29" t="s">
        <v>1680</v>
      </c>
      <c r="B397" s="24"/>
      <c r="C397" s="37" t="s">
        <v>1211</v>
      </c>
      <c r="D397" s="37"/>
      <c r="E397" s="37" t="s">
        <v>2827</v>
      </c>
      <c r="F397" s="24" t="s">
        <v>2286</v>
      </c>
      <c r="G397" s="25"/>
      <c r="H397" s="38"/>
      <c r="I397" s="111"/>
      <c r="J397" s="214"/>
      <c r="K397" s="10"/>
      <c r="L397" s="102"/>
      <c r="M397" s="102"/>
      <c r="N397" s="37"/>
      <c r="O397" s="37"/>
      <c r="P397" s="37" t="s">
        <v>1681</v>
      </c>
      <c r="Q397" s="37"/>
      <c r="R397" s="37" t="s">
        <v>1792</v>
      </c>
      <c r="S397" s="10" t="s">
        <v>2433</v>
      </c>
      <c r="T397" s="10"/>
      <c r="U397" s="21">
        <v>1</v>
      </c>
      <c r="V397" s="21">
        <v>1</v>
      </c>
      <c r="W397" s="73">
        <f t="shared" si="15"/>
        <v>456</v>
      </c>
      <c r="X397" s="80">
        <f t="shared" si="14"/>
        <v>881</v>
      </c>
      <c r="Y397" s="82" t="s">
        <v>3592</v>
      </c>
      <c r="Z397" s="24" t="s">
        <v>2888</v>
      </c>
      <c r="AA397" s="180"/>
      <c r="AB397" s="180"/>
      <c r="AC397" s="84"/>
      <c r="AD397" s="84"/>
      <c r="AE397" s="85"/>
      <c r="AF397" s="10"/>
      <c r="AG397" s="10"/>
      <c r="AH397" s="10"/>
      <c r="AI397" s="10"/>
      <c r="AJ397" s="10"/>
      <c r="AK397" s="10"/>
    </row>
    <row r="398" spans="1:37" s="5" customFormat="1" ht="15.45" customHeight="1" x14ac:dyDescent="0.25">
      <c r="A398" s="29" t="s">
        <v>1680</v>
      </c>
      <c r="B398" s="24"/>
      <c r="C398" s="37" t="s">
        <v>1211</v>
      </c>
      <c r="D398" s="37"/>
      <c r="E398" s="37" t="s">
        <v>2827</v>
      </c>
      <c r="F398" s="24" t="s">
        <v>2286</v>
      </c>
      <c r="G398" s="25"/>
      <c r="H398" s="38"/>
      <c r="I398" s="111"/>
      <c r="J398" s="214" t="s">
        <v>3691</v>
      </c>
      <c r="K398" s="10" t="s">
        <v>3717</v>
      </c>
      <c r="L398" s="102"/>
      <c r="M398" s="102"/>
      <c r="N398" s="37"/>
      <c r="O398" s="37"/>
      <c r="P398" s="37" t="s">
        <v>670</v>
      </c>
      <c r="Q398" s="37" t="s">
        <v>5550</v>
      </c>
      <c r="R398" s="37" t="s">
        <v>3663</v>
      </c>
      <c r="S398" s="10" t="s">
        <v>2433</v>
      </c>
      <c r="T398" s="10"/>
      <c r="U398" s="21">
        <v>1</v>
      </c>
      <c r="V398" s="21">
        <v>1</v>
      </c>
      <c r="W398" s="73">
        <f t="shared" si="15"/>
        <v>457</v>
      </c>
      <c r="X398" s="80">
        <f t="shared" si="14"/>
        <v>882</v>
      </c>
      <c r="Y398" s="82" t="s">
        <v>3584</v>
      </c>
      <c r="Z398" s="24"/>
      <c r="AA398" s="180"/>
      <c r="AB398" s="180"/>
      <c r="AC398" s="84"/>
      <c r="AD398" s="84"/>
      <c r="AE398" s="85"/>
      <c r="AF398" s="10"/>
      <c r="AG398" s="10"/>
      <c r="AH398" s="10"/>
      <c r="AI398" s="10"/>
      <c r="AJ398" s="10"/>
      <c r="AK398" s="10"/>
    </row>
    <row r="399" spans="1:37" s="5" customFormat="1" ht="15.45" customHeight="1" x14ac:dyDescent="0.25">
      <c r="A399" s="29" t="s">
        <v>1780</v>
      </c>
      <c r="B399" s="24"/>
      <c r="C399" s="37" t="s">
        <v>1211</v>
      </c>
      <c r="D399" s="37"/>
      <c r="E399" s="37" t="s">
        <v>2827</v>
      </c>
      <c r="F399" s="24" t="s">
        <v>2286</v>
      </c>
      <c r="G399" s="25"/>
      <c r="H399" s="38"/>
      <c r="I399" s="111"/>
      <c r="J399" s="214"/>
      <c r="K399" s="10"/>
      <c r="L399" s="102"/>
      <c r="M399" s="102"/>
      <c r="N399" s="37"/>
      <c r="O399" s="37"/>
      <c r="P399" s="37"/>
      <c r="Q399" s="37"/>
      <c r="R399" s="37"/>
      <c r="S399" s="10" t="s">
        <v>2433</v>
      </c>
      <c r="T399" s="10"/>
      <c r="U399" s="21">
        <v>1</v>
      </c>
      <c r="V399" s="21">
        <v>1</v>
      </c>
      <c r="W399" s="73">
        <f t="shared" si="15"/>
        <v>458</v>
      </c>
      <c r="X399" s="80">
        <f t="shared" si="14"/>
        <v>883</v>
      </c>
      <c r="Y399" s="82" t="s">
        <v>3584</v>
      </c>
      <c r="Z399" s="24"/>
      <c r="AA399" s="180"/>
      <c r="AB399" s="180"/>
      <c r="AC399" s="84"/>
      <c r="AD399" s="84"/>
      <c r="AE399" s="85"/>
      <c r="AF399" s="10"/>
      <c r="AG399" s="10"/>
      <c r="AH399" s="10"/>
      <c r="AI399" s="10"/>
      <c r="AJ399" s="10"/>
      <c r="AK399" s="10"/>
    </row>
    <row r="400" spans="1:37" s="5" customFormat="1" ht="15.45" customHeight="1" x14ac:dyDescent="0.25">
      <c r="A400" s="29" t="s">
        <v>5435</v>
      </c>
      <c r="B400" s="24" t="s">
        <v>5436</v>
      </c>
      <c r="C400" s="37" t="s">
        <v>1211</v>
      </c>
      <c r="D400" s="37"/>
      <c r="E400" s="37" t="s">
        <v>2827</v>
      </c>
      <c r="F400" s="24" t="s">
        <v>2286</v>
      </c>
      <c r="G400" s="25"/>
      <c r="H400" s="38"/>
      <c r="I400" s="111"/>
      <c r="J400" s="214" t="s">
        <v>3691</v>
      </c>
      <c r="K400" s="10" t="s">
        <v>3717</v>
      </c>
      <c r="L400" s="102"/>
      <c r="M400" s="102"/>
      <c r="N400" s="37"/>
      <c r="O400" s="37"/>
      <c r="P400" s="37" t="s">
        <v>5552</v>
      </c>
      <c r="Q400" s="37" t="s">
        <v>5553</v>
      </c>
      <c r="R400" s="37" t="s">
        <v>2014</v>
      </c>
      <c r="S400" s="10" t="s">
        <v>2433</v>
      </c>
      <c r="T400" s="10"/>
      <c r="U400" s="21">
        <v>1</v>
      </c>
      <c r="V400" s="21">
        <v>1</v>
      </c>
      <c r="W400" s="73">
        <f t="shared" si="15"/>
        <v>459</v>
      </c>
      <c r="X400" s="80">
        <f t="shared" si="14"/>
        <v>884</v>
      </c>
      <c r="Y400" s="82" t="s">
        <v>3584</v>
      </c>
      <c r="Z400" s="24"/>
      <c r="AA400" s="180"/>
      <c r="AB400" s="180"/>
      <c r="AC400" s="84"/>
      <c r="AD400" s="84"/>
      <c r="AE400" s="85"/>
      <c r="AF400" s="10"/>
      <c r="AG400" s="10"/>
      <c r="AH400" s="10"/>
      <c r="AI400" s="10"/>
      <c r="AJ400" s="10"/>
      <c r="AK400" s="10"/>
    </row>
    <row r="401" spans="1:37" s="5" customFormat="1" ht="15.45" customHeight="1" x14ac:dyDescent="0.25">
      <c r="A401" s="29" t="s">
        <v>5435</v>
      </c>
      <c r="B401" s="24" t="s">
        <v>5436</v>
      </c>
      <c r="C401" s="37" t="s">
        <v>1211</v>
      </c>
      <c r="D401" s="37"/>
      <c r="E401" s="37" t="s">
        <v>2827</v>
      </c>
      <c r="F401" s="24" t="s">
        <v>2286</v>
      </c>
      <c r="G401" s="25"/>
      <c r="H401" s="38" t="s">
        <v>3905</v>
      </c>
      <c r="I401" s="111"/>
      <c r="J401" s="214" t="s">
        <v>3691</v>
      </c>
      <c r="K401" s="10" t="s">
        <v>3717</v>
      </c>
      <c r="L401" s="102"/>
      <c r="M401" s="102"/>
      <c r="N401" s="37"/>
      <c r="O401" s="37"/>
      <c r="P401" s="37"/>
      <c r="Q401" s="37" t="s">
        <v>1998</v>
      </c>
      <c r="R401" s="37" t="s">
        <v>1792</v>
      </c>
      <c r="S401" s="10" t="s">
        <v>2433</v>
      </c>
      <c r="T401" s="10"/>
      <c r="U401" s="21">
        <v>1</v>
      </c>
      <c r="V401" s="21">
        <v>1</v>
      </c>
      <c r="W401" s="73">
        <f t="shared" si="15"/>
        <v>460</v>
      </c>
      <c r="X401" s="80">
        <f t="shared" si="14"/>
        <v>885</v>
      </c>
      <c r="Y401" s="82" t="s">
        <v>3584</v>
      </c>
      <c r="Z401" s="24"/>
      <c r="AA401" s="180"/>
      <c r="AB401" s="180"/>
      <c r="AC401" s="84"/>
      <c r="AD401" s="84"/>
      <c r="AE401" s="85"/>
      <c r="AF401" s="10"/>
      <c r="AG401" s="10"/>
      <c r="AH401" s="10"/>
      <c r="AI401" s="10"/>
      <c r="AJ401" s="10"/>
      <c r="AK401" s="10"/>
    </row>
    <row r="402" spans="1:37" s="5" customFormat="1" ht="15.45" customHeight="1" x14ac:dyDescent="0.25">
      <c r="A402" s="29" t="s">
        <v>5435</v>
      </c>
      <c r="B402" s="24" t="s">
        <v>5436</v>
      </c>
      <c r="C402" s="37" t="s">
        <v>1211</v>
      </c>
      <c r="D402" s="37"/>
      <c r="E402" s="37" t="s">
        <v>2827</v>
      </c>
      <c r="F402" s="24" t="s">
        <v>2286</v>
      </c>
      <c r="G402" s="25"/>
      <c r="H402" s="38" t="s">
        <v>5741</v>
      </c>
      <c r="I402" s="111"/>
      <c r="J402" s="214"/>
      <c r="K402" s="10"/>
      <c r="L402" s="102"/>
      <c r="M402" s="102"/>
      <c r="N402" s="37"/>
      <c r="O402" s="37"/>
      <c r="P402" s="37"/>
      <c r="Q402" s="37"/>
      <c r="R402" s="37"/>
      <c r="S402" s="10" t="s">
        <v>2433</v>
      </c>
      <c r="T402" s="10"/>
      <c r="U402" s="21">
        <v>1</v>
      </c>
      <c r="V402" s="21">
        <v>1</v>
      </c>
      <c r="W402" s="73">
        <f t="shared" si="15"/>
        <v>461</v>
      </c>
      <c r="X402" s="80">
        <f t="shared" si="14"/>
        <v>886</v>
      </c>
      <c r="Y402" s="82" t="s">
        <v>3592</v>
      </c>
      <c r="Z402" s="24" t="s">
        <v>2884</v>
      </c>
      <c r="AA402" s="180"/>
      <c r="AB402" s="180"/>
      <c r="AC402" s="84"/>
      <c r="AD402" s="84"/>
      <c r="AE402" s="85"/>
      <c r="AF402" s="10"/>
      <c r="AG402" s="10"/>
      <c r="AH402" s="10"/>
      <c r="AI402" s="10"/>
      <c r="AJ402" s="10"/>
      <c r="AK402" s="10"/>
    </row>
    <row r="403" spans="1:37" s="5" customFormat="1" ht="15.45" customHeight="1" x14ac:dyDescent="0.25">
      <c r="A403" s="29" t="s">
        <v>5437</v>
      </c>
      <c r="B403" s="24" t="s">
        <v>5438</v>
      </c>
      <c r="C403" s="37" t="s">
        <v>1211</v>
      </c>
      <c r="D403" s="37"/>
      <c r="E403" s="37" t="s">
        <v>2827</v>
      </c>
      <c r="F403" s="24" t="s">
        <v>2286</v>
      </c>
      <c r="G403" s="25"/>
      <c r="H403" s="38" t="s">
        <v>5311</v>
      </c>
      <c r="I403" s="111"/>
      <c r="J403" s="214"/>
      <c r="K403" s="10"/>
      <c r="L403" s="102"/>
      <c r="M403" s="102"/>
      <c r="N403" s="37"/>
      <c r="O403" s="37"/>
      <c r="P403" s="37" t="s">
        <v>310</v>
      </c>
      <c r="Q403" s="37" t="s">
        <v>1998</v>
      </c>
      <c r="R403" s="37" t="s">
        <v>1792</v>
      </c>
      <c r="S403" s="10" t="s">
        <v>2433</v>
      </c>
      <c r="T403" s="10"/>
      <c r="U403" s="21">
        <v>1</v>
      </c>
      <c r="V403" s="21">
        <v>1</v>
      </c>
      <c r="W403" s="73">
        <f t="shared" si="15"/>
        <v>462</v>
      </c>
      <c r="X403" s="80">
        <f t="shared" si="14"/>
        <v>887</v>
      </c>
      <c r="Y403" s="82" t="s">
        <v>3584</v>
      </c>
      <c r="Z403" s="24"/>
      <c r="AA403" s="180"/>
      <c r="AB403" s="180"/>
      <c r="AC403" s="84"/>
      <c r="AD403" s="84"/>
      <c r="AE403" s="85"/>
      <c r="AF403" s="10"/>
      <c r="AG403" s="10"/>
      <c r="AH403" s="10"/>
      <c r="AI403" s="10"/>
      <c r="AJ403" s="10"/>
      <c r="AK403" s="10"/>
    </row>
    <row r="404" spans="1:37" s="5" customFormat="1" ht="15.45" customHeight="1" x14ac:dyDescent="0.25">
      <c r="A404" s="29" t="s">
        <v>1184</v>
      </c>
      <c r="B404" s="24"/>
      <c r="C404" s="37" t="s">
        <v>1211</v>
      </c>
      <c r="D404" s="37"/>
      <c r="E404" s="37" t="s">
        <v>2827</v>
      </c>
      <c r="F404" s="24" t="s">
        <v>2286</v>
      </c>
      <c r="G404" s="25"/>
      <c r="H404" s="38"/>
      <c r="I404" s="111"/>
      <c r="J404" s="214"/>
      <c r="K404" s="10"/>
      <c r="L404" s="102"/>
      <c r="M404" s="102"/>
      <c r="N404" s="37"/>
      <c r="O404" s="37"/>
      <c r="P404" s="37"/>
      <c r="Q404" s="37"/>
      <c r="R404" s="37"/>
      <c r="S404" s="10" t="s">
        <v>2433</v>
      </c>
      <c r="T404" s="10"/>
      <c r="U404" s="21">
        <v>1</v>
      </c>
      <c r="V404" s="21">
        <v>1</v>
      </c>
      <c r="W404" s="73">
        <f t="shared" si="15"/>
        <v>463</v>
      </c>
      <c r="X404" s="80">
        <f t="shared" ref="X404" si="16">V404+X403</f>
        <v>888</v>
      </c>
      <c r="Y404" s="82" t="s">
        <v>3584</v>
      </c>
      <c r="Z404" s="24"/>
      <c r="AA404" s="180"/>
      <c r="AB404" s="180"/>
      <c r="AC404" s="84"/>
      <c r="AD404" s="84"/>
      <c r="AE404" s="85"/>
      <c r="AF404" s="10"/>
      <c r="AG404" s="10"/>
      <c r="AH404" s="10"/>
      <c r="AI404" s="10"/>
      <c r="AJ404" s="10"/>
      <c r="AK404" s="10"/>
    </row>
    <row r="405" spans="1:37" s="57" customFormat="1" ht="18" customHeight="1" x14ac:dyDescent="0.3">
      <c r="A405" s="52" t="s">
        <v>5941</v>
      </c>
      <c r="B405" s="90"/>
      <c r="C405" s="49"/>
      <c r="D405" s="49"/>
      <c r="E405" s="49"/>
      <c r="F405" s="50"/>
      <c r="G405" s="62"/>
      <c r="H405" s="46"/>
      <c r="I405" s="109"/>
      <c r="J405" s="213"/>
      <c r="K405" s="129"/>
      <c r="L405" s="101"/>
      <c r="M405" s="101"/>
      <c r="N405" s="49"/>
      <c r="O405" s="49"/>
      <c r="P405" s="49"/>
      <c r="Q405" s="49"/>
      <c r="R405" s="49"/>
      <c r="S405" s="47"/>
      <c r="T405" s="47"/>
      <c r="U405" s="53"/>
      <c r="V405" s="53"/>
      <c r="W405" s="75"/>
      <c r="X405" s="81"/>
      <c r="Y405" s="92"/>
      <c r="Z405" s="90"/>
      <c r="AA405" s="174"/>
      <c r="AB405" s="174"/>
      <c r="AC405" s="91"/>
      <c r="AD405" s="91"/>
      <c r="AE405" s="54"/>
      <c r="AF405" s="47"/>
      <c r="AG405" s="47"/>
      <c r="AH405" s="47"/>
      <c r="AI405" s="47"/>
      <c r="AJ405" s="47"/>
      <c r="AK405" s="47"/>
    </row>
    <row r="406" spans="1:37" s="5" customFormat="1" ht="15.45" customHeight="1" x14ac:dyDescent="0.25">
      <c r="A406" s="29"/>
      <c r="B406" s="24"/>
      <c r="C406" s="37" t="s">
        <v>5942</v>
      </c>
      <c r="D406" s="37"/>
      <c r="E406" s="37" t="s">
        <v>2827</v>
      </c>
      <c r="F406" s="24"/>
      <c r="G406" s="25"/>
      <c r="H406" s="38"/>
      <c r="I406" s="111"/>
      <c r="J406" s="214"/>
      <c r="K406" s="10"/>
      <c r="L406" s="102"/>
      <c r="M406" s="102"/>
      <c r="N406" s="37"/>
      <c r="O406" s="37"/>
      <c r="P406" s="37"/>
      <c r="Q406" s="37"/>
      <c r="R406" s="37"/>
      <c r="S406" s="10"/>
      <c r="T406" s="10"/>
      <c r="U406" s="21"/>
      <c r="V406" s="21"/>
      <c r="W406" s="73"/>
      <c r="X406" s="80">
        <f>V406+X404</f>
        <v>888</v>
      </c>
      <c r="Y406" s="82" t="s">
        <v>3591</v>
      </c>
      <c r="Z406" s="24" t="s">
        <v>2885</v>
      </c>
      <c r="AA406" s="180"/>
      <c r="AB406" s="180">
        <v>44407</v>
      </c>
      <c r="AC406" s="84" t="s">
        <v>5308</v>
      </c>
      <c r="AD406" s="84"/>
      <c r="AE406" s="85"/>
      <c r="AF406" s="10"/>
      <c r="AG406" s="10"/>
      <c r="AH406" s="10"/>
      <c r="AI406" s="10"/>
      <c r="AJ406" s="10"/>
      <c r="AK406" s="10"/>
    </row>
    <row r="407" spans="1:37" s="5" customFormat="1" ht="15.45" customHeight="1" x14ac:dyDescent="0.25">
      <c r="A407" s="29"/>
      <c r="B407" s="24"/>
      <c r="C407" s="37" t="s">
        <v>5942</v>
      </c>
      <c r="D407" s="37"/>
      <c r="E407" s="37" t="s">
        <v>2827</v>
      </c>
      <c r="F407" s="24"/>
      <c r="G407" s="25"/>
      <c r="H407" s="38"/>
      <c r="I407" s="111"/>
      <c r="J407" s="214"/>
      <c r="K407" s="10"/>
      <c r="L407" s="102"/>
      <c r="M407" s="102"/>
      <c r="N407" s="37"/>
      <c r="O407" s="37"/>
      <c r="P407" s="37"/>
      <c r="Q407" s="37"/>
      <c r="R407" s="37"/>
      <c r="S407" s="10"/>
      <c r="T407" s="10"/>
      <c r="U407" s="21"/>
      <c r="V407" s="21"/>
      <c r="W407" s="73"/>
      <c r="X407" s="80">
        <f>V407+X406</f>
        <v>888</v>
      </c>
      <c r="Y407" s="82" t="s">
        <v>3591</v>
      </c>
      <c r="Z407" s="24" t="s">
        <v>2885</v>
      </c>
      <c r="AA407" s="180"/>
      <c r="AB407" s="180">
        <v>44408</v>
      </c>
      <c r="AC407" s="84" t="s">
        <v>5308</v>
      </c>
      <c r="AD407" s="84"/>
      <c r="AE407" s="85"/>
      <c r="AF407" s="10"/>
      <c r="AG407" s="10"/>
      <c r="AH407" s="10"/>
      <c r="AI407" s="10"/>
      <c r="AJ407" s="10"/>
      <c r="AK407" s="10"/>
    </row>
    <row r="408" spans="1:37" s="5" customFormat="1" ht="15.45" customHeight="1" x14ac:dyDescent="0.25">
      <c r="A408" s="29" t="s">
        <v>5994</v>
      </c>
      <c r="B408" s="24"/>
      <c r="C408" s="37" t="s">
        <v>5942</v>
      </c>
      <c r="D408" s="37"/>
      <c r="E408" s="37" t="s">
        <v>2827</v>
      </c>
      <c r="F408" s="24"/>
      <c r="G408" s="25"/>
      <c r="H408" s="235" t="s">
        <v>5981</v>
      </c>
      <c r="I408" s="201"/>
      <c r="J408" s="216">
        <v>1975</v>
      </c>
      <c r="K408" s="201"/>
      <c r="L408" s="201"/>
      <c r="M408" s="201"/>
      <c r="N408" s="201"/>
      <c r="O408" s="201" t="s">
        <v>5813</v>
      </c>
      <c r="P408" s="201" t="s">
        <v>1463</v>
      </c>
      <c r="Q408" s="201" t="s">
        <v>3506</v>
      </c>
      <c r="R408" s="201" t="s">
        <v>1792</v>
      </c>
      <c r="S408" s="201" t="s">
        <v>3436</v>
      </c>
      <c r="T408" s="201"/>
      <c r="U408" s="21">
        <v>1</v>
      </c>
      <c r="V408" s="21">
        <v>1</v>
      </c>
      <c r="W408" s="201"/>
      <c r="X408" s="80">
        <f>V408+X407</f>
        <v>889</v>
      </c>
      <c r="Y408" s="82" t="s">
        <v>3591</v>
      </c>
      <c r="Z408" s="24" t="s">
        <v>2885</v>
      </c>
      <c r="AA408" s="180"/>
      <c r="AB408" s="180">
        <v>44409</v>
      </c>
      <c r="AC408" s="84" t="s">
        <v>5308</v>
      </c>
      <c r="AD408" s="84"/>
      <c r="AE408" s="85"/>
      <c r="AF408" s="10"/>
      <c r="AG408" s="10"/>
      <c r="AH408" s="10"/>
      <c r="AI408" s="10"/>
      <c r="AJ408" s="10"/>
      <c r="AK408" s="10"/>
    </row>
    <row r="409" spans="1:37" s="5" customFormat="1" ht="15.45" customHeight="1" x14ac:dyDescent="0.25">
      <c r="A409" s="29" t="s">
        <v>5993</v>
      </c>
      <c r="B409" s="24"/>
      <c r="C409" s="37" t="s">
        <v>5942</v>
      </c>
      <c r="D409" s="37"/>
      <c r="E409" s="37" t="s">
        <v>2827</v>
      </c>
      <c r="F409" s="24"/>
      <c r="G409" s="25"/>
      <c r="H409" s="235"/>
      <c r="I409" s="111"/>
      <c r="J409" s="216">
        <v>1975</v>
      </c>
      <c r="K409" s="10"/>
      <c r="L409" s="102"/>
      <c r="M409" s="102"/>
      <c r="N409" s="37"/>
      <c r="O409" s="201" t="s">
        <v>5813</v>
      </c>
      <c r="P409" s="201" t="s">
        <v>1463</v>
      </c>
      <c r="Q409" s="201" t="s">
        <v>3506</v>
      </c>
      <c r="R409" s="201" t="s">
        <v>1792</v>
      </c>
      <c r="S409" s="201" t="s">
        <v>3436</v>
      </c>
      <c r="T409" s="201"/>
      <c r="U409" s="21">
        <v>1</v>
      </c>
      <c r="V409" s="21">
        <v>1</v>
      </c>
      <c r="W409" s="73"/>
      <c r="X409" s="80">
        <f t="shared" ref="X409:X420" si="17">V409+X408</f>
        <v>890</v>
      </c>
      <c r="Y409" s="82" t="s">
        <v>3591</v>
      </c>
      <c r="Z409" s="24" t="s">
        <v>2885</v>
      </c>
      <c r="AA409" s="180"/>
      <c r="AB409" s="180">
        <v>44409</v>
      </c>
      <c r="AC409" s="84" t="s">
        <v>5308</v>
      </c>
      <c r="AD409" s="84"/>
      <c r="AE409" s="85"/>
      <c r="AF409" s="10"/>
      <c r="AG409" s="10"/>
      <c r="AH409" s="10"/>
      <c r="AI409" s="10"/>
      <c r="AJ409" s="10"/>
      <c r="AK409" s="10"/>
    </row>
    <row r="410" spans="1:37" s="5" customFormat="1" ht="15.45" customHeight="1" x14ac:dyDescent="0.25">
      <c r="A410" s="29" t="s">
        <v>5992</v>
      </c>
      <c r="B410" s="24"/>
      <c r="C410" s="37" t="s">
        <v>5942</v>
      </c>
      <c r="D410" s="37"/>
      <c r="E410" s="37" t="s">
        <v>2827</v>
      </c>
      <c r="F410" s="24"/>
      <c r="G410" s="25"/>
      <c r="H410" s="235"/>
      <c r="I410" s="111"/>
      <c r="J410" s="216">
        <v>1975</v>
      </c>
      <c r="K410" s="10"/>
      <c r="L410" s="102"/>
      <c r="M410" s="102"/>
      <c r="N410" s="37"/>
      <c r="O410" s="201" t="s">
        <v>5813</v>
      </c>
      <c r="P410" s="201" t="s">
        <v>1463</v>
      </c>
      <c r="Q410" s="201" t="s">
        <v>3506</v>
      </c>
      <c r="R410" s="201" t="s">
        <v>1792</v>
      </c>
      <c r="S410" s="201" t="s">
        <v>3436</v>
      </c>
      <c r="T410" s="201"/>
      <c r="U410" s="21">
        <v>1</v>
      </c>
      <c r="V410" s="21">
        <v>1</v>
      </c>
      <c r="W410" s="73"/>
      <c r="X410" s="80">
        <f t="shared" si="17"/>
        <v>891</v>
      </c>
      <c r="Y410" s="82" t="s">
        <v>3591</v>
      </c>
      <c r="Z410" s="24" t="s">
        <v>2885</v>
      </c>
      <c r="AA410" s="180"/>
      <c r="AB410" s="180">
        <v>44409</v>
      </c>
      <c r="AC410" s="84" t="s">
        <v>5308</v>
      </c>
      <c r="AD410" s="84"/>
      <c r="AE410" s="85"/>
      <c r="AF410" s="10"/>
      <c r="AG410" s="10"/>
      <c r="AH410" s="10"/>
      <c r="AI410" s="10"/>
      <c r="AJ410" s="10"/>
      <c r="AK410" s="10"/>
    </row>
    <row r="411" spans="1:37" s="5" customFormat="1" ht="15.45" customHeight="1" x14ac:dyDescent="0.25">
      <c r="A411" s="29" t="s">
        <v>5991</v>
      </c>
      <c r="B411" s="24"/>
      <c r="C411" s="37" t="s">
        <v>5942</v>
      </c>
      <c r="D411" s="37"/>
      <c r="E411" s="37" t="s">
        <v>2827</v>
      </c>
      <c r="F411" s="24"/>
      <c r="G411" s="25"/>
      <c r="H411" s="235"/>
      <c r="I411" s="111"/>
      <c r="J411" s="216">
        <v>1975</v>
      </c>
      <c r="K411" s="10"/>
      <c r="L411" s="102"/>
      <c r="M411" s="102"/>
      <c r="N411" s="37"/>
      <c r="O411" s="201" t="s">
        <v>5813</v>
      </c>
      <c r="P411" s="201" t="s">
        <v>1463</v>
      </c>
      <c r="Q411" s="201" t="s">
        <v>3506</v>
      </c>
      <c r="R411" s="201" t="s">
        <v>1792</v>
      </c>
      <c r="S411" s="201" t="s">
        <v>3436</v>
      </c>
      <c r="T411" s="201"/>
      <c r="U411" s="21">
        <v>1</v>
      </c>
      <c r="V411" s="21">
        <v>1</v>
      </c>
      <c r="W411" s="73"/>
      <c r="X411" s="80">
        <f t="shared" si="17"/>
        <v>892</v>
      </c>
      <c r="Y411" s="82" t="s">
        <v>3591</v>
      </c>
      <c r="Z411" s="24" t="s">
        <v>2885</v>
      </c>
      <c r="AA411" s="180"/>
      <c r="AB411" s="180">
        <v>44409</v>
      </c>
      <c r="AC411" s="84" t="s">
        <v>5308</v>
      </c>
      <c r="AD411" s="84"/>
      <c r="AE411" s="85"/>
      <c r="AF411" s="10"/>
      <c r="AG411" s="10"/>
      <c r="AH411" s="10"/>
      <c r="AI411" s="10"/>
      <c r="AJ411" s="10"/>
      <c r="AK411" s="10"/>
    </row>
    <row r="412" spans="1:37" s="5" customFormat="1" ht="15.45" customHeight="1" x14ac:dyDescent="0.25">
      <c r="A412" s="29" t="s">
        <v>5995</v>
      </c>
      <c r="B412" s="24"/>
      <c r="C412" s="37" t="s">
        <v>5942</v>
      </c>
      <c r="D412" s="37"/>
      <c r="E412" s="37" t="s">
        <v>2827</v>
      </c>
      <c r="F412" s="24"/>
      <c r="G412" s="25"/>
      <c r="H412" s="235"/>
      <c r="I412" s="111"/>
      <c r="J412" s="216">
        <v>1975</v>
      </c>
      <c r="K412" s="10"/>
      <c r="L412" s="102"/>
      <c r="M412" s="102"/>
      <c r="N412" s="37"/>
      <c r="O412" s="201" t="s">
        <v>5813</v>
      </c>
      <c r="P412" s="201" t="s">
        <v>1463</v>
      </c>
      <c r="Q412" s="201" t="s">
        <v>3506</v>
      </c>
      <c r="R412" s="201" t="s">
        <v>1792</v>
      </c>
      <c r="S412" s="201" t="s">
        <v>3436</v>
      </c>
      <c r="T412" s="201"/>
      <c r="U412" s="21">
        <v>1</v>
      </c>
      <c r="V412" s="21">
        <v>1</v>
      </c>
      <c r="W412" s="73"/>
      <c r="X412" s="80">
        <f t="shared" si="17"/>
        <v>893</v>
      </c>
      <c r="Y412" s="82" t="s">
        <v>3591</v>
      </c>
      <c r="Z412" s="24" t="s">
        <v>2885</v>
      </c>
      <c r="AA412" s="180"/>
      <c r="AB412" s="180">
        <v>44409</v>
      </c>
      <c r="AC412" s="84" t="s">
        <v>5308</v>
      </c>
      <c r="AD412" s="84"/>
      <c r="AE412" s="85"/>
      <c r="AF412" s="10"/>
      <c r="AG412" s="10"/>
      <c r="AH412" s="10"/>
      <c r="AI412" s="10"/>
      <c r="AJ412" s="10"/>
      <c r="AK412" s="10"/>
    </row>
    <row r="413" spans="1:37" s="5" customFormat="1" ht="15.45" customHeight="1" x14ac:dyDescent="0.25">
      <c r="A413" s="29" t="s">
        <v>5996</v>
      </c>
      <c r="B413" s="24"/>
      <c r="C413" s="37" t="s">
        <v>5942</v>
      </c>
      <c r="D413" s="37"/>
      <c r="E413" s="37" t="s">
        <v>2827</v>
      </c>
      <c r="F413" s="24"/>
      <c r="G413" s="25"/>
      <c r="H413" s="235"/>
      <c r="I413" s="111"/>
      <c r="J413" s="216">
        <v>1975</v>
      </c>
      <c r="K413" s="10"/>
      <c r="L413" s="102"/>
      <c r="M413" s="102"/>
      <c r="N413" s="37"/>
      <c r="O413" s="201" t="s">
        <v>5813</v>
      </c>
      <c r="P413" s="201" t="s">
        <v>1463</v>
      </c>
      <c r="Q413" s="201" t="s">
        <v>3506</v>
      </c>
      <c r="R413" s="201" t="s">
        <v>1792</v>
      </c>
      <c r="S413" s="201" t="s">
        <v>3436</v>
      </c>
      <c r="T413" s="201"/>
      <c r="U413" s="21">
        <v>1</v>
      </c>
      <c r="V413" s="21">
        <v>1</v>
      </c>
      <c r="W413" s="73"/>
      <c r="X413" s="80">
        <f t="shared" si="17"/>
        <v>894</v>
      </c>
      <c r="Y413" s="82" t="s">
        <v>3591</v>
      </c>
      <c r="Z413" s="24" t="s">
        <v>2885</v>
      </c>
      <c r="AA413" s="180"/>
      <c r="AB413" s="180">
        <v>44409</v>
      </c>
      <c r="AC413" s="84" t="s">
        <v>5308</v>
      </c>
      <c r="AD413" s="84"/>
      <c r="AE413" s="85"/>
      <c r="AF413" s="10"/>
      <c r="AG413" s="10"/>
      <c r="AH413" s="10"/>
      <c r="AI413" s="10"/>
      <c r="AJ413" s="10"/>
      <c r="AK413" s="10"/>
    </row>
    <row r="414" spans="1:37" s="5" customFormat="1" ht="15.45" customHeight="1" x14ac:dyDescent="0.25">
      <c r="A414" s="29" t="s">
        <v>5980</v>
      </c>
      <c r="B414" s="24"/>
      <c r="C414" s="37" t="s">
        <v>5942</v>
      </c>
      <c r="D414" s="37"/>
      <c r="E414" s="37" t="s">
        <v>2827</v>
      </c>
      <c r="F414" s="24"/>
      <c r="G414" s="25"/>
      <c r="H414" s="235"/>
      <c r="I414" s="111"/>
      <c r="J414" s="216">
        <v>1975</v>
      </c>
      <c r="K414" s="10"/>
      <c r="L414" s="102"/>
      <c r="M414" s="102"/>
      <c r="N414" s="37"/>
      <c r="O414" s="201" t="s">
        <v>5813</v>
      </c>
      <c r="P414" s="201" t="s">
        <v>1463</v>
      </c>
      <c r="Q414" s="201" t="s">
        <v>3506</v>
      </c>
      <c r="R414" s="201" t="s">
        <v>1792</v>
      </c>
      <c r="S414" s="201" t="s">
        <v>3436</v>
      </c>
      <c r="T414" s="201"/>
      <c r="U414" s="21">
        <v>1</v>
      </c>
      <c r="V414" s="21">
        <v>1</v>
      </c>
      <c r="W414" s="73"/>
      <c r="X414" s="80">
        <f t="shared" si="17"/>
        <v>895</v>
      </c>
      <c r="Y414" s="82" t="s">
        <v>3591</v>
      </c>
      <c r="Z414" s="24" t="s">
        <v>2885</v>
      </c>
      <c r="AA414" s="180"/>
      <c r="AB414" s="180">
        <v>44409</v>
      </c>
      <c r="AC414" s="84" t="s">
        <v>5308</v>
      </c>
      <c r="AD414" s="84"/>
      <c r="AE414" s="85"/>
      <c r="AF414" s="10"/>
      <c r="AG414" s="10"/>
      <c r="AH414" s="10"/>
      <c r="AI414" s="10"/>
      <c r="AJ414" s="10"/>
      <c r="AK414" s="10"/>
    </row>
    <row r="415" spans="1:37" s="5" customFormat="1" ht="15.45" customHeight="1" x14ac:dyDescent="0.25">
      <c r="A415" s="29" t="s">
        <v>5987</v>
      </c>
      <c r="B415" s="24"/>
      <c r="C415" s="37" t="s">
        <v>5942</v>
      </c>
      <c r="D415" s="37"/>
      <c r="E415" s="37" t="s">
        <v>2827</v>
      </c>
      <c r="F415" s="24"/>
      <c r="G415" s="25"/>
      <c r="H415" s="235"/>
      <c r="I415" s="111"/>
      <c r="J415" s="216">
        <v>1975</v>
      </c>
      <c r="K415" s="10"/>
      <c r="L415" s="102"/>
      <c r="M415" s="102"/>
      <c r="N415" s="37"/>
      <c r="O415" s="201" t="s">
        <v>5813</v>
      </c>
      <c r="P415" s="201" t="s">
        <v>1463</v>
      </c>
      <c r="Q415" s="201" t="s">
        <v>3506</v>
      </c>
      <c r="R415" s="201" t="s">
        <v>1792</v>
      </c>
      <c r="S415" s="201" t="s">
        <v>3436</v>
      </c>
      <c r="T415" s="201"/>
      <c r="U415" s="21">
        <v>1</v>
      </c>
      <c r="V415" s="21">
        <v>1</v>
      </c>
      <c r="W415" s="73"/>
      <c r="X415" s="80">
        <f t="shared" si="17"/>
        <v>896</v>
      </c>
      <c r="Y415" s="82" t="s">
        <v>3591</v>
      </c>
      <c r="Z415" s="24" t="s">
        <v>2885</v>
      </c>
      <c r="AA415" s="180"/>
      <c r="AB415" s="180">
        <v>44409</v>
      </c>
      <c r="AC415" s="84" t="s">
        <v>5308</v>
      </c>
      <c r="AD415" s="84"/>
      <c r="AE415" s="85"/>
      <c r="AF415" s="10"/>
      <c r="AG415" s="10"/>
      <c r="AH415" s="10"/>
      <c r="AI415" s="10"/>
      <c r="AJ415" s="10"/>
      <c r="AK415" s="10"/>
    </row>
    <row r="416" spans="1:37" s="5" customFormat="1" ht="15.45" customHeight="1" x14ac:dyDescent="0.25">
      <c r="A416" s="29" t="s">
        <v>5988</v>
      </c>
      <c r="B416" s="24"/>
      <c r="C416" s="37" t="s">
        <v>5942</v>
      </c>
      <c r="D416" s="37"/>
      <c r="E416" s="37" t="s">
        <v>2827</v>
      </c>
      <c r="F416" s="24"/>
      <c r="G416" s="25"/>
      <c r="H416" s="235"/>
      <c r="I416" s="111"/>
      <c r="J416" s="216">
        <v>1975</v>
      </c>
      <c r="K416" s="10"/>
      <c r="L416" s="102"/>
      <c r="M416" s="102"/>
      <c r="N416" s="37"/>
      <c r="O416" s="201" t="s">
        <v>5813</v>
      </c>
      <c r="P416" s="201" t="s">
        <v>1463</v>
      </c>
      <c r="Q416" s="201" t="s">
        <v>3506</v>
      </c>
      <c r="R416" s="201" t="s">
        <v>1792</v>
      </c>
      <c r="S416" s="201" t="s">
        <v>3436</v>
      </c>
      <c r="T416" s="201"/>
      <c r="U416" s="21">
        <v>1</v>
      </c>
      <c r="V416" s="21">
        <v>1</v>
      </c>
      <c r="W416" s="73"/>
      <c r="X416" s="80">
        <f t="shared" si="17"/>
        <v>897</v>
      </c>
      <c r="Y416" s="82" t="s">
        <v>3591</v>
      </c>
      <c r="Z416" s="24" t="s">
        <v>2885</v>
      </c>
      <c r="AA416" s="180"/>
      <c r="AB416" s="180">
        <v>44409</v>
      </c>
      <c r="AC416" s="84" t="s">
        <v>5308</v>
      </c>
      <c r="AD416" s="84"/>
      <c r="AE416" s="85"/>
      <c r="AF416" s="10"/>
      <c r="AG416" s="10"/>
      <c r="AH416" s="10"/>
      <c r="AI416" s="10"/>
      <c r="AJ416" s="10"/>
      <c r="AK416" s="10"/>
    </row>
    <row r="417" spans="1:37" s="5" customFormat="1" ht="15.45" customHeight="1" x14ac:dyDescent="0.25">
      <c r="A417" s="29" t="s">
        <v>5989</v>
      </c>
      <c r="B417" s="24"/>
      <c r="C417" s="37" t="s">
        <v>5942</v>
      </c>
      <c r="D417" s="37"/>
      <c r="E417" s="37" t="s">
        <v>2827</v>
      </c>
      <c r="F417" s="24"/>
      <c r="G417" s="25"/>
      <c r="H417" s="235"/>
      <c r="I417" s="111"/>
      <c r="J417" s="216">
        <v>1975</v>
      </c>
      <c r="K417" s="10"/>
      <c r="L417" s="102"/>
      <c r="M417" s="102"/>
      <c r="N417" s="37"/>
      <c r="O417" s="201" t="s">
        <v>5813</v>
      </c>
      <c r="P417" s="201" t="s">
        <v>1463</v>
      </c>
      <c r="Q417" s="201" t="s">
        <v>3506</v>
      </c>
      <c r="R417" s="201" t="s">
        <v>1792</v>
      </c>
      <c r="S417" s="201" t="s">
        <v>3436</v>
      </c>
      <c r="T417" s="201"/>
      <c r="U417" s="21">
        <v>1</v>
      </c>
      <c r="V417" s="21">
        <v>1</v>
      </c>
      <c r="W417" s="73"/>
      <c r="X417" s="80">
        <f t="shared" si="17"/>
        <v>898</v>
      </c>
      <c r="Y417" s="82" t="s">
        <v>3591</v>
      </c>
      <c r="Z417" s="24" t="s">
        <v>2885</v>
      </c>
      <c r="AA417" s="180"/>
      <c r="AB417" s="180">
        <v>44409</v>
      </c>
      <c r="AC417" s="84" t="s">
        <v>5308</v>
      </c>
      <c r="AD417" s="84"/>
      <c r="AE417" s="85"/>
      <c r="AF417" s="10"/>
      <c r="AG417" s="10"/>
      <c r="AH417" s="10"/>
      <c r="AI417" s="10"/>
      <c r="AJ417" s="10"/>
      <c r="AK417" s="10"/>
    </row>
    <row r="418" spans="1:37" s="5" customFormat="1" ht="15.45" customHeight="1" x14ac:dyDescent="0.25">
      <c r="A418" s="29" t="s">
        <v>5990</v>
      </c>
      <c r="B418" s="24"/>
      <c r="C418" s="37" t="s">
        <v>5942</v>
      </c>
      <c r="D418" s="37"/>
      <c r="E418" s="37" t="s">
        <v>2827</v>
      </c>
      <c r="F418" s="24"/>
      <c r="G418" s="25"/>
      <c r="H418" s="235"/>
      <c r="I418" s="111"/>
      <c r="J418" s="216">
        <v>1975</v>
      </c>
      <c r="K418" s="10"/>
      <c r="L418" s="102"/>
      <c r="M418" s="102"/>
      <c r="N418" s="37"/>
      <c r="O418" s="201" t="s">
        <v>5813</v>
      </c>
      <c r="P418" s="201" t="s">
        <v>1463</v>
      </c>
      <c r="Q418" s="201" t="s">
        <v>3506</v>
      </c>
      <c r="R418" s="201" t="s">
        <v>1792</v>
      </c>
      <c r="S418" s="201" t="s">
        <v>3436</v>
      </c>
      <c r="T418" s="201"/>
      <c r="U418" s="21">
        <v>1</v>
      </c>
      <c r="V418" s="21">
        <v>1</v>
      </c>
      <c r="W418" s="73"/>
      <c r="X418" s="80">
        <f t="shared" si="17"/>
        <v>899</v>
      </c>
      <c r="Y418" s="82" t="s">
        <v>3591</v>
      </c>
      <c r="Z418" s="24" t="s">
        <v>2885</v>
      </c>
      <c r="AA418" s="180"/>
      <c r="AB418" s="180">
        <v>44409</v>
      </c>
      <c r="AC418" s="84" t="s">
        <v>5308</v>
      </c>
      <c r="AD418" s="84"/>
      <c r="AE418" s="85"/>
      <c r="AF418" s="10"/>
      <c r="AG418" s="10"/>
      <c r="AH418" s="10"/>
      <c r="AI418" s="10"/>
      <c r="AJ418" s="10"/>
      <c r="AK418" s="10"/>
    </row>
    <row r="419" spans="1:37" s="5" customFormat="1" ht="15.45" customHeight="1" x14ac:dyDescent="0.25">
      <c r="A419" s="29" t="s">
        <v>6149</v>
      </c>
      <c r="B419" s="24"/>
      <c r="C419" s="37" t="s">
        <v>5942</v>
      </c>
      <c r="D419" s="37"/>
      <c r="E419" s="37" t="s">
        <v>2827</v>
      </c>
      <c r="F419" s="24"/>
      <c r="G419" s="25"/>
      <c r="H419" s="235"/>
      <c r="I419" s="111"/>
      <c r="J419" s="216">
        <v>1975</v>
      </c>
      <c r="K419" s="10"/>
      <c r="L419" s="102"/>
      <c r="M419" s="102"/>
      <c r="N419" s="37"/>
      <c r="O419" s="201" t="s">
        <v>5813</v>
      </c>
      <c r="P419" s="201" t="s">
        <v>1463</v>
      </c>
      <c r="Q419" s="201" t="s">
        <v>3506</v>
      </c>
      <c r="R419" s="201" t="s">
        <v>1792</v>
      </c>
      <c r="S419" s="201" t="s">
        <v>3436</v>
      </c>
      <c r="T419" s="201"/>
      <c r="U419" s="21">
        <v>1</v>
      </c>
      <c r="V419" s="21">
        <v>1</v>
      </c>
      <c r="W419" s="73"/>
      <c r="X419" s="80">
        <f t="shared" si="17"/>
        <v>900</v>
      </c>
      <c r="Y419" s="82" t="s">
        <v>3591</v>
      </c>
      <c r="Z419" s="24" t="s">
        <v>2885</v>
      </c>
      <c r="AA419" s="180"/>
      <c r="AB419" s="180">
        <v>44409</v>
      </c>
      <c r="AC419" s="84" t="s">
        <v>5308</v>
      </c>
      <c r="AD419" s="84"/>
      <c r="AE419" s="85"/>
      <c r="AF419" s="10"/>
      <c r="AG419" s="10"/>
      <c r="AH419" s="10"/>
      <c r="AI419" s="10"/>
      <c r="AJ419" s="10"/>
      <c r="AK419" s="10"/>
    </row>
    <row r="420" spans="1:37" s="5" customFormat="1" ht="15.45" customHeight="1" x14ac:dyDescent="0.25">
      <c r="A420" s="29"/>
      <c r="B420" s="24"/>
      <c r="C420" s="37"/>
      <c r="D420" s="37"/>
      <c r="E420" s="37"/>
      <c r="F420" s="24"/>
      <c r="G420" s="25"/>
      <c r="H420" s="205"/>
      <c r="I420" s="111"/>
      <c r="J420" s="216"/>
      <c r="K420" s="10"/>
      <c r="L420" s="102"/>
      <c r="M420" s="102"/>
      <c r="N420" s="37"/>
      <c r="O420" s="201"/>
      <c r="P420" s="201"/>
      <c r="Q420" s="201"/>
      <c r="R420" s="201"/>
      <c r="S420" s="201"/>
      <c r="T420" s="201"/>
      <c r="U420" s="21"/>
      <c r="V420" s="21"/>
      <c r="W420" s="73"/>
      <c r="X420" s="80">
        <f t="shared" si="17"/>
        <v>900</v>
      </c>
      <c r="Y420" s="82"/>
      <c r="Z420" s="24"/>
      <c r="AA420" s="180"/>
      <c r="AB420" s="180"/>
      <c r="AC420" s="84"/>
      <c r="AD420" s="84"/>
      <c r="AE420" s="85"/>
      <c r="AF420" s="10"/>
      <c r="AG420" s="10"/>
      <c r="AH420" s="10"/>
      <c r="AI420" s="10"/>
      <c r="AJ420" s="10"/>
      <c r="AK420" s="10"/>
    </row>
    <row r="421" spans="1:37" s="57" customFormat="1" ht="18" customHeight="1" x14ac:dyDescent="0.3">
      <c r="A421" s="52" t="s">
        <v>59</v>
      </c>
      <c r="B421" s="90"/>
      <c r="C421" s="49"/>
      <c r="D421" s="49"/>
      <c r="E421" s="49"/>
      <c r="F421" s="50"/>
      <c r="G421" s="62"/>
      <c r="H421" s="46"/>
      <c r="I421" s="109"/>
      <c r="J421" s="213"/>
      <c r="K421" s="129"/>
      <c r="L421" s="101"/>
      <c r="M421" s="101"/>
      <c r="N421" s="49"/>
      <c r="O421" s="49"/>
      <c r="P421" s="49"/>
      <c r="Q421" s="49"/>
      <c r="R421" s="49"/>
      <c r="S421" s="47"/>
      <c r="T421" s="47"/>
      <c r="U421" s="53"/>
      <c r="V421" s="53"/>
      <c r="W421" s="75"/>
      <c r="X421" s="81"/>
      <c r="Y421" s="92"/>
      <c r="Z421" s="90"/>
      <c r="AA421" s="174"/>
      <c r="AB421" s="174"/>
      <c r="AC421" s="91"/>
      <c r="AD421" s="91"/>
      <c r="AE421" s="54"/>
      <c r="AF421" s="47"/>
      <c r="AG421" s="47"/>
      <c r="AH421" s="47"/>
      <c r="AI421" s="47"/>
      <c r="AJ421" s="47"/>
      <c r="AK421" s="47"/>
    </row>
    <row r="422" spans="1:37" ht="15.45" customHeight="1" x14ac:dyDescent="0.25">
      <c r="A422" s="31" t="s">
        <v>979</v>
      </c>
      <c r="C422" s="37" t="s">
        <v>1197</v>
      </c>
      <c r="E422" s="37" t="s">
        <v>2827</v>
      </c>
      <c r="F422" s="24" t="s">
        <v>1327</v>
      </c>
      <c r="G422" s="25"/>
      <c r="J422" s="214" t="s">
        <v>3694</v>
      </c>
      <c r="K422" s="10" t="s">
        <v>3762</v>
      </c>
      <c r="O422" s="37" t="s">
        <v>3679</v>
      </c>
      <c r="P422" s="37" t="s">
        <v>1781</v>
      </c>
      <c r="Q422" s="37" t="s">
        <v>3506</v>
      </c>
      <c r="R422" s="37" t="s">
        <v>1792</v>
      </c>
      <c r="S422" s="10" t="s">
        <v>2433</v>
      </c>
      <c r="T422" s="11"/>
      <c r="U422" s="21">
        <v>1</v>
      </c>
      <c r="V422" s="21">
        <v>1</v>
      </c>
      <c r="W422" s="73">
        <v>1</v>
      </c>
      <c r="X422" s="80">
        <f>V422+X420</f>
        <v>901</v>
      </c>
      <c r="Y422" s="82" t="s">
        <v>3584</v>
      </c>
      <c r="AF422" s="11"/>
      <c r="AG422" s="11"/>
      <c r="AH422" s="11"/>
      <c r="AI422" s="11"/>
      <c r="AJ422" s="11"/>
      <c r="AK422" s="11"/>
    </row>
    <row r="423" spans="1:37" ht="15.45" customHeight="1" x14ac:dyDescent="0.25">
      <c r="A423" s="31" t="s">
        <v>1191</v>
      </c>
      <c r="C423" s="37" t="s">
        <v>1197</v>
      </c>
      <c r="E423" s="37" t="s">
        <v>2827</v>
      </c>
      <c r="F423" s="24" t="s">
        <v>1327</v>
      </c>
      <c r="G423" s="25"/>
      <c r="S423" s="10" t="s">
        <v>2433</v>
      </c>
      <c r="T423" s="11"/>
      <c r="U423" s="21">
        <v>2</v>
      </c>
      <c r="V423" s="21">
        <v>2</v>
      </c>
      <c r="W423" s="73">
        <f t="shared" ref="W423:W489" si="18">W422+V423</f>
        <v>3</v>
      </c>
      <c r="X423" s="80">
        <f t="shared" ref="X423:X489" si="19">V423+X422</f>
        <v>903</v>
      </c>
      <c r="Y423" s="82" t="s">
        <v>3584</v>
      </c>
      <c r="AF423" s="11"/>
      <c r="AG423" s="11"/>
      <c r="AH423" s="11"/>
      <c r="AI423" s="11"/>
      <c r="AJ423" s="11"/>
      <c r="AK423" s="11"/>
    </row>
    <row r="424" spans="1:37" ht="15.45" customHeight="1" x14ac:dyDescent="0.25">
      <c r="A424" s="31" t="s">
        <v>2876</v>
      </c>
      <c r="C424" s="37" t="s">
        <v>1197</v>
      </c>
      <c r="E424" s="37" t="s">
        <v>2827</v>
      </c>
      <c r="F424" s="24" t="s">
        <v>1327</v>
      </c>
      <c r="G424" s="25"/>
      <c r="O424" s="37" t="s">
        <v>1853</v>
      </c>
      <c r="P424" s="37" t="s">
        <v>5554</v>
      </c>
      <c r="Q424" s="37" t="s">
        <v>1998</v>
      </c>
      <c r="R424" s="37" t="s">
        <v>1792</v>
      </c>
      <c r="S424" s="10" t="s">
        <v>3412</v>
      </c>
      <c r="T424" s="11"/>
      <c r="U424" s="21">
        <v>1</v>
      </c>
      <c r="V424" s="21">
        <v>1</v>
      </c>
      <c r="W424" s="73">
        <f t="shared" si="18"/>
        <v>4</v>
      </c>
      <c r="X424" s="80">
        <f t="shared" si="19"/>
        <v>904</v>
      </c>
      <c r="Y424" s="82" t="s">
        <v>3584</v>
      </c>
      <c r="AF424" s="11"/>
      <c r="AG424" s="11"/>
      <c r="AH424" s="11"/>
      <c r="AI424" s="11"/>
      <c r="AJ424" s="11"/>
      <c r="AK424" s="11"/>
    </row>
    <row r="425" spans="1:37" ht="15.45" customHeight="1" x14ac:dyDescent="0.25">
      <c r="A425" s="31" t="s">
        <v>5701</v>
      </c>
      <c r="B425" s="24" t="s">
        <v>5698</v>
      </c>
      <c r="C425" s="37" t="s">
        <v>1197</v>
      </c>
      <c r="E425" s="37" t="s">
        <v>2827</v>
      </c>
      <c r="G425" s="25"/>
      <c r="H425" s="38" t="s">
        <v>5707</v>
      </c>
      <c r="J425" s="215">
        <v>1982</v>
      </c>
      <c r="Q425" s="37" t="s">
        <v>417</v>
      </c>
      <c r="R425" s="37" t="s">
        <v>2014</v>
      </c>
      <c r="S425" s="10" t="s">
        <v>3436</v>
      </c>
      <c r="T425" s="11"/>
      <c r="U425" s="21">
        <v>1</v>
      </c>
      <c r="V425" s="21">
        <v>1</v>
      </c>
      <c r="W425" s="73">
        <f t="shared" si="18"/>
        <v>5</v>
      </c>
      <c r="X425" s="80">
        <f t="shared" si="19"/>
        <v>905</v>
      </c>
      <c r="Y425" s="82" t="s">
        <v>3591</v>
      </c>
      <c r="Z425" s="24" t="s">
        <v>2885</v>
      </c>
      <c r="AB425" s="177">
        <v>44310</v>
      </c>
      <c r="AC425" s="84" t="s">
        <v>2885</v>
      </c>
      <c r="AF425" s="11"/>
      <c r="AG425" s="11"/>
      <c r="AH425" s="11"/>
      <c r="AI425" s="11"/>
      <c r="AJ425" s="11"/>
      <c r="AK425" s="11"/>
    </row>
    <row r="426" spans="1:37" ht="15.45" customHeight="1" x14ac:dyDescent="0.25">
      <c r="A426" s="31" t="s">
        <v>5714</v>
      </c>
      <c r="B426" s="24" t="s">
        <v>5874</v>
      </c>
      <c r="C426" s="37" t="s">
        <v>1197</v>
      </c>
      <c r="E426" s="37" t="s">
        <v>2827</v>
      </c>
      <c r="G426" s="25"/>
      <c r="H426" s="38" t="s">
        <v>5715</v>
      </c>
      <c r="J426" s="215">
        <v>1982</v>
      </c>
      <c r="P426" s="37" t="s">
        <v>5306</v>
      </c>
      <c r="Q426" s="37" t="s">
        <v>3506</v>
      </c>
      <c r="R426" s="37" t="s">
        <v>1792</v>
      </c>
      <c r="S426" s="10" t="s">
        <v>3436</v>
      </c>
      <c r="T426" s="11"/>
      <c r="U426" s="21">
        <v>2</v>
      </c>
      <c r="V426" s="21">
        <v>2</v>
      </c>
      <c r="W426" s="73">
        <f t="shared" si="18"/>
        <v>7</v>
      </c>
      <c r="X426" s="80">
        <f t="shared" si="19"/>
        <v>907</v>
      </c>
      <c r="Y426" s="82" t="s">
        <v>3591</v>
      </c>
      <c r="Z426" s="24" t="s">
        <v>2885</v>
      </c>
      <c r="AB426" s="177">
        <v>44310</v>
      </c>
      <c r="AC426" s="84" t="s">
        <v>2885</v>
      </c>
      <c r="AF426" s="11"/>
      <c r="AG426" s="11"/>
      <c r="AH426" s="11"/>
      <c r="AI426" s="11"/>
      <c r="AJ426" s="11"/>
      <c r="AK426" s="11"/>
    </row>
    <row r="427" spans="1:37" ht="15.45" customHeight="1" x14ac:dyDescent="0.25">
      <c r="A427" s="31" t="s">
        <v>5712</v>
      </c>
      <c r="B427" s="24" t="s">
        <v>5697</v>
      </c>
      <c r="C427" s="37" t="s">
        <v>1197</v>
      </c>
      <c r="E427" s="37" t="s">
        <v>2827</v>
      </c>
      <c r="G427" s="25"/>
      <c r="H427" s="38" t="s">
        <v>5713</v>
      </c>
      <c r="J427" s="214" t="s">
        <v>5305</v>
      </c>
      <c r="O427" s="37" t="s">
        <v>5699</v>
      </c>
      <c r="P427" s="37" t="s">
        <v>5700</v>
      </c>
      <c r="Q427" s="37" t="s">
        <v>148</v>
      </c>
      <c r="R427" s="37" t="s">
        <v>1811</v>
      </c>
      <c r="S427" s="10" t="s">
        <v>3436</v>
      </c>
      <c r="T427" s="11"/>
      <c r="U427" s="21">
        <v>1</v>
      </c>
      <c r="V427" s="21">
        <v>1</v>
      </c>
      <c r="W427" s="73">
        <f t="shared" si="18"/>
        <v>8</v>
      </c>
      <c r="X427" s="80">
        <f t="shared" si="19"/>
        <v>908</v>
      </c>
      <c r="Y427" s="82" t="s">
        <v>3591</v>
      </c>
      <c r="Z427" s="24" t="s">
        <v>2885</v>
      </c>
      <c r="AB427" s="177">
        <v>44310</v>
      </c>
      <c r="AC427" s="84" t="s">
        <v>5308</v>
      </c>
      <c r="AF427" s="11"/>
      <c r="AG427" s="11"/>
      <c r="AH427" s="11"/>
      <c r="AI427" s="11"/>
      <c r="AJ427" s="11"/>
      <c r="AK427" s="11"/>
    </row>
    <row r="428" spans="1:37" ht="15.45" customHeight="1" x14ac:dyDescent="0.25">
      <c r="A428" s="31" t="s">
        <v>5956</v>
      </c>
      <c r="B428" s="24" t="s">
        <v>5957</v>
      </c>
      <c r="C428" s="37" t="s">
        <v>1197</v>
      </c>
      <c r="E428" s="37" t="s">
        <v>2827</v>
      </c>
      <c r="G428" s="25"/>
      <c r="H428" s="201" t="s">
        <v>5713</v>
      </c>
      <c r="J428" s="214" t="s">
        <v>5305</v>
      </c>
      <c r="Q428" s="37" t="s">
        <v>1988</v>
      </c>
      <c r="R428" s="37" t="s">
        <v>1792</v>
      </c>
      <c r="S428" s="10" t="s">
        <v>3412</v>
      </c>
      <c r="T428" s="11"/>
      <c r="U428" s="21">
        <v>1</v>
      </c>
      <c r="V428" s="21">
        <v>1</v>
      </c>
      <c r="W428" s="73">
        <f t="shared" si="18"/>
        <v>9</v>
      </c>
      <c r="X428" s="80">
        <f t="shared" si="19"/>
        <v>909</v>
      </c>
      <c r="Y428" s="82" t="s">
        <v>3591</v>
      </c>
      <c r="Z428" s="24" t="s">
        <v>2885</v>
      </c>
      <c r="AB428" s="177">
        <v>44310</v>
      </c>
      <c r="AC428" s="84" t="s">
        <v>5308</v>
      </c>
      <c r="AF428" s="11"/>
      <c r="AG428" s="11"/>
      <c r="AH428" s="11"/>
      <c r="AI428" s="11"/>
      <c r="AJ428" s="11"/>
      <c r="AK428" s="11"/>
    </row>
    <row r="429" spans="1:37" ht="15.45" customHeight="1" x14ac:dyDescent="0.25">
      <c r="A429" s="31" t="s">
        <v>5702</v>
      </c>
      <c r="B429" s="24" t="s">
        <v>5873</v>
      </c>
      <c r="C429" s="37" t="s">
        <v>1197</v>
      </c>
      <c r="E429" s="37" t="s">
        <v>2827</v>
      </c>
      <c r="G429" s="25"/>
      <c r="H429" s="38" t="s">
        <v>5704</v>
      </c>
      <c r="S429" s="10" t="s">
        <v>3436</v>
      </c>
      <c r="T429" s="11"/>
      <c r="U429" s="21">
        <v>1</v>
      </c>
      <c r="V429" s="21">
        <v>1</v>
      </c>
      <c r="W429" s="73">
        <f t="shared" si="18"/>
        <v>10</v>
      </c>
      <c r="X429" s="80">
        <f t="shared" si="19"/>
        <v>910</v>
      </c>
      <c r="Y429" s="82" t="s">
        <v>3591</v>
      </c>
      <c r="Z429" s="24" t="s">
        <v>2885</v>
      </c>
      <c r="AB429" s="177">
        <v>44310</v>
      </c>
      <c r="AC429" s="84" t="s">
        <v>5308</v>
      </c>
      <c r="AF429" s="11"/>
      <c r="AG429" s="11"/>
      <c r="AH429" s="11"/>
      <c r="AI429" s="11"/>
      <c r="AJ429" s="11"/>
      <c r="AK429" s="11"/>
    </row>
    <row r="430" spans="1:37" ht="15.45" customHeight="1" x14ac:dyDescent="0.25">
      <c r="A430" s="31" t="s">
        <v>5705</v>
      </c>
      <c r="B430" s="24" t="s">
        <v>5872</v>
      </c>
      <c r="C430" s="37" t="s">
        <v>1197</v>
      </c>
      <c r="E430" s="37" t="s">
        <v>2827</v>
      </c>
      <c r="G430" s="25"/>
      <c r="H430" s="38" t="s">
        <v>5706</v>
      </c>
      <c r="S430" s="10" t="s">
        <v>3436</v>
      </c>
      <c r="T430" s="11"/>
      <c r="U430" s="21">
        <v>1</v>
      </c>
      <c r="V430" s="21">
        <v>1</v>
      </c>
      <c r="W430" s="73">
        <f t="shared" si="18"/>
        <v>11</v>
      </c>
      <c r="X430" s="80">
        <f t="shared" si="19"/>
        <v>911</v>
      </c>
      <c r="Y430" s="82" t="s">
        <v>3591</v>
      </c>
      <c r="Z430" s="24" t="s">
        <v>2885</v>
      </c>
      <c r="AB430" s="177">
        <v>44310</v>
      </c>
      <c r="AC430" s="84" t="s">
        <v>5308</v>
      </c>
      <c r="AF430" s="11"/>
      <c r="AG430" s="11"/>
      <c r="AH430" s="11"/>
      <c r="AI430" s="11"/>
      <c r="AJ430" s="11"/>
      <c r="AK430" s="11"/>
    </row>
    <row r="431" spans="1:37" ht="15.45" customHeight="1" x14ac:dyDescent="0.25">
      <c r="A431" s="31" t="s">
        <v>5869</v>
      </c>
      <c r="B431" s="24" t="s">
        <v>5871</v>
      </c>
      <c r="C431" s="37" t="s">
        <v>1197</v>
      </c>
      <c r="E431" s="37" t="s">
        <v>2827</v>
      </c>
      <c r="G431" s="25"/>
      <c r="H431" s="201" t="s">
        <v>5870</v>
      </c>
      <c r="J431" s="214" t="s">
        <v>5305</v>
      </c>
      <c r="P431" s="201" t="s">
        <v>5875</v>
      </c>
      <c r="Q431" s="37" t="s">
        <v>1810</v>
      </c>
      <c r="R431" s="37" t="s">
        <v>2014</v>
      </c>
      <c r="S431" s="10" t="s">
        <v>3436</v>
      </c>
      <c r="T431" s="11"/>
      <c r="U431" s="21">
        <v>1</v>
      </c>
      <c r="V431" s="21">
        <v>1</v>
      </c>
      <c r="W431" s="73">
        <f t="shared" si="18"/>
        <v>12</v>
      </c>
      <c r="X431" s="80">
        <f t="shared" si="19"/>
        <v>912</v>
      </c>
      <c r="Y431" s="82" t="s">
        <v>3591</v>
      </c>
      <c r="Z431" s="24" t="s">
        <v>2885</v>
      </c>
      <c r="AB431" s="177">
        <v>44310</v>
      </c>
      <c r="AC431" s="84" t="s">
        <v>5308</v>
      </c>
      <c r="AF431" s="11"/>
      <c r="AG431" s="11"/>
      <c r="AH431" s="11"/>
      <c r="AI431" s="11"/>
      <c r="AJ431" s="11"/>
      <c r="AK431" s="11"/>
    </row>
    <row r="432" spans="1:37" ht="15.45" customHeight="1" x14ac:dyDescent="0.25">
      <c r="A432" s="31" t="s">
        <v>1071</v>
      </c>
      <c r="C432" s="37" t="s">
        <v>1197</v>
      </c>
      <c r="E432" s="37" t="s">
        <v>2827</v>
      </c>
      <c r="F432" s="24" t="s">
        <v>1327</v>
      </c>
      <c r="G432" s="25"/>
      <c r="H432" s="38" t="s">
        <v>5703</v>
      </c>
      <c r="P432" s="37" t="s">
        <v>1854</v>
      </c>
      <c r="Q432" s="37" t="s">
        <v>1998</v>
      </c>
      <c r="R432" s="37" t="s">
        <v>1792</v>
      </c>
      <c r="S432" s="10" t="s">
        <v>3412</v>
      </c>
      <c r="T432" s="11"/>
      <c r="U432" s="21">
        <v>1</v>
      </c>
      <c r="V432" s="21">
        <v>1</v>
      </c>
      <c r="W432" s="73">
        <f t="shared" si="18"/>
        <v>13</v>
      </c>
      <c r="X432" s="80">
        <f t="shared" si="19"/>
        <v>913</v>
      </c>
      <c r="Y432" s="82" t="s">
        <v>3584</v>
      </c>
      <c r="AF432" s="11"/>
      <c r="AG432" s="11"/>
      <c r="AH432" s="11"/>
      <c r="AI432" s="11"/>
      <c r="AJ432" s="11"/>
      <c r="AK432" s="11"/>
    </row>
    <row r="433" spans="1:37" ht="15.45" customHeight="1" x14ac:dyDescent="0.25">
      <c r="A433" s="31" t="s">
        <v>1320</v>
      </c>
      <c r="C433" s="37" t="s">
        <v>1197</v>
      </c>
      <c r="E433" s="37" t="s">
        <v>2827</v>
      </c>
      <c r="F433" s="24" t="s">
        <v>1327</v>
      </c>
      <c r="G433" s="25"/>
      <c r="O433" s="37" t="s">
        <v>5555</v>
      </c>
      <c r="P433" s="37" t="s">
        <v>5556</v>
      </c>
      <c r="Q433" s="37" t="s">
        <v>1998</v>
      </c>
      <c r="R433" s="37" t="s">
        <v>1792</v>
      </c>
      <c r="S433" s="10" t="s">
        <v>3412</v>
      </c>
      <c r="T433" s="11"/>
      <c r="U433" s="21">
        <v>1</v>
      </c>
      <c r="V433" s="21">
        <v>1</v>
      </c>
      <c r="W433" s="73">
        <f t="shared" si="18"/>
        <v>14</v>
      </c>
      <c r="X433" s="80">
        <f t="shared" si="19"/>
        <v>914</v>
      </c>
      <c r="Y433" s="82" t="s">
        <v>3584</v>
      </c>
      <c r="AF433" s="11"/>
      <c r="AG433" s="11"/>
      <c r="AH433" s="11"/>
      <c r="AI433" s="11"/>
      <c r="AJ433" s="11"/>
      <c r="AK433" s="11"/>
    </row>
    <row r="434" spans="1:37" ht="15.45" customHeight="1" x14ac:dyDescent="0.25">
      <c r="A434" s="31" t="s">
        <v>1662</v>
      </c>
      <c r="C434" s="37" t="s">
        <v>1197</v>
      </c>
      <c r="E434" s="37" t="s">
        <v>2827</v>
      </c>
      <c r="F434" s="24" t="s">
        <v>1327</v>
      </c>
      <c r="G434" s="25"/>
      <c r="P434" s="37" t="s">
        <v>1854</v>
      </c>
      <c r="Q434" s="37" t="s">
        <v>1998</v>
      </c>
      <c r="R434" s="37" t="s">
        <v>1792</v>
      </c>
      <c r="S434" s="10" t="s">
        <v>3412</v>
      </c>
      <c r="T434" s="11"/>
      <c r="U434" s="21">
        <v>1</v>
      </c>
      <c r="V434" s="21">
        <v>1</v>
      </c>
      <c r="W434" s="73">
        <f t="shared" si="18"/>
        <v>15</v>
      </c>
      <c r="X434" s="80">
        <f t="shared" si="19"/>
        <v>915</v>
      </c>
      <c r="Y434" s="82" t="s">
        <v>3584</v>
      </c>
      <c r="AF434" s="11"/>
      <c r="AG434" s="11"/>
      <c r="AH434" s="11"/>
      <c r="AI434" s="11"/>
      <c r="AJ434" s="11"/>
      <c r="AK434" s="11"/>
    </row>
    <row r="435" spans="1:37" ht="15.45" customHeight="1" x14ac:dyDescent="0.25">
      <c r="A435" s="31" t="s">
        <v>1551</v>
      </c>
      <c r="C435" s="37" t="s">
        <v>1197</v>
      </c>
      <c r="E435" s="37" t="s">
        <v>2827</v>
      </c>
      <c r="F435" s="24" t="s">
        <v>1327</v>
      </c>
      <c r="G435" s="25"/>
      <c r="O435" s="37" t="s">
        <v>1956</v>
      </c>
      <c r="Q435" s="37" t="s">
        <v>1998</v>
      </c>
      <c r="R435" s="37" t="s">
        <v>1792</v>
      </c>
      <c r="S435" s="10" t="s">
        <v>3412</v>
      </c>
      <c r="T435" s="11"/>
      <c r="U435" s="21">
        <v>1</v>
      </c>
      <c r="V435" s="21">
        <v>1</v>
      </c>
      <c r="W435" s="73">
        <f t="shared" si="18"/>
        <v>16</v>
      </c>
      <c r="X435" s="80">
        <f t="shared" si="19"/>
        <v>916</v>
      </c>
      <c r="Y435" s="82" t="s">
        <v>3584</v>
      </c>
      <c r="AF435" s="11"/>
      <c r="AG435" s="11"/>
      <c r="AH435" s="11"/>
      <c r="AI435" s="11"/>
      <c r="AJ435" s="11"/>
      <c r="AK435" s="11"/>
    </row>
    <row r="436" spans="1:37" ht="15.45" customHeight="1" x14ac:dyDescent="0.25">
      <c r="A436" s="31" t="s">
        <v>1552</v>
      </c>
      <c r="C436" s="37" t="s">
        <v>1197</v>
      </c>
      <c r="E436" s="37" t="s">
        <v>2827</v>
      </c>
      <c r="F436" s="24" t="s">
        <v>1327</v>
      </c>
      <c r="G436" s="25"/>
      <c r="S436" s="10" t="s">
        <v>3412</v>
      </c>
      <c r="T436" s="11"/>
      <c r="U436" s="21">
        <v>1</v>
      </c>
      <c r="V436" s="21">
        <v>1</v>
      </c>
      <c r="W436" s="73">
        <f t="shared" si="18"/>
        <v>17</v>
      </c>
      <c r="X436" s="80">
        <f t="shared" si="19"/>
        <v>917</v>
      </c>
      <c r="Y436" s="82" t="s">
        <v>3584</v>
      </c>
      <c r="AF436" s="11"/>
      <c r="AG436" s="11"/>
      <c r="AH436" s="11"/>
      <c r="AI436" s="11"/>
      <c r="AJ436" s="11"/>
      <c r="AK436" s="11"/>
    </row>
    <row r="437" spans="1:37" ht="15.45" customHeight="1" x14ac:dyDescent="0.25">
      <c r="A437" s="31" t="s">
        <v>1545</v>
      </c>
      <c r="C437" s="37" t="s">
        <v>1952</v>
      </c>
      <c r="E437" s="37" t="s">
        <v>2827</v>
      </c>
      <c r="F437" s="24" t="s">
        <v>1327</v>
      </c>
      <c r="G437" s="25"/>
      <c r="P437" s="37" t="s">
        <v>1854</v>
      </c>
      <c r="Q437" s="37" t="s">
        <v>1998</v>
      </c>
      <c r="R437" s="37" t="s">
        <v>1792</v>
      </c>
      <c r="S437" s="10" t="s">
        <v>3412</v>
      </c>
      <c r="T437" s="11"/>
      <c r="U437" s="21">
        <v>1</v>
      </c>
      <c r="V437" s="21">
        <v>1</v>
      </c>
      <c r="W437" s="73">
        <f t="shared" si="18"/>
        <v>18</v>
      </c>
      <c r="X437" s="80">
        <f t="shared" si="19"/>
        <v>918</v>
      </c>
      <c r="Y437" s="82" t="s">
        <v>3584</v>
      </c>
      <c r="AF437" s="11"/>
      <c r="AG437" s="11"/>
      <c r="AH437" s="11"/>
      <c r="AI437" s="11"/>
      <c r="AJ437" s="11"/>
      <c r="AK437" s="11"/>
    </row>
    <row r="438" spans="1:37" ht="15.45" customHeight="1" x14ac:dyDescent="0.25">
      <c r="A438" s="31" t="s">
        <v>1545</v>
      </c>
      <c r="C438" s="37" t="s">
        <v>1197</v>
      </c>
      <c r="E438" s="37" t="s">
        <v>2827</v>
      </c>
      <c r="F438" s="24" t="s">
        <v>1327</v>
      </c>
      <c r="G438" s="25"/>
      <c r="O438" s="37" t="s">
        <v>1957</v>
      </c>
      <c r="P438" s="37" t="s">
        <v>1816</v>
      </c>
      <c r="Q438" s="37" t="s">
        <v>1998</v>
      </c>
      <c r="R438" s="37" t="s">
        <v>1792</v>
      </c>
      <c r="S438" s="10" t="s">
        <v>3412</v>
      </c>
      <c r="T438" s="11"/>
      <c r="U438" s="21">
        <v>1</v>
      </c>
      <c r="V438" s="21">
        <v>1</v>
      </c>
      <c r="W438" s="73">
        <f t="shared" si="18"/>
        <v>19</v>
      </c>
      <c r="X438" s="80">
        <f t="shared" si="19"/>
        <v>919</v>
      </c>
      <c r="Y438" s="82" t="s">
        <v>3584</v>
      </c>
      <c r="AF438" s="11"/>
      <c r="AG438" s="11"/>
      <c r="AH438" s="11"/>
      <c r="AI438" s="11"/>
      <c r="AJ438" s="11"/>
      <c r="AK438" s="11"/>
    </row>
    <row r="439" spans="1:37" ht="15.45" customHeight="1" x14ac:dyDescent="0.25">
      <c r="A439" s="31" t="s">
        <v>1557</v>
      </c>
      <c r="C439" s="37" t="s">
        <v>1197</v>
      </c>
      <c r="E439" s="37" t="s">
        <v>2827</v>
      </c>
      <c r="F439" s="24" t="s">
        <v>1327</v>
      </c>
      <c r="G439" s="25"/>
      <c r="S439" s="10" t="s">
        <v>3412</v>
      </c>
      <c r="T439" s="11"/>
      <c r="U439" s="21">
        <v>2</v>
      </c>
      <c r="V439" s="21">
        <v>2</v>
      </c>
      <c r="W439" s="73">
        <f t="shared" si="18"/>
        <v>21</v>
      </c>
      <c r="X439" s="80">
        <f t="shared" si="19"/>
        <v>921</v>
      </c>
      <c r="Y439" s="82" t="s">
        <v>3584</v>
      </c>
      <c r="AF439" s="11"/>
      <c r="AG439" s="11"/>
      <c r="AH439" s="11"/>
      <c r="AI439" s="11"/>
      <c r="AJ439" s="11"/>
      <c r="AK439" s="11"/>
    </row>
    <row r="440" spans="1:37" ht="15.45" customHeight="1" x14ac:dyDescent="0.25">
      <c r="A440" s="31" t="s">
        <v>1185</v>
      </c>
      <c r="C440" s="37" t="s">
        <v>1197</v>
      </c>
      <c r="E440" s="37" t="s">
        <v>2827</v>
      </c>
      <c r="F440" s="24" t="s">
        <v>1327</v>
      </c>
      <c r="G440" s="25"/>
      <c r="O440" s="37" t="s">
        <v>5557</v>
      </c>
      <c r="P440" s="37" t="s">
        <v>1816</v>
      </c>
      <c r="Q440" s="37" t="s">
        <v>1998</v>
      </c>
      <c r="R440" s="37" t="s">
        <v>1792</v>
      </c>
      <c r="S440" s="10" t="s">
        <v>3412</v>
      </c>
      <c r="T440" s="11"/>
      <c r="U440" s="21">
        <v>1</v>
      </c>
      <c r="V440" s="21">
        <v>1</v>
      </c>
      <c r="W440" s="73">
        <f t="shared" si="18"/>
        <v>22</v>
      </c>
      <c r="X440" s="80">
        <f t="shared" si="19"/>
        <v>922</v>
      </c>
      <c r="Y440" s="82" t="s">
        <v>3584</v>
      </c>
      <c r="AF440" s="11"/>
      <c r="AG440" s="11"/>
      <c r="AH440" s="11"/>
      <c r="AI440" s="11"/>
      <c r="AJ440" s="11"/>
      <c r="AK440" s="11"/>
    </row>
    <row r="441" spans="1:37" ht="15.45" customHeight="1" x14ac:dyDescent="0.25">
      <c r="A441" s="31" t="s">
        <v>1186</v>
      </c>
      <c r="C441" s="37" t="s">
        <v>1197</v>
      </c>
      <c r="E441" s="37" t="s">
        <v>2827</v>
      </c>
      <c r="F441" s="24" t="s">
        <v>1327</v>
      </c>
      <c r="G441" s="25"/>
      <c r="O441" s="37" t="s">
        <v>1972</v>
      </c>
      <c r="R441" s="37" t="s">
        <v>1792</v>
      </c>
      <c r="S441" s="10" t="s">
        <v>3412</v>
      </c>
      <c r="T441" s="11"/>
      <c r="U441" s="21">
        <v>1</v>
      </c>
      <c r="V441" s="21">
        <v>1</v>
      </c>
      <c r="W441" s="73">
        <f t="shared" si="18"/>
        <v>23</v>
      </c>
      <c r="X441" s="80">
        <f t="shared" si="19"/>
        <v>923</v>
      </c>
      <c r="Y441" s="82" t="s">
        <v>3584</v>
      </c>
      <c r="AF441" s="11"/>
      <c r="AG441" s="11"/>
      <c r="AH441" s="11"/>
      <c r="AI441" s="11"/>
      <c r="AJ441" s="11"/>
      <c r="AK441" s="11"/>
    </row>
    <row r="442" spans="1:37" ht="15.45" customHeight="1" x14ac:dyDescent="0.25">
      <c r="A442" s="31" t="s">
        <v>1187</v>
      </c>
      <c r="C442" s="37" t="s">
        <v>1197</v>
      </c>
      <c r="E442" s="37" t="s">
        <v>2827</v>
      </c>
      <c r="F442" s="24" t="s">
        <v>1327</v>
      </c>
      <c r="G442" s="25"/>
      <c r="P442" s="37" t="s">
        <v>1973</v>
      </c>
      <c r="R442" s="37" t="s">
        <v>1792</v>
      </c>
      <c r="S442" s="10" t="s">
        <v>3412</v>
      </c>
      <c r="T442" s="11"/>
      <c r="U442" s="21">
        <v>1</v>
      </c>
      <c r="V442" s="21">
        <v>1</v>
      </c>
      <c r="W442" s="73">
        <f t="shared" si="18"/>
        <v>24</v>
      </c>
      <c r="X442" s="80">
        <f t="shared" si="19"/>
        <v>924</v>
      </c>
      <c r="Y442" s="82" t="s">
        <v>3584</v>
      </c>
      <c r="AF442" s="11"/>
      <c r="AG442" s="11"/>
      <c r="AH442" s="11"/>
      <c r="AI442" s="11"/>
      <c r="AJ442" s="11"/>
      <c r="AK442" s="11"/>
    </row>
    <row r="443" spans="1:37" ht="15.45" customHeight="1" x14ac:dyDescent="0.25">
      <c r="A443" s="31" t="s">
        <v>1310</v>
      </c>
      <c r="C443" s="37" t="s">
        <v>1197</v>
      </c>
      <c r="E443" s="37" t="s">
        <v>2827</v>
      </c>
      <c r="F443" s="24" t="s">
        <v>1327</v>
      </c>
      <c r="G443" s="25"/>
      <c r="P443" s="37" t="s">
        <v>1851</v>
      </c>
      <c r="Q443" s="37" t="s">
        <v>3506</v>
      </c>
      <c r="R443" s="37" t="s">
        <v>1792</v>
      </c>
      <c r="S443" s="10" t="s">
        <v>3412</v>
      </c>
      <c r="T443" s="11"/>
      <c r="U443" s="21">
        <v>1</v>
      </c>
      <c r="V443" s="21">
        <v>1</v>
      </c>
      <c r="W443" s="73">
        <f t="shared" si="18"/>
        <v>25</v>
      </c>
      <c r="X443" s="80">
        <f t="shared" si="19"/>
        <v>925</v>
      </c>
      <c r="Y443" s="82" t="s">
        <v>3584</v>
      </c>
      <c r="AF443" s="11"/>
      <c r="AG443" s="11"/>
      <c r="AH443" s="11"/>
      <c r="AI443" s="11"/>
      <c r="AJ443" s="11"/>
      <c r="AK443" s="11"/>
    </row>
    <row r="444" spans="1:37" ht="15.45" customHeight="1" x14ac:dyDescent="0.25">
      <c r="A444" s="31" t="s">
        <v>1905</v>
      </c>
      <c r="C444" s="37" t="s">
        <v>1197</v>
      </c>
      <c r="E444" s="37" t="s">
        <v>2827</v>
      </c>
      <c r="F444" s="24" t="s">
        <v>1327</v>
      </c>
      <c r="G444" s="25"/>
      <c r="O444" s="37" t="s">
        <v>5558</v>
      </c>
      <c r="P444" s="37" t="s">
        <v>1854</v>
      </c>
      <c r="Q444" s="37" t="s">
        <v>1998</v>
      </c>
      <c r="R444" s="37" t="s">
        <v>1792</v>
      </c>
      <c r="S444" s="10" t="s">
        <v>3412</v>
      </c>
      <c r="T444" s="11"/>
      <c r="U444" s="21">
        <v>1</v>
      </c>
      <c r="V444" s="21">
        <v>1</v>
      </c>
      <c r="W444" s="73">
        <f t="shared" si="18"/>
        <v>26</v>
      </c>
      <c r="X444" s="80">
        <f t="shared" si="19"/>
        <v>926</v>
      </c>
      <c r="Y444" s="82" t="s">
        <v>3584</v>
      </c>
      <c r="AF444" s="11"/>
      <c r="AG444" s="11"/>
      <c r="AH444" s="11"/>
      <c r="AI444" s="11"/>
      <c r="AJ444" s="11"/>
      <c r="AK444" s="11"/>
    </row>
    <row r="445" spans="1:37" ht="15.45" customHeight="1" x14ac:dyDescent="0.25">
      <c r="A445" s="31" t="s">
        <v>1805</v>
      </c>
      <c r="C445" s="37" t="s">
        <v>1197</v>
      </c>
      <c r="E445" s="37" t="s">
        <v>2827</v>
      </c>
      <c r="F445" s="24" t="s">
        <v>1327</v>
      </c>
      <c r="G445" s="25"/>
      <c r="O445" s="37" t="s">
        <v>1900</v>
      </c>
      <c r="P445" s="37" t="s">
        <v>1854</v>
      </c>
      <c r="Q445" s="37" t="s">
        <v>1998</v>
      </c>
      <c r="R445" s="37" t="s">
        <v>1792</v>
      </c>
      <c r="S445" s="10" t="s">
        <v>3412</v>
      </c>
      <c r="T445" s="11"/>
      <c r="U445" s="21">
        <v>1</v>
      </c>
      <c r="V445" s="21">
        <v>1</v>
      </c>
      <c r="W445" s="73">
        <f t="shared" si="18"/>
        <v>27</v>
      </c>
      <c r="X445" s="80">
        <f t="shared" si="19"/>
        <v>927</v>
      </c>
      <c r="Y445" s="82" t="s">
        <v>3584</v>
      </c>
      <c r="AF445" s="11"/>
      <c r="AG445" s="11"/>
      <c r="AH445" s="11"/>
      <c r="AI445" s="11"/>
      <c r="AJ445" s="11"/>
      <c r="AK445" s="11"/>
    </row>
    <row r="446" spans="1:37" ht="15.45" customHeight="1" x14ac:dyDescent="0.25">
      <c r="A446" s="31" t="s">
        <v>1645</v>
      </c>
      <c r="C446" s="37" t="s">
        <v>1197</v>
      </c>
      <c r="E446" s="37" t="s">
        <v>2827</v>
      </c>
      <c r="F446" s="24" t="s">
        <v>1327</v>
      </c>
      <c r="G446" s="25"/>
      <c r="O446" s="37" t="s">
        <v>1900</v>
      </c>
      <c r="P446" s="37" t="s">
        <v>1854</v>
      </c>
      <c r="Q446" s="37" t="s">
        <v>1998</v>
      </c>
      <c r="R446" s="37" t="s">
        <v>1792</v>
      </c>
      <c r="S446" s="10" t="s">
        <v>3412</v>
      </c>
      <c r="T446" s="11"/>
      <c r="U446" s="21">
        <v>1</v>
      </c>
      <c r="V446" s="21">
        <v>1</v>
      </c>
      <c r="W446" s="73">
        <f t="shared" si="18"/>
        <v>28</v>
      </c>
      <c r="X446" s="80">
        <f t="shared" si="19"/>
        <v>928</v>
      </c>
      <c r="Y446" s="82" t="s">
        <v>3584</v>
      </c>
      <c r="AF446" s="11"/>
      <c r="AG446" s="11"/>
      <c r="AH446" s="11"/>
      <c r="AI446" s="11"/>
      <c r="AJ446" s="11"/>
      <c r="AK446" s="11"/>
    </row>
    <row r="447" spans="1:37" ht="15.45" customHeight="1" x14ac:dyDescent="0.25">
      <c r="A447" s="31" t="s">
        <v>1182</v>
      </c>
      <c r="C447" s="37" t="s">
        <v>1197</v>
      </c>
      <c r="E447" s="37" t="s">
        <v>2827</v>
      </c>
      <c r="F447" s="24" t="s">
        <v>1327</v>
      </c>
      <c r="G447" s="25"/>
      <c r="O447" s="37" t="s">
        <v>5559</v>
      </c>
      <c r="P447" s="37" t="s">
        <v>1854</v>
      </c>
      <c r="Q447" s="37" t="s">
        <v>1998</v>
      </c>
      <c r="R447" s="37" t="s">
        <v>1792</v>
      </c>
      <c r="S447" s="10" t="s">
        <v>3412</v>
      </c>
      <c r="T447" s="11"/>
      <c r="U447" s="21">
        <v>1</v>
      </c>
      <c r="V447" s="21">
        <v>1</v>
      </c>
      <c r="W447" s="73">
        <f t="shared" si="18"/>
        <v>29</v>
      </c>
      <c r="X447" s="80">
        <f t="shared" si="19"/>
        <v>929</v>
      </c>
      <c r="Y447" s="82" t="s">
        <v>3584</v>
      </c>
      <c r="AF447" s="11"/>
      <c r="AG447" s="11"/>
      <c r="AH447" s="11"/>
      <c r="AI447" s="11"/>
      <c r="AJ447" s="11"/>
      <c r="AK447" s="11"/>
    </row>
    <row r="448" spans="1:37" ht="15.45" customHeight="1" x14ac:dyDescent="0.25">
      <c r="A448" s="31" t="s">
        <v>1301</v>
      </c>
      <c r="B448" s="24" t="s">
        <v>3125</v>
      </c>
      <c r="C448" s="37" t="s">
        <v>1952</v>
      </c>
      <c r="E448" s="37" t="s">
        <v>2827</v>
      </c>
      <c r="F448" s="24" t="s">
        <v>1327</v>
      </c>
      <c r="G448" s="25"/>
      <c r="O448" s="37" t="s">
        <v>1901</v>
      </c>
      <c r="P448" s="37" t="s">
        <v>1854</v>
      </c>
      <c r="Q448" s="37" t="s">
        <v>1998</v>
      </c>
      <c r="R448" s="37" t="s">
        <v>1792</v>
      </c>
      <c r="S448" s="10" t="s">
        <v>3412</v>
      </c>
      <c r="T448" s="11"/>
      <c r="U448" s="21">
        <v>1</v>
      </c>
      <c r="V448" s="21">
        <v>1</v>
      </c>
      <c r="W448" s="73">
        <f t="shared" si="18"/>
        <v>30</v>
      </c>
      <c r="X448" s="80">
        <f t="shared" si="19"/>
        <v>930</v>
      </c>
      <c r="Y448" s="82" t="s">
        <v>3584</v>
      </c>
      <c r="AF448" s="11"/>
      <c r="AG448" s="11"/>
      <c r="AH448" s="11"/>
      <c r="AI448" s="11"/>
      <c r="AJ448" s="11"/>
      <c r="AK448" s="11"/>
    </row>
    <row r="449" spans="1:37" ht="15.45" customHeight="1" x14ac:dyDescent="0.25">
      <c r="A449" s="31" t="s">
        <v>3126</v>
      </c>
      <c r="B449" s="24" t="s">
        <v>3125</v>
      </c>
      <c r="C449" s="37" t="s">
        <v>1952</v>
      </c>
      <c r="E449" s="37" t="s">
        <v>2827</v>
      </c>
      <c r="F449" s="24" t="s">
        <v>1327</v>
      </c>
      <c r="G449" s="25"/>
      <c r="O449" s="37" t="s">
        <v>5560</v>
      </c>
      <c r="P449" s="37" t="s">
        <v>1854</v>
      </c>
      <c r="Q449" s="37" t="s">
        <v>1998</v>
      </c>
      <c r="R449" s="37" t="s">
        <v>1792</v>
      </c>
      <c r="S449" s="10" t="s">
        <v>3412</v>
      </c>
      <c r="T449" s="11"/>
      <c r="U449" s="21">
        <v>1</v>
      </c>
      <c r="V449" s="21">
        <v>1</v>
      </c>
      <c r="W449" s="73">
        <f t="shared" si="18"/>
        <v>31</v>
      </c>
      <c r="X449" s="80">
        <f t="shared" si="19"/>
        <v>931</v>
      </c>
      <c r="Y449" s="82" t="s">
        <v>3584</v>
      </c>
      <c r="AF449" s="11"/>
      <c r="AG449" s="11"/>
      <c r="AH449" s="11"/>
      <c r="AI449" s="11"/>
      <c r="AJ449" s="11"/>
      <c r="AK449" s="11"/>
    </row>
    <row r="450" spans="1:37" ht="15.45" customHeight="1" x14ac:dyDescent="0.25">
      <c r="A450" s="31" t="s">
        <v>1301</v>
      </c>
      <c r="B450" s="24" t="s">
        <v>3125</v>
      </c>
      <c r="C450" s="37" t="s">
        <v>1197</v>
      </c>
      <c r="E450" s="37" t="s">
        <v>2827</v>
      </c>
      <c r="F450" s="24" t="s">
        <v>1328</v>
      </c>
      <c r="G450" s="25"/>
      <c r="O450" s="37" t="s">
        <v>5561</v>
      </c>
      <c r="P450" s="37" t="s">
        <v>5562</v>
      </c>
      <c r="Q450" s="37" t="s">
        <v>1979</v>
      </c>
      <c r="R450" s="37" t="s">
        <v>1792</v>
      </c>
      <c r="S450" s="10" t="s">
        <v>3412</v>
      </c>
      <c r="T450" s="11"/>
      <c r="U450" s="21">
        <v>1</v>
      </c>
      <c r="V450" s="21">
        <v>1</v>
      </c>
      <c r="W450" s="73">
        <f t="shared" si="18"/>
        <v>32</v>
      </c>
      <c r="X450" s="80">
        <f t="shared" si="19"/>
        <v>932</v>
      </c>
      <c r="Y450" s="82" t="s">
        <v>3584</v>
      </c>
      <c r="AF450" s="11"/>
      <c r="AG450" s="11"/>
      <c r="AH450" s="11"/>
      <c r="AI450" s="11"/>
      <c r="AJ450" s="11"/>
      <c r="AK450" s="11"/>
    </row>
    <row r="451" spans="1:37" ht="15.45" customHeight="1" x14ac:dyDescent="0.25">
      <c r="A451" s="31" t="s">
        <v>1301</v>
      </c>
      <c r="C451" s="37" t="s">
        <v>1197</v>
      </c>
      <c r="E451" s="37" t="s">
        <v>2827</v>
      </c>
      <c r="F451" s="24" t="s">
        <v>1328</v>
      </c>
      <c r="G451" s="25"/>
      <c r="S451" s="10" t="s">
        <v>3412</v>
      </c>
      <c r="T451" s="11"/>
      <c r="U451" s="21">
        <v>1</v>
      </c>
      <c r="V451" s="21">
        <v>1</v>
      </c>
      <c r="W451" s="73">
        <f t="shared" si="18"/>
        <v>33</v>
      </c>
      <c r="X451" s="80">
        <f t="shared" si="19"/>
        <v>933</v>
      </c>
      <c r="Y451" s="82" t="s">
        <v>3584</v>
      </c>
      <c r="AF451" s="11"/>
      <c r="AG451" s="11"/>
      <c r="AH451" s="11"/>
      <c r="AI451" s="11"/>
      <c r="AJ451" s="11"/>
      <c r="AK451" s="11"/>
    </row>
    <row r="452" spans="1:37" ht="15.45" customHeight="1" x14ac:dyDescent="0.25">
      <c r="A452" s="31" t="s">
        <v>1647</v>
      </c>
      <c r="C452" s="37" t="s">
        <v>1197</v>
      </c>
      <c r="E452" s="37" t="s">
        <v>2827</v>
      </c>
      <c r="F452" s="24" t="s">
        <v>1328</v>
      </c>
      <c r="G452" s="25"/>
      <c r="O452" s="37" t="s">
        <v>5563</v>
      </c>
      <c r="P452" s="37" t="s">
        <v>1854</v>
      </c>
      <c r="Q452" s="37" t="s">
        <v>1998</v>
      </c>
      <c r="R452" s="37" t="s">
        <v>1792</v>
      </c>
      <c r="S452" s="10" t="s">
        <v>3412</v>
      </c>
      <c r="T452" s="11"/>
      <c r="U452" s="21">
        <v>1</v>
      </c>
      <c r="V452" s="21">
        <v>1</v>
      </c>
      <c r="W452" s="73">
        <f t="shared" si="18"/>
        <v>34</v>
      </c>
      <c r="X452" s="80">
        <f t="shared" si="19"/>
        <v>934</v>
      </c>
      <c r="Y452" s="82" t="s">
        <v>3584</v>
      </c>
      <c r="AF452" s="11"/>
      <c r="AG452" s="11"/>
      <c r="AH452" s="11"/>
      <c r="AI452" s="11"/>
      <c r="AJ452" s="11"/>
      <c r="AK452" s="11"/>
    </row>
    <row r="453" spans="1:37" ht="15.45" customHeight="1" x14ac:dyDescent="0.25">
      <c r="A453" s="31" t="s">
        <v>1648</v>
      </c>
      <c r="C453" s="37" t="s">
        <v>1197</v>
      </c>
      <c r="E453" s="37" t="s">
        <v>2827</v>
      </c>
      <c r="F453" s="24" t="s">
        <v>1328</v>
      </c>
      <c r="G453" s="25"/>
      <c r="S453" s="10" t="s">
        <v>3412</v>
      </c>
      <c r="T453" s="11"/>
      <c r="U453" s="21">
        <v>1</v>
      </c>
      <c r="V453" s="21">
        <v>1</v>
      </c>
      <c r="W453" s="73">
        <f t="shared" si="18"/>
        <v>35</v>
      </c>
      <c r="X453" s="80">
        <f t="shared" si="19"/>
        <v>935</v>
      </c>
      <c r="Y453" s="82" t="s">
        <v>3584</v>
      </c>
      <c r="AF453" s="11"/>
      <c r="AG453" s="11"/>
      <c r="AH453" s="11"/>
      <c r="AI453" s="11"/>
      <c r="AJ453" s="11"/>
      <c r="AK453" s="11"/>
    </row>
    <row r="454" spans="1:37" ht="15.45" customHeight="1" x14ac:dyDescent="0.25">
      <c r="A454" s="31" t="s">
        <v>1815</v>
      </c>
      <c r="C454" s="37" t="s">
        <v>1197</v>
      </c>
      <c r="E454" s="37" t="s">
        <v>2827</v>
      </c>
      <c r="F454" s="24" t="s">
        <v>1328</v>
      </c>
      <c r="G454" s="25"/>
      <c r="O454" s="37" t="s">
        <v>5565</v>
      </c>
      <c r="P454" s="37" t="s">
        <v>5564</v>
      </c>
      <c r="Q454" s="37" t="s">
        <v>1979</v>
      </c>
      <c r="S454" s="10" t="s">
        <v>3412</v>
      </c>
      <c r="T454" s="11"/>
      <c r="U454" s="21">
        <v>1</v>
      </c>
      <c r="V454" s="21">
        <v>1</v>
      </c>
      <c r="W454" s="73">
        <f t="shared" si="18"/>
        <v>36</v>
      </c>
      <c r="X454" s="80">
        <f t="shared" si="19"/>
        <v>936</v>
      </c>
      <c r="Y454" s="82" t="s">
        <v>3584</v>
      </c>
      <c r="AF454" s="11"/>
      <c r="AG454" s="11"/>
      <c r="AH454" s="11"/>
      <c r="AI454" s="11"/>
      <c r="AJ454" s="11"/>
      <c r="AK454" s="11"/>
    </row>
    <row r="455" spans="1:37" ht="15.45" customHeight="1" x14ac:dyDescent="0.25">
      <c r="A455" s="31" t="s">
        <v>1540</v>
      </c>
      <c r="C455" s="37" t="s">
        <v>1197</v>
      </c>
      <c r="E455" s="37" t="s">
        <v>2827</v>
      </c>
      <c r="F455" s="24" t="s">
        <v>1328</v>
      </c>
      <c r="G455" s="25"/>
      <c r="P455" s="37" t="s">
        <v>1854</v>
      </c>
      <c r="Q455" s="37" t="s">
        <v>1998</v>
      </c>
      <c r="S455" s="10" t="s">
        <v>3412</v>
      </c>
      <c r="T455" s="11"/>
      <c r="U455" s="21">
        <v>1</v>
      </c>
      <c r="V455" s="21">
        <v>1</v>
      </c>
      <c r="W455" s="73">
        <f t="shared" si="18"/>
        <v>37</v>
      </c>
      <c r="X455" s="80">
        <f t="shared" si="19"/>
        <v>937</v>
      </c>
      <c r="Y455" s="82" t="s">
        <v>3584</v>
      </c>
      <c r="AF455" s="11"/>
      <c r="AG455" s="11"/>
      <c r="AH455" s="11"/>
      <c r="AI455" s="11"/>
      <c r="AJ455" s="11"/>
      <c r="AK455" s="11"/>
    </row>
    <row r="456" spans="1:37" ht="15.45" customHeight="1" x14ac:dyDescent="0.25">
      <c r="A456" s="31" t="s">
        <v>1845</v>
      </c>
      <c r="C456" s="37" t="s">
        <v>1197</v>
      </c>
      <c r="E456" s="37" t="s">
        <v>2827</v>
      </c>
      <c r="F456" s="24" t="s">
        <v>1328</v>
      </c>
      <c r="G456" s="25"/>
      <c r="O456" s="37" t="s">
        <v>5569</v>
      </c>
      <c r="R456" s="37" t="s">
        <v>1792</v>
      </c>
      <c r="S456" s="10" t="s">
        <v>3412</v>
      </c>
      <c r="T456" s="11"/>
      <c r="U456" s="21">
        <v>1</v>
      </c>
      <c r="V456" s="21">
        <v>1</v>
      </c>
      <c r="W456" s="73">
        <f t="shared" si="18"/>
        <v>38</v>
      </c>
      <c r="X456" s="80">
        <f t="shared" si="19"/>
        <v>938</v>
      </c>
      <c r="Y456" s="82" t="s">
        <v>3584</v>
      </c>
      <c r="AF456" s="11"/>
      <c r="AG456" s="11"/>
      <c r="AH456" s="11"/>
      <c r="AI456" s="11"/>
      <c r="AJ456" s="11"/>
      <c r="AK456" s="11"/>
    </row>
    <row r="457" spans="1:37" ht="15.45" customHeight="1" x14ac:dyDescent="0.25">
      <c r="A457" s="31" t="s">
        <v>1754</v>
      </c>
      <c r="C457" s="37" t="s">
        <v>1952</v>
      </c>
      <c r="E457" s="37" t="s">
        <v>2827</v>
      </c>
      <c r="F457" s="24" t="s">
        <v>1328</v>
      </c>
      <c r="G457" s="25"/>
      <c r="O457" s="37" t="s">
        <v>5570</v>
      </c>
      <c r="R457" s="37" t="s">
        <v>1792</v>
      </c>
      <c r="S457" s="10" t="s">
        <v>3412</v>
      </c>
      <c r="T457" s="11"/>
      <c r="U457" s="21">
        <v>1</v>
      </c>
      <c r="V457" s="21">
        <v>1</v>
      </c>
      <c r="W457" s="73">
        <f t="shared" si="18"/>
        <v>39</v>
      </c>
      <c r="X457" s="80">
        <f t="shared" si="19"/>
        <v>939</v>
      </c>
      <c r="Y457" s="82" t="s">
        <v>3584</v>
      </c>
      <c r="AF457" s="11"/>
      <c r="AG457" s="11"/>
      <c r="AH457" s="11"/>
      <c r="AI457" s="11"/>
      <c r="AJ457" s="11"/>
      <c r="AK457" s="11"/>
    </row>
    <row r="458" spans="1:37" ht="15.45" customHeight="1" x14ac:dyDescent="0.25">
      <c r="A458" s="31" t="s">
        <v>1754</v>
      </c>
      <c r="C458" s="37" t="s">
        <v>1197</v>
      </c>
      <c r="E458" s="37" t="s">
        <v>2827</v>
      </c>
      <c r="F458" s="24" t="s">
        <v>1328</v>
      </c>
      <c r="G458" s="25"/>
      <c r="P458" s="37" t="s">
        <v>1816</v>
      </c>
      <c r="Q458" s="37" t="s">
        <v>1998</v>
      </c>
      <c r="R458" s="37" t="s">
        <v>1792</v>
      </c>
      <c r="S458" s="10" t="s">
        <v>3412</v>
      </c>
      <c r="T458" s="11"/>
      <c r="U458" s="21">
        <v>1</v>
      </c>
      <c r="V458" s="21">
        <v>1</v>
      </c>
      <c r="W458" s="73">
        <f t="shared" si="18"/>
        <v>40</v>
      </c>
      <c r="X458" s="80">
        <f t="shared" si="19"/>
        <v>940</v>
      </c>
      <c r="Y458" s="82" t="s">
        <v>3584</v>
      </c>
      <c r="AF458" s="11"/>
      <c r="AG458" s="11"/>
      <c r="AH458" s="11"/>
      <c r="AI458" s="11"/>
      <c r="AJ458" s="11"/>
      <c r="AK458" s="11"/>
    </row>
    <row r="459" spans="1:37" ht="15.45" customHeight="1" x14ac:dyDescent="0.25">
      <c r="A459" s="31" t="s">
        <v>1433</v>
      </c>
      <c r="C459" s="37" t="s">
        <v>1197</v>
      </c>
      <c r="E459" s="37" t="s">
        <v>2827</v>
      </c>
      <c r="F459" s="24" t="s">
        <v>1328</v>
      </c>
      <c r="G459" s="25"/>
      <c r="S459" s="10" t="s">
        <v>3412</v>
      </c>
      <c r="T459" s="11"/>
      <c r="U459" s="21">
        <v>2</v>
      </c>
      <c r="V459" s="21">
        <v>2</v>
      </c>
      <c r="W459" s="73">
        <f t="shared" si="18"/>
        <v>42</v>
      </c>
      <c r="X459" s="80">
        <f t="shared" si="19"/>
        <v>942</v>
      </c>
      <c r="Y459" s="82" t="s">
        <v>3584</v>
      </c>
      <c r="AF459" s="11"/>
      <c r="AG459" s="11"/>
      <c r="AH459" s="11"/>
      <c r="AI459" s="11"/>
      <c r="AJ459" s="11"/>
      <c r="AK459" s="11"/>
    </row>
    <row r="460" spans="1:37" ht="15.45" customHeight="1" x14ac:dyDescent="0.25">
      <c r="A460" s="31" t="s">
        <v>1319</v>
      </c>
      <c r="C460" s="37" t="s">
        <v>1197</v>
      </c>
      <c r="E460" s="37" t="s">
        <v>2827</v>
      </c>
      <c r="F460" s="24" t="s">
        <v>1328</v>
      </c>
      <c r="G460" s="25"/>
      <c r="S460" s="10" t="s">
        <v>3412</v>
      </c>
      <c r="T460" s="11"/>
      <c r="U460" s="21">
        <v>2</v>
      </c>
      <c r="V460" s="21">
        <v>2</v>
      </c>
      <c r="W460" s="73">
        <f t="shared" si="18"/>
        <v>44</v>
      </c>
      <c r="X460" s="80">
        <f t="shared" si="19"/>
        <v>944</v>
      </c>
      <c r="Y460" s="82" t="s">
        <v>3584</v>
      </c>
      <c r="AF460" s="11"/>
      <c r="AG460" s="11"/>
      <c r="AH460" s="11"/>
      <c r="AI460" s="11"/>
      <c r="AJ460" s="11"/>
      <c r="AK460" s="11"/>
    </row>
    <row r="461" spans="1:37" ht="15.45" customHeight="1" x14ac:dyDescent="0.25">
      <c r="A461" s="31" t="s">
        <v>1568</v>
      </c>
      <c r="C461" s="37" t="s">
        <v>1197</v>
      </c>
      <c r="E461" s="37" t="s">
        <v>2827</v>
      </c>
      <c r="F461" s="24" t="s">
        <v>1328</v>
      </c>
      <c r="G461" s="25"/>
      <c r="P461" s="37" t="s">
        <v>1854</v>
      </c>
      <c r="Q461" s="37" t="s">
        <v>1998</v>
      </c>
      <c r="R461" s="37" t="s">
        <v>1792</v>
      </c>
      <c r="S461" s="10" t="s">
        <v>3412</v>
      </c>
      <c r="T461" s="11"/>
      <c r="U461" s="21">
        <v>1</v>
      </c>
      <c r="V461" s="21">
        <v>1</v>
      </c>
      <c r="W461" s="73">
        <f t="shared" si="18"/>
        <v>45</v>
      </c>
      <c r="X461" s="80">
        <f t="shared" si="19"/>
        <v>945</v>
      </c>
      <c r="Y461" s="82" t="s">
        <v>3584</v>
      </c>
      <c r="AF461" s="11"/>
      <c r="AG461" s="11"/>
      <c r="AH461" s="11"/>
      <c r="AI461" s="11"/>
      <c r="AJ461" s="11"/>
      <c r="AK461" s="11"/>
    </row>
    <row r="462" spans="1:37" ht="15.45" customHeight="1" x14ac:dyDescent="0.25">
      <c r="A462" s="31" t="s">
        <v>1569</v>
      </c>
      <c r="C462" s="37" t="s">
        <v>1197</v>
      </c>
      <c r="E462" s="37" t="s">
        <v>2827</v>
      </c>
      <c r="F462" s="24" t="s">
        <v>1328</v>
      </c>
      <c r="G462" s="25"/>
      <c r="O462" s="37" t="s">
        <v>5567</v>
      </c>
      <c r="P462" s="37" t="s">
        <v>5566</v>
      </c>
      <c r="Q462" s="37" t="s">
        <v>1998</v>
      </c>
      <c r="R462" s="37" t="s">
        <v>1792</v>
      </c>
      <c r="S462" s="10" t="s">
        <v>3412</v>
      </c>
      <c r="T462" s="11"/>
      <c r="U462" s="21">
        <v>1</v>
      </c>
      <c r="V462" s="21">
        <v>1</v>
      </c>
      <c r="W462" s="73">
        <f t="shared" si="18"/>
        <v>46</v>
      </c>
      <c r="X462" s="80">
        <f t="shared" si="19"/>
        <v>946</v>
      </c>
      <c r="Y462" s="82" t="s">
        <v>3584</v>
      </c>
      <c r="AF462" s="11"/>
      <c r="AG462" s="11"/>
      <c r="AH462" s="11"/>
      <c r="AI462" s="11"/>
      <c r="AJ462" s="11"/>
      <c r="AK462" s="11"/>
    </row>
    <row r="463" spans="1:37" ht="15.45" customHeight="1" x14ac:dyDescent="0.25">
      <c r="A463" s="31" t="s">
        <v>1460</v>
      </c>
      <c r="C463" s="37" t="s">
        <v>1952</v>
      </c>
      <c r="E463" s="37" t="s">
        <v>2827</v>
      </c>
      <c r="F463" s="24" t="s">
        <v>1328</v>
      </c>
      <c r="G463" s="25"/>
      <c r="P463" s="37" t="s">
        <v>1906</v>
      </c>
      <c r="S463" s="10" t="s">
        <v>3412</v>
      </c>
      <c r="T463" s="11"/>
      <c r="U463" s="21">
        <v>1</v>
      </c>
      <c r="V463" s="21">
        <v>1</v>
      </c>
      <c r="W463" s="73">
        <f t="shared" si="18"/>
        <v>47</v>
      </c>
      <c r="X463" s="80">
        <f t="shared" si="19"/>
        <v>947</v>
      </c>
      <c r="Y463" s="82" t="s">
        <v>3584</v>
      </c>
      <c r="AF463" s="11"/>
      <c r="AG463" s="11"/>
      <c r="AH463" s="11"/>
      <c r="AI463" s="11"/>
      <c r="AJ463" s="11"/>
      <c r="AK463" s="11"/>
    </row>
    <row r="464" spans="1:37" ht="15.45" customHeight="1" x14ac:dyDescent="0.25">
      <c r="A464" s="31" t="s">
        <v>1460</v>
      </c>
      <c r="C464" s="37" t="s">
        <v>1197</v>
      </c>
      <c r="E464" s="37" t="s">
        <v>2827</v>
      </c>
      <c r="F464" s="24" t="s">
        <v>1328</v>
      </c>
      <c r="G464" s="25"/>
      <c r="J464" s="214" t="s">
        <v>3694</v>
      </c>
      <c r="K464" s="10" t="s">
        <v>3762</v>
      </c>
      <c r="P464" s="37" t="s">
        <v>3680</v>
      </c>
      <c r="S464" s="10" t="s">
        <v>3412</v>
      </c>
      <c r="T464" s="11"/>
      <c r="U464" s="21">
        <v>2</v>
      </c>
      <c r="V464" s="21">
        <v>2</v>
      </c>
      <c r="W464" s="73">
        <f t="shared" si="18"/>
        <v>49</v>
      </c>
      <c r="X464" s="80">
        <f t="shared" si="19"/>
        <v>949</v>
      </c>
      <c r="Y464" s="82" t="s">
        <v>3584</v>
      </c>
      <c r="AF464" s="11"/>
      <c r="AG464" s="11"/>
      <c r="AH464" s="11"/>
      <c r="AI464" s="11"/>
      <c r="AJ464" s="11"/>
      <c r="AK464" s="11"/>
    </row>
    <row r="465" spans="1:37" ht="15.45" customHeight="1" x14ac:dyDescent="0.25">
      <c r="A465" s="31" t="s">
        <v>1461</v>
      </c>
      <c r="C465" s="37" t="s">
        <v>1197</v>
      </c>
      <c r="E465" s="37" t="s">
        <v>2827</v>
      </c>
      <c r="F465" s="24" t="s">
        <v>1214</v>
      </c>
      <c r="G465" s="25"/>
      <c r="S465" s="10" t="s">
        <v>3412</v>
      </c>
      <c r="T465" s="11"/>
      <c r="U465" s="21">
        <v>1</v>
      </c>
      <c r="V465" s="21">
        <v>1</v>
      </c>
      <c r="W465" s="73">
        <f t="shared" si="18"/>
        <v>50</v>
      </c>
      <c r="X465" s="80">
        <f t="shared" si="19"/>
        <v>950</v>
      </c>
      <c r="Y465" s="82" t="s">
        <v>3584</v>
      </c>
      <c r="AF465" s="11"/>
      <c r="AG465" s="11"/>
      <c r="AH465" s="11"/>
      <c r="AI465" s="11"/>
      <c r="AJ465" s="11"/>
      <c r="AK465" s="11"/>
    </row>
    <row r="466" spans="1:37" ht="15.45" customHeight="1" x14ac:dyDescent="0.25">
      <c r="A466" s="31" t="s">
        <v>5961</v>
      </c>
      <c r="C466" s="37" t="s">
        <v>1197</v>
      </c>
      <c r="E466" s="37" t="s">
        <v>2827</v>
      </c>
      <c r="F466" s="24" t="s">
        <v>1214</v>
      </c>
      <c r="G466" s="25"/>
      <c r="H466" s="38" t="s">
        <v>5962</v>
      </c>
      <c r="J466" s="214" t="s">
        <v>5327</v>
      </c>
      <c r="O466" s="37" t="s">
        <v>5963</v>
      </c>
      <c r="P466" s="37" t="s">
        <v>546</v>
      </c>
      <c r="Q466" s="37" t="s">
        <v>3506</v>
      </c>
      <c r="R466" s="37" t="s">
        <v>1792</v>
      </c>
      <c r="S466" s="10" t="s">
        <v>3412</v>
      </c>
      <c r="T466" s="11"/>
      <c r="U466" s="21">
        <v>1</v>
      </c>
      <c r="V466" s="21">
        <v>1</v>
      </c>
      <c r="W466" s="73">
        <f t="shared" si="18"/>
        <v>51</v>
      </c>
      <c r="X466" s="80">
        <f t="shared" si="19"/>
        <v>951</v>
      </c>
      <c r="Y466" s="82" t="s">
        <v>3591</v>
      </c>
      <c r="Z466" s="24" t="s">
        <v>2885</v>
      </c>
      <c r="AB466" s="177">
        <v>44392</v>
      </c>
      <c r="AC466" s="84" t="s">
        <v>5308</v>
      </c>
      <c r="AF466" s="11"/>
      <c r="AG466" s="11"/>
      <c r="AH466" s="11"/>
      <c r="AI466" s="11"/>
      <c r="AJ466" s="11"/>
      <c r="AK466" s="11"/>
    </row>
    <row r="467" spans="1:37" ht="15.45" customHeight="1" x14ac:dyDescent="0.25">
      <c r="A467" s="31" t="s">
        <v>1462</v>
      </c>
      <c r="B467" s="24" t="s">
        <v>3682</v>
      </c>
      <c r="C467" s="37" t="s">
        <v>1197</v>
      </c>
      <c r="E467" s="37" t="s">
        <v>2827</v>
      </c>
      <c r="F467" s="24" t="s">
        <v>1214</v>
      </c>
      <c r="G467" s="25"/>
      <c r="J467" s="214" t="s">
        <v>3694</v>
      </c>
      <c r="K467" s="10" t="s">
        <v>3762</v>
      </c>
      <c r="O467" s="37" t="s">
        <v>3681</v>
      </c>
      <c r="R467" s="37" t="s">
        <v>3664</v>
      </c>
      <c r="S467" s="10" t="s">
        <v>3412</v>
      </c>
      <c r="T467" s="11"/>
      <c r="U467" s="21">
        <v>1</v>
      </c>
      <c r="V467" s="21">
        <v>1</v>
      </c>
      <c r="W467" s="73">
        <f t="shared" si="18"/>
        <v>52</v>
      </c>
      <c r="X467" s="80">
        <f t="shared" si="19"/>
        <v>952</v>
      </c>
      <c r="Y467" s="82" t="s">
        <v>3584</v>
      </c>
      <c r="AF467" s="11"/>
      <c r="AG467" s="11"/>
      <c r="AH467" s="11"/>
      <c r="AI467" s="11"/>
      <c r="AJ467" s="11"/>
      <c r="AK467" s="11"/>
    </row>
    <row r="468" spans="1:37" ht="14.55" customHeight="1" x14ac:dyDescent="0.25">
      <c r="A468" s="31" t="s">
        <v>5958</v>
      </c>
      <c r="C468" s="37" t="s">
        <v>1197</v>
      </c>
      <c r="E468" s="37" t="s">
        <v>2827</v>
      </c>
      <c r="F468" s="24" t="s">
        <v>1214</v>
      </c>
      <c r="G468" s="25"/>
      <c r="H468" s="38" t="s">
        <v>5959</v>
      </c>
      <c r="J468" s="214" t="s">
        <v>5327</v>
      </c>
      <c r="O468" s="37" t="s">
        <v>5960</v>
      </c>
      <c r="P468" s="37" t="s">
        <v>546</v>
      </c>
      <c r="Q468" s="37" t="s">
        <v>3506</v>
      </c>
      <c r="R468" s="37" t="s">
        <v>1792</v>
      </c>
      <c r="S468" s="10" t="s">
        <v>3412</v>
      </c>
      <c r="T468" s="11"/>
      <c r="U468" s="21">
        <v>1</v>
      </c>
      <c r="V468" s="21">
        <v>1</v>
      </c>
      <c r="W468" s="73">
        <f t="shared" si="18"/>
        <v>53</v>
      </c>
      <c r="X468" s="80">
        <f t="shared" si="19"/>
        <v>953</v>
      </c>
      <c r="Y468" s="82" t="s">
        <v>3591</v>
      </c>
      <c r="Z468" s="24" t="s">
        <v>2885</v>
      </c>
      <c r="AB468" s="177">
        <v>44392</v>
      </c>
      <c r="AC468" s="84" t="s">
        <v>5308</v>
      </c>
      <c r="AF468" s="11"/>
      <c r="AG468" s="11"/>
      <c r="AH468" s="11"/>
      <c r="AI468" s="11"/>
      <c r="AJ468" s="11"/>
      <c r="AK468" s="11"/>
    </row>
    <row r="469" spans="1:37" ht="15.45" customHeight="1" x14ac:dyDescent="0.25">
      <c r="A469" s="31" t="s">
        <v>1752</v>
      </c>
      <c r="C469" s="37" t="s">
        <v>1197</v>
      </c>
      <c r="E469" s="37" t="s">
        <v>2827</v>
      </c>
      <c r="F469" s="24" t="s">
        <v>1214</v>
      </c>
      <c r="G469" s="25"/>
      <c r="O469" s="37" t="s">
        <v>5571</v>
      </c>
      <c r="P469" s="37" t="s">
        <v>5564</v>
      </c>
      <c r="Q469" s="37" t="s">
        <v>1979</v>
      </c>
      <c r="R469" s="37" t="s">
        <v>1792</v>
      </c>
      <c r="S469" s="10" t="s">
        <v>3412</v>
      </c>
      <c r="T469" s="11"/>
      <c r="U469" s="21">
        <v>1</v>
      </c>
      <c r="V469" s="21">
        <v>1</v>
      </c>
      <c r="W469" s="73">
        <f t="shared" si="18"/>
        <v>54</v>
      </c>
      <c r="X469" s="80">
        <f t="shared" si="19"/>
        <v>954</v>
      </c>
      <c r="Y469" s="82" t="s">
        <v>3584</v>
      </c>
      <c r="AF469" s="11"/>
      <c r="AG469" s="11"/>
      <c r="AH469" s="11"/>
      <c r="AI469" s="11"/>
      <c r="AJ469" s="11"/>
      <c r="AK469" s="11"/>
    </row>
    <row r="470" spans="1:37" ht="15.45" customHeight="1" x14ac:dyDescent="0.25">
      <c r="A470" s="31" t="s">
        <v>1673</v>
      </c>
      <c r="C470" s="37" t="s">
        <v>1197</v>
      </c>
      <c r="E470" s="37" t="s">
        <v>2827</v>
      </c>
      <c r="F470" s="24" t="s">
        <v>1214</v>
      </c>
      <c r="G470" s="25"/>
      <c r="O470" s="37" t="s">
        <v>5572</v>
      </c>
      <c r="P470" s="37" t="s">
        <v>320</v>
      </c>
      <c r="Q470" s="37" t="s">
        <v>1979</v>
      </c>
      <c r="R470" s="37" t="s">
        <v>1792</v>
      </c>
      <c r="S470" s="10" t="s">
        <v>3412</v>
      </c>
      <c r="T470" s="11"/>
      <c r="U470" s="21">
        <v>1</v>
      </c>
      <c r="V470" s="21">
        <v>1</v>
      </c>
      <c r="W470" s="73">
        <f t="shared" si="18"/>
        <v>55</v>
      </c>
      <c r="X470" s="80">
        <f t="shared" si="19"/>
        <v>955</v>
      </c>
      <c r="Y470" s="82" t="s">
        <v>3584</v>
      </c>
      <c r="AF470" s="11"/>
      <c r="AG470" s="11"/>
      <c r="AH470" s="11"/>
      <c r="AI470" s="11"/>
      <c r="AJ470" s="11"/>
      <c r="AK470" s="11"/>
    </row>
    <row r="471" spans="1:37" ht="15.45" customHeight="1" x14ac:dyDescent="0.25">
      <c r="A471" s="31" t="s">
        <v>3137</v>
      </c>
      <c r="B471" s="24" t="s">
        <v>3136</v>
      </c>
      <c r="C471" s="37" t="s">
        <v>1197</v>
      </c>
      <c r="E471" s="37" t="s">
        <v>2827</v>
      </c>
      <c r="F471" s="24" t="s">
        <v>1214</v>
      </c>
      <c r="G471" s="25"/>
      <c r="O471" s="37" t="s">
        <v>319</v>
      </c>
      <c r="P471" s="37" t="s">
        <v>5573</v>
      </c>
      <c r="Q471" s="37" t="s">
        <v>1998</v>
      </c>
      <c r="R471" s="37" t="s">
        <v>1792</v>
      </c>
      <c r="S471" s="10" t="s">
        <v>3412</v>
      </c>
      <c r="T471" s="11"/>
      <c r="U471" s="21">
        <v>1</v>
      </c>
      <c r="V471" s="21">
        <v>1</v>
      </c>
      <c r="W471" s="73">
        <f t="shared" si="18"/>
        <v>56</v>
      </c>
      <c r="X471" s="80">
        <f t="shared" si="19"/>
        <v>956</v>
      </c>
      <c r="Y471" s="82" t="s">
        <v>3584</v>
      </c>
      <c r="AF471" s="11"/>
      <c r="AG471" s="11"/>
      <c r="AH471" s="11"/>
      <c r="AI471" s="11"/>
      <c r="AJ471" s="11"/>
      <c r="AK471" s="11"/>
    </row>
    <row r="472" spans="1:37" ht="15.45" customHeight="1" x14ac:dyDescent="0.25">
      <c r="A472" s="31" t="s">
        <v>1674</v>
      </c>
      <c r="C472" s="37" t="s">
        <v>1197</v>
      </c>
      <c r="E472" s="37" t="s">
        <v>2827</v>
      </c>
      <c r="F472" s="24" t="s">
        <v>1214</v>
      </c>
      <c r="G472" s="25"/>
      <c r="P472" s="37" t="s">
        <v>320</v>
      </c>
      <c r="R472" s="37" t="s">
        <v>1792</v>
      </c>
      <c r="S472" s="10" t="s">
        <v>3412</v>
      </c>
      <c r="T472" s="11"/>
      <c r="U472" s="21">
        <v>1</v>
      </c>
      <c r="V472" s="21">
        <v>1</v>
      </c>
      <c r="W472" s="73">
        <f t="shared" si="18"/>
        <v>57</v>
      </c>
      <c r="X472" s="80">
        <f t="shared" si="19"/>
        <v>957</v>
      </c>
      <c r="Y472" s="82" t="s">
        <v>3584</v>
      </c>
      <c r="AF472" s="11"/>
      <c r="AG472" s="11"/>
      <c r="AH472" s="11"/>
      <c r="AI472" s="11"/>
      <c r="AJ472" s="11"/>
      <c r="AK472" s="11"/>
    </row>
    <row r="473" spans="1:37" ht="15.45" customHeight="1" x14ac:dyDescent="0.25">
      <c r="A473" s="31" t="s">
        <v>1442</v>
      </c>
      <c r="C473" s="37" t="s">
        <v>1197</v>
      </c>
      <c r="E473" s="37" t="s">
        <v>2827</v>
      </c>
      <c r="F473" s="24" t="s">
        <v>1214</v>
      </c>
      <c r="G473" s="25"/>
      <c r="O473" s="37" t="s">
        <v>5574</v>
      </c>
      <c r="P473" s="37" t="s">
        <v>1816</v>
      </c>
      <c r="Q473" s="37" t="s">
        <v>1998</v>
      </c>
      <c r="R473" s="37" t="s">
        <v>1792</v>
      </c>
      <c r="S473" s="10" t="s">
        <v>3412</v>
      </c>
      <c r="T473" s="11"/>
      <c r="U473" s="21">
        <v>1</v>
      </c>
      <c r="V473" s="21">
        <v>1</v>
      </c>
      <c r="W473" s="73">
        <f t="shared" si="18"/>
        <v>58</v>
      </c>
      <c r="X473" s="80">
        <f t="shared" si="19"/>
        <v>958</v>
      </c>
      <c r="Y473" s="82" t="s">
        <v>3584</v>
      </c>
      <c r="AF473" s="11"/>
      <c r="AG473" s="11"/>
      <c r="AH473" s="11"/>
      <c r="AI473" s="11"/>
      <c r="AJ473" s="11"/>
      <c r="AK473" s="11"/>
    </row>
    <row r="474" spans="1:37" ht="15.45" customHeight="1" x14ac:dyDescent="0.25">
      <c r="A474" s="31" t="s">
        <v>1459</v>
      </c>
      <c r="C474" s="37" t="s">
        <v>1197</v>
      </c>
      <c r="E474" s="37" t="s">
        <v>2827</v>
      </c>
      <c r="F474" s="24" t="s">
        <v>1214</v>
      </c>
      <c r="G474" s="25"/>
      <c r="J474" s="214" t="s">
        <v>6304</v>
      </c>
      <c r="O474" s="37" t="s">
        <v>5568</v>
      </c>
      <c r="R474" s="37" t="s">
        <v>3665</v>
      </c>
      <c r="S474" s="10" t="s">
        <v>3412</v>
      </c>
      <c r="T474" s="11"/>
      <c r="U474" s="21">
        <v>1</v>
      </c>
      <c r="V474" s="21">
        <v>1</v>
      </c>
      <c r="W474" s="73">
        <f t="shared" si="18"/>
        <v>59</v>
      </c>
      <c r="X474" s="80">
        <f t="shared" si="19"/>
        <v>959</v>
      </c>
      <c r="Y474" s="82" t="s">
        <v>3591</v>
      </c>
      <c r="Z474" s="24" t="s">
        <v>1724</v>
      </c>
      <c r="AF474" s="11"/>
      <c r="AG474" s="11"/>
      <c r="AH474" s="11"/>
      <c r="AI474" s="11"/>
      <c r="AJ474" s="11"/>
      <c r="AK474" s="11"/>
    </row>
    <row r="475" spans="1:37" ht="15.45" customHeight="1" x14ac:dyDescent="0.25">
      <c r="A475" s="31" t="s">
        <v>1459</v>
      </c>
      <c r="C475" s="37" t="s">
        <v>1197</v>
      </c>
      <c r="E475" s="37" t="s">
        <v>2827</v>
      </c>
      <c r="F475" s="24" t="s">
        <v>1214</v>
      </c>
      <c r="G475" s="25"/>
      <c r="H475" s="38" t="s">
        <v>6305</v>
      </c>
      <c r="J475" s="214" t="s">
        <v>6302</v>
      </c>
      <c r="O475" s="37" t="s">
        <v>6303</v>
      </c>
      <c r="Q475" s="37" t="s">
        <v>3779</v>
      </c>
      <c r="R475" s="37" t="s">
        <v>3664</v>
      </c>
      <c r="S475" s="10" t="s">
        <v>3412</v>
      </c>
      <c r="T475" s="11"/>
      <c r="U475" s="21">
        <v>1</v>
      </c>
      <c r="V475" s="21">
        <v>1</v>
      </c>
      <c r="W475" s="73">
        <f t="shared" si="18"/>
        <v>60</v>
      </c>
      <c r="X475" s="80">
        <f t="shared" si="19"/>
        <v>960</v>
      </c>
      <c r="Y475" s="82" t="s">
        <v>3591</v>
      </c>
      <c r="Z475" s="24" t="s">
        <v>2885</v>
      </c>
      <c r="AB475" s="177">
        <v>44512</v>
      </c>
      <c r="AC475" s="84" t="s">
        <v>5308</v>
      </c>
      <c r="AF475" s="11"/>
      <c r="AG475" s="11"/>
      <c r="AH475" s="11"/>
      <c r="AI475" s="11"/>
      <c r="AJ475" s="11"/>
      <c r="AK475" s="11"/>
    </row>
    <row r="476" spans="1:37" ht="15.45" customHeight="1" x14ac:dyDescent="0.25">
      <c r="A476" s="31" t="s">
        <v>1459</v>
      </c>
      <c r="C476" s="37" t="s">
        <v>1197</v>
      </c>
      <c r="E476" s="37" t="s">
        <v>2827</v>
      </c>
      <c r="F476" s="24" t="s">
        <v>1214</v>
      </c>
      <c r="G476" s="25"/>
      <c r="J476" s="214" t="s">
        <v>4034</v>
      </c>
      <c r="K476" s="10" t="s">
        <v>4035</v>
      </c>
      <c r="O476" s="37" t="s">
        <v>6303</v>
      </c>
      <c r="Q476" s="37" t="s">
        <v>3779</v>
      </c>
      <c r="R476" s="37" t="s">
        <v>3664</v>
      </c>
      <c r="S476" s="10" t="s">
        <v>3412</v>
      </c>
      <c r="T476" s="11"/>
      <c r="U476" s="21">
        <v>1</v>
      </c>
      <c r="V476" s="21">
        <v>1</v>
      </c>
      <c r="W476" s="73">
        <f t="shared" si="18"/>
        <v>61</v>
      </c>
      <c r="X476" s="80">
        <f t="shared" si="19"/>
        <v>961</v>
      </c>
      <c r="Y476" s="82" t="s">
        <v>3584</v>
      </c>
      <c r="AE476" s="24" t="s">
        <v>4084</v>
      </c>
      <c r="AF476" s="11"/>
      <c r="AG476" s="11"/>
      <c r="AH476" s="11"/>
      <c r="AI476" s="11"/>
      <c r="AJ476" s="11"/>
      <c r="AK476" s="11"/>
    </row>
    <row r="477" spans="1:37" ht="15.45" customHeight="1" x14ac:dyDescent="0.25">
      <c r="A477" s="31" t="s">
        <v>5964</v>
      </c>
      <c r="C477" s="37" t="s">
        <v>1197</v>
      </c>
      <c r="E477" s="37" t="s">
        <v>2827</v>
      </c>
      <c r="F477" s="24" t="s">
        <v>1214</v>
      </c>
      <c r="G477" s="25"/>
      <c r="H477" s="38" t="s">
        <v>5965</v>
      </c>
      <c r="J477" s="214" t="s">
        <v>5327</v>
      </c>
      <c r="O477" s="37" t="s">
        <v>5966</v>
      </c>
      <c r="P477" s="37" t="s">
        <v>546</v>
      </c>
      <c r="Q477" s="37" t="s">
        <v>3506</v>
      </c>
      <c r="R477" s="37" t="s">
        <v>1792</v>
      </c>
      <c r="S477" s="10" t="s">
        <v>3412</v>
      </c>
      <c r="T477" s="11"/>
      <c r="U477" s="21">
        <v>1</v>
      </c>
      <c r="V477" s="21">
        <v>1</v>
      </c>
      <c r="W477" s="73">
        <f t="shared" si="18"/>
        <v>62</v>
      </c>
      <c r="X477" s="80">
        <f t="shared" si="19"/>
        <v>962</v>
      </c>
      <c r="Y477" s="82" t="s">
        <v>3591</v>
      </c>
      <c r="Z477" s="24" t="s">
        <v>2885</v>
      </c>
      <c r="AB477" s="177">
        <v>44392</v>
      </c>
      <c r="AC477" s="84" t="s">
        <v>5308</v>
      </c>
      <c r="AF477" s="11"/>
      <c r="AG477" s="11"/>
      <c r="AH477" s="11"/>
      <c r="AI477" s="11"/>
      <c r="AJ477" s="11"/>
      <c r="AK477" s="11"/>
    </row>
    <row r="478" spans="1:37" ht="15.45" customHeight="1" x14ac:dyDescent="0.25">
      <c r="A478" s="31" t="s">
        <v>1108</v>
      </c>
      <c r="C478" s="37" t="s">
        <v>1197</v>
      </c>
      <c r="E478" s="37" t="s">
        <v>2827</v>
      </c>
      <c r="F478" s="24" t="s">
        <v>1214</v>
      </c>
      <c r="G478" s="25"/>
      <c r="H478" s="38" t="s">
        <v>6300</v>
      </c>
      <c r="J478" s="214" t="s">
        <v>3694</v>
      </c>
      <c r="K478" s="10" t="s">
        <v>3699</v>
      </c>
      <c r="O478" s="37" t="s">
        <v>5575</v>
      </c>
      <c r="P478" s="37" t="s">
        <v>5576</v>
      </c>
      <c r="Q478" s="37" t="s">
        <v>1955</v>
      </c>
      <c r="R478" s="37" t="s">
        <v>1792</v>
      </c>
      <c r="S478" s="10" t="s">
        <v>3412</v>
      </c>
      <c r="T478" s="11"/>
      <c r="U478" s="21">
        <v>1</v>
      </c>
      <c r="V478" s="21">
        <v>1</v>
      </c>
      <c r="W478" s="73">
        <f t="shared" si="18"/>
        <v>63</v>
      </c>
      <c r="X478" s="80">
        <f t="shared" si="19"/>
        <v>963</v>
      </c>
      <c r="Y478" s="82" t="s">
        <v>3584</v>
      </c>
      <c r="AF478" s="11"/>
      <c r="AG478" s="11"/>
      <c r="AH478" s="11"/>
      <c r="AI478" s="11"/>
      <c r="AJ478" s="11"/>
      <c r="AK478" s="11"/>
    </row>
    <row r="479" spans="1:37" ht="15.45" customHeight="1" x14ac:dyDescent="0.25">
      <c r="A479" s="31" t="s">
        <v>1109</v>
      </c>
      <c r="C479" s="37" t="s">
        <v>1197</v>
      </c>
      <c r="E479" s="37" t="s">
        <v>2827</v>
      </c>
      <c r="F479" s="24" t="s">
        <v>1214</v>
      </c>
      <c r="G479" s="25"/>
      <c r="O479" s="37" t="s">
        <v>241</v>
      </c>
      <c r="P479" s="37" t="s">
        <v>310</v>
      </c>
      <c r="Q479" s="37" t="s">
        <v>1998</v>
      </c>
      <c r="R479" s="37" t="s">
        <v>1792</v>
      </c>
      <c r="S479" s="10" t="s">
        <v>3412</v>
      </c>
      <c r="T479" s="11"/>
      <c r="U479" s="21">
        <v>1</v>
      </c>
      <c r="V479" s="21">
        <v>1</v>
      </c>
      <c r="W479" s="73">
        <f t="shared" si="18"/>
        <v>64</v>
      </c>
      <c r="X479" s="80">
        <f t="shared" si="19"/>
        <v>964</v>
      </c>
      <c r="Y479" s="82" t="s">
        <v>3584</v>
      </c>
      <c r="AF479" s="11"/>
      <c r="AG479" s="11"/>
      <c r="AH479" s="11"/>
      <c r="AI479" s="11"/>
      <c r="AJ479" s="11"/>
      <c r="AK479" s="11"/>
    </row>
    <row r="480" spans="1:37" ht="15.45" customHeight="1" x14ac:dyDescent="0.25">
      <c r="A480" s="29" t="s">
        <v>155</v>
      </c>
      <c r="C480" s="37" t="s">
        <v>1197</v>
      </c>
      <c r="E480" s="37" t="s">
        <v>2827</v>
      </c>
      <c r="F480" s="24" t="s">
        <v>6222</v>
      </c>
      <c r="O480" s="37" t="s">
        <v>5634</v>
      </c>
      <c r="P480" s="37" t="s">
        <v>1485</v>
      </c>
      <c r="Q480" s="37" t="s">
        <v>3506</v>
      </c>
      <c r="R480" s="37" t="s">
        <v>1792</v>
      </c>
      <c r="S480" s="10" t="s">
        <v>3412</v>
      </c>
      <c r="U480" s="21">
        <v>1</v>
      </c>
      <c r="V480" s="21">
        <v>1</v>
      </c>
      <c r="W480" s="73">
        <f t="shared" si="18"/>
        <v>65</v>
      </c>
      <c r="X480" s="80">
        <f t="shared" si="19"/>
        <v>965</v>
      </c>
      <c r="Y480" s="82" t="s">
        <v>3591</v>
      </c>
      <c r="Z480" s="24" t="s">
        <v>1701</v>
      </c>
    </row>
    <row r="481" spans="1:37" ht="15.45" customHeight="1" x14ac:dyDescent="0.25">
      <c r="A481" s="29" t="s">
        <v>6582</v>
      </c>
      <c r="C481" s="37" t="s">
        <v>1197</v>
      </c>
      <c r="E481" s="37" t="s">
        <v>2827</v>
      </c>
      <c r="F481" s="24" t="s">
        <v>6222</v>
      </c>
      <c r="H481" s="38" t="s">
        <v>6644</v>
      </c>
      <c r="J481" s="214" t="s">
        <v>6585</v>
      </c>
      <c r="O481" s="37" t="s">
        <v>6586</v>
      </c>
      <c r="P481" s="37" t="s">
        <v>6298</v>
      </c>
      <c r="Q481" s="37" t="s">
        <v>3506</v>
      </c>
      <c r="R481" s="37" t="s">
        <v>1792</v>
      </c>
      <c r="S481" s="10" t="s">
        <v>3412</v>
      </c>
      <c r="U481" s="21">
        <v>1</v>
      </c>
      <c r="V481" s="21">
        <v>1</v>
      </c>
      <c r="W481" s="73">
        <f t="shared" si="18"/>
        <v>66</v>
      </c>
      <c r="X481" s="80">
        <f t="shared" si="19"/>
        <v>966</v>
      </c>
      <c r="Y481" s="82" t="s">
        <v>3591</v>
      </c>
      <c r="Z481" s="24" t="s">
        <v>4515</v>
      </c>
      <c r="AB481" s="177">
        <v>44650</v>
      </c>
      <c r="AC481" s="84" t="s">
        <v>5308</v>
      </c>
    </row>
    <row r="482" spans="1:37" ht="15.45" customHeight="1" x14ac:dyDescent="0.25">
      <c r="A482" s="29" t="s">
        <v>6642</v>
      </c>
      <c r="C482" s="37" t="s">
        <v>1197</v>
      </c>
      <c r="E482" s="37" t="s">
        <v>2827</v>
      </c>
      <c r="F482" s="24" t="s">
        <v>1214</v>
      </c>
      <c r="H482" s="38" t="s">
        <v>6643</v>
      </c>
      <c r="J482" s="214" t="s">
        <v>5582</v>
      </c>
      <c r="O482" s="37" t="s">
        <v>6580</v>
      </c>
      <c r="P482" s="37" t="s">
        <v>5580</v>
      </c>
      <c r="Q482" s="37" t="s">
        <v>3506</v>
      </c>
      <c r="R482" s="37" t="s">
        <v>1792</v>
      </c>
      <c r="S482" s="10" t="s">
        <v>3412</v>
      </c>
      <c r="U482" s="21">
        <v>1</v>
      </c>
      <c r="V482" s="21">
        <v>1</v>
      </c>
      <c r="W482" s="73">
        <f t="shared" si="18"/>
        <v>67</v>
      </c>
      <c r="X482" s="80">
        <f t="shared" si="19"/>
        <v>967</v>
      </c>
      <c r="Y482" s="82" t="s">
        <v>3591</v>
      </c>
      <c r="Z482" s="24" t="s">
        <v>2885</v>
      </c>
      <c r="AB482" s="177">
        <v>42614</v>
      </c>
      <c r="AC482" s="84" t="s">
        <v>2885</v>
      </c>
    </row>
    <row r="483" spans="1:37" ht="15.45" customHeight="1" x14ac:dyDescent="0.25">
      <c r="A483" s="29" t="s">
        <v>6584</v>
      </c>
      <c r="C483" s="37" t="s">
        <v>1197</v>
      </c>
      <c r="E483" s="37" t="s">
        <v>2827</v>
      </c>
      <c r="F483" s="24" t="s">
        <v>1214</v>
      </c>
      <c r="H483" s="38" t="s">
        <v>6645</v>
      </c>
      <c r="J483" s="214" t="s">
        <v>6585</v>
      </c>
      <c r="O483" s="37" t="s">
        <v>6587</v>
      </c>
      <c r="P483" s="37" t="s">
        <v>6298</v>
      </c>
      <c r="Q483" s="37" t="s">
        <v>3506</v>
      </c>
      <c r="R483" s="37" t="s">
        <v>1792</v>
      </c>
      <c r="S483" s="10" t="s">
        <v>3412</v>
      </c>
      <c r="U483" s="21">
        <v>1</v>
      </c>
      <c r="V483" s="21">
        <v>1</v>
      </c>
      <c r="W483" s="73">
        <f t="shared" si="18"/>
        <v>68</v>
      </c>
      <c r="X483" s="80">
        <f t="shared" si="19"/>
        <v>968</v>
      </c>
      <c r="Y483" s="82" t="s">
        <v>3591</v>
      </c>
      <c r="Z483" s="24" t="s">
        <v>4515</v>
      </c>
      <c r="AB483" s="177">
        <v>44650</v>
      </c>
      <c r="AC483" s="84" t="s">
        <v>5308</v>
      </c>
    </row>
    <row r="484" spans="1:37" ht="15.45" customHeight="1" x14ac:dyDescent="0.25">
      <c r="A484" s="29" t="s">
        <v>6597</v>
      </c>
      <c r="C484" s="37" t="s">
        <v>1197</v>
      </c>
      <c r="E484" s="37" t="s">
        <v>2827</v>
      </c>
      <c r="F484" s="24" t="s">
        <v>1214</v>
      </c>
      <c r="H484" s="38" t="s">
        <v>6646</v>
      </c>
      <c r="J484" s="214" t="s">
        <v>6581</v>
      </c>
      <c r="O484" s="37" t="s">
        <v>6583</v>
      </c>
      <c r="P484" s="37" t="s">
        <v>6298</v>
      </c>
      <c r="Q484" s="37" t="s">
        <v>3506</v>
      </c>
      <c r="R484" s="37" t="s">
        <v>1792</v>
      </c>
      <c r="S484" s="10" t="s">
        <v>3412</v>
      </c>
      <c r="U484" s="21">
        <v>1</v>
      </c>
      <c r="V484" s="21">
        <v>1</v>
      </c>
      <c r="W484" s="73">
        <f t="shared" si="18"/>
        <v>69</v>
      </c>
      <c r="X484" s="80">
        <f t="shared" si="19"/>
        <v>969</v>
      </c>
      <c r="Y484" s="82" t="s">
        <v>3591</v>
      </c>
      <c r="Z484" s="24" t="s">
        <v>4515</v>
      </c>
      <c r="AB484" s="177">
        <v>44650</v>
      </c>
      <c r="AC484" s="84" t="s">
        <v>5308</v>
      </c>
    </row>
    <row r="485" spans="1:37" ht="15.45" customHeight="1" x14ac:dyDescent="0.25">
      <c r="A485" s="29" t="s">
        <v>5439</v>
      </c>
      <c r="B485" s="24" t="s">
        <v>5440</v>
      </c>
      <c r="C485" s="37" t="s">
        <v>1952</v>
      </c>
      <c r="E485" s="37" t="s">
        <v>2827</v>
      </c>
      <c r="F485" s="24" t="s">
        <v>6222</v>
      </c>
      <c r="G485" s="25"/>
      <c r="O485" s="37" t="s">
        <v>5581</v>
      </c>
      <c r="P485" s="37" t="s">
        <v>1463</v>
      </c>
      <c r="Q485" s="37" t="s">
        <v>3506</v>
      </c>
      <c r="R485" s="37" t="s">
        <v>1792</v>
      </c>
      <c r="S485" s="10" t="s">
        <v>3412</v>
      </c>
      <c r="U485" s="21">
        <v>1</v>
      </c>
      <c r="V485" s="21">
        <v>1</v>
      </c>
      <c r="W485" s="73">
        <f t="shared" si="18"/>
        <v>70</v>
      </c>
      <c r="X485" s="80">
        <f t="shared" si="19"/>
        <v>970</v>
      </c>
      <c r="Y485" s="82" t="s">
        <v>3591</v>
      </c>
      <c r="Z485" s="24" t="s">
        <v>2887</v>
      </c>
    </row>
    <row r="486" spans="1:37" ht="15.45" customHeight="1" x14ac:dyDescent="0.25">
      <c r="A486" s="31" t="s">
        <v>1443</v>
      </c>
      <c r="C486" s="37" t="s">
        <v>1952</v>
      </c>
      <c r="E486" s="37" t="s">
        <v>2827</v>
      </c>
      <c r="F486" s="24" t="s">
        <v>1214</v>
      </c>
      <c r="G486" s="25"/>
      <c r="P486" s="37" t="s">
        <v>334</v>
      </c>
      <c r="Q486" s="37" t="s">
        <v>3506</v>
      </c>
      <c r="R486" s="37" t="s">
        <v>1792</v>
      </c>
      <c r="S486" s="10" t="s">
        <v>3412</v>
      </c>
      <c r="T486" s="11"/>
      <c r="U486" s="21">
        <v>2</v>
      </c>
      <c r="V486" s="21">
        <v>2</v>
      </c>
      <c r="W486" s="73">
        <f t="shared" si="18"/>
        <v>72</v>
      </c>
      <c r="X486" s="80">
        <f t="shared" si="19"/>
        <v>972</v>
      </c>
      <c r="Y486" s="82" t="s">
        <v>3584</v>
      </c>
      <c r="AF486" s="11"/>
      <c r="AG486" s="11"/>
      <c r="AH486" s="11"/>
      <c r="AI486" s="11"/>
      <c r="AJ486" s="11"/>
      <c r="AK486" s="11"/>
    </row>
    <row r="487" spans="1:37" ht="15.45" customHeight="1" x14ac:dyDescent="0.25">
      <c r="A487" s="31" t="s">
        <v>1443</v>
      </c>
      <c r="C487" s="37" t="s">
        <v>1197</v>
      </c>
      <c r="E487" s="37" t="s">
        <v>2827</v>
      </c>
      <c r="F487" s="24" t="s">
        <v>1214</v>
      </c>
      <c r="G487" s="25"/>
      <c r="O487" s="37" t="s">
        <v>5575</v>
      </c>
      <c r="P487" s="37" t="s">
        <v>5576</v>
      </c>
      <c r="Q487" s="37" t="s">
        <v>1955</v>
      </c>
      <c r="R487" s="37" t="s">
        <v>1792</v>
      </c>
      <c r="S487" s="10" t="s">
        <v>3412</v>
      </c>
      <c r="T487" s="11"/>
      <c r="U487" s="21">
        <v>1</v>
      </c>
      <c r="V487" s="21">
        <v>1</v>
      </c>
      <c r="W487" s="73">
        <f t="shared" si="18"/>
        <v>73</v>
      </c>
      <c r="X487" s="80">
        <f t="shared" si="19"/>
        <v>973</v>
      </c>
      <c r="Y487" s="82" t="s">
        <v>3584</v>
      </c>
      <c r="AF487" s="11"/>
      <c r="AG487" s="11"/>
      <c r="AH487" s="11"/>
      <c r="AI487" s="11"/>
      <c r="AJ487" s="11"/>
      <c r="AK487" s="11"/>
    </row>
    <row r="488" spans="1:37" ht="15.45" customHeight="1" x14ac:dyDescent="0.25">
      <c r="A488" s="31" t="s">
        <v>3456</v>
      </c>
      <c r="C488" s="37" t="s">
        <v>1197</v>
      </c>
      <c r="E488" s="37" t="s">
        <v>2827</v>
      </c>
      <c r="F488" s="24" t="s">
        <v>1214</v>
      </c>
      <c r="G488" s="25"/>
      <c r="J488" s="214" t="s">
        <v>3694</v>
      </c>
      <c r="K488" s="10" t="s">
        <v>3699</v>
      </c>
      <c r="O488" s="37" t="s">
        <v>5575</v>
      </c>
      <c r="P488" s="37" t="s">
        <v>5576</v>
      </c>
      <c r="Q488" s="37" t="s">
        <v>1955</v>
      </c>
      <c r="R488" s="37" t="s">
        <v>1792</v>
      </c>
      <c r="S488" s="10" t="s">
        <v>3412</v>
      </c>
      <c r="T488" s="11"/>
      <c r="U488" s="21">
        <v>1</v>
      </c>
      <c r="V488" s="21">
        <v>1</v>
      </c>
      <c r="W488" s="73">
        <f t="shared" si="18"/>
        <v>74</v>
      </c>
      <c r="X488" s="80">
        <f t="shared" si="19"/>
        <v>974</v>
      </c>
      <c r="Y488" s="82" t="s">
        <v>3584</v>
      </c>
      <c r="AF488" s="11"/>
      <c r="AG488" s="11"/>
      <c r="AH488" s="11"/>
      <c r="AI488" s="11"/>
      <c r="AJ488" s="11"/>
      <c r="AK488" s="11"/>
    </row>
    <row r="489" spans="1:37" ht="15.45" customHeight="1" x14ac:dyDescent="0.25">
      <c r="A489" s="29" t="s">
        <v>6229</v>
      </c>
      <c r="C489" s="37" t="s">
        <v>1952</v>
      </c>
      <c r="E489" s="37" t="s">
        <v>2827</v>
      </c>
      <c r="F489" s="24" t="s">
        <v>6222</v>
      </c>
      <c r="G489" s="25"/>
      <c r="J489" s="214" t="s">
        <v>6228</v>
      </c>
      <c r="O489" s="37" t="s">
        <v>6224</v>
      </c>
      <c r="P489" s="37" t="s">
        <v>6225</v>
      </c>
      <c r="Q489" s="37" t="s">
        <v>3506</v>
      </c>
      <c r="R489" s="37" t="s">
        <v>1792</v>
      </c>
      <c r="S489" s="10" t="s">
        <v>3412</v>
      </c>
      <c r="U489" s="21">
        <v>1</v>
      </c>
      <c r="V489" s="21">
        <v>1</v>
      </c>
      <c r="W489" s="73">
        <f t="shared" si="18"/>
        <v>75</v>
      </c>
      <c r="X489" s="80">
        <f t="shared" si="19"/>
        <v>975</v>
      </c>
      <c r="Y489" s="82" t="s">
        <v>3591</v>
      </c>
      <c r="Z489" s="24" t="s">
        <v>4515</v>
      </c>
      <c r="AB489" s="177">
        <v>44494</v>
      </c>
      <c r="AC489" s="84" t="s">
        <v>5308</v>
      </c>
    </row>
    <row r="490" spans="1:37" ht="15.45" customHeight="1" x14ac:dyDescent="0.25">
      <c r="A490" s="31" t="s">
        <v>1751</v>
      </c>
      <c r="C490" s="37" t="s">
        <v>1197</v>
      </c>
      <c r="E490" s="37" t="s">
        <v>2827</v>
      </c>
      <c r="F490" s="24" t="s">
        <v>1214</v>
      </c>
      <c r="G490" s="25"/>
      <c r="S490" s="10" t="s">
        <v>3412</v>
      </c>
      <c r="T490" s="11"/>
      <c r="U490" s="21">
        <v>4</v>
      </c>
      <c r="V490" s="21">
        <v>4</v>
      </c>
      <c r="W490" s="73">
        <f t="shared" ref="W490:W501" si="20">W489+V490</f>
        <v>79</v>
      </c>
      <c r="X490" s="80">
        <f t="shared" ref="X490:X501" si="21">V490+X489</f>
        <v>979</v>
      </c>
      <c r="Y490" s="82" t="s">
        <v>3584</v>
      </c>
      <c r="AF490" s="11"/>
      <c r="AG490" s="11"/>
      <c r="AH490" s="11"/>
      <c r="AI490" s="11"/>
      <c r="AJ490" s="11"/>
      <c r="AK490" s="11"/>
    </row>
    <row r="491" spans="1:37" ht="15.45" customHeight="1" x14ac:dyDescent="0.25">
      <c r="A491" s="31" t="s">
        <v>6309</v>
      </c>
      <c r="C491" s="37" t="s">
        <v>1197</v>
      </c>
      <c r="E491" s="37" t="s">
        <v>2827</v>
      </c>
      <c r="F491" s="24" t="s">
        <v>1214</v>
      </c>
      <c r="G491" s="25"/>
      <c r="O491" s="37" t="s">
        <v>5577</v>
      </c>
      <c r="P491" s="37" t="s">
        <v>5578</v>
      </c>
      <c r="Q491" s="37" t="s">
        <v>1998</v>
      </c>
      <c r="R491" s="37" t="s">
        <v>1792</v>
      </c>
      <c r="S491" s="10" t="s">
        <v>3412</v>
      </c>
      <c r="T491" s="11"/>
      <c r="U491" s="21">
        <v>4</v>
      </c>
      <c r="V491" s="21">
        <v>4</v>
      </c>
      <c r="W491" s="73">
        <f t="shared" si="20"/>
        <v>83</v>
      </c>
      <c r="X491" s="80">
        <f t="shared" si="21"/>
        <v>983</v>
      </c>
      <c r="Y491" s="82" t="s">
        <v>3584</v>
      </c>
      <c r="AF491" s="11"/>
      <c r="AG491" s="11"/>
      <c r="AH491" s="11"/>
      <c r="AI491" s="11"/>
      <c r="AJ491" s="11"/>
      <c r="AK491" s="11"/>
    </row>
    <row r="492" spans="1:37" ht="15.45" customHeight="1" x14ac:dyDescent="0.25">
      <c r="A492" s="31" t="s">
        <v>6308</v>
      </c>
      <c r="B492" s="24" t="s">
        <v>6306</v>
      </c>
      <c r="C492" s="37" t="s">
        <v>1197</v>
      </c>
      <c r="E492" s="37" t="s">
        <v>2827</v>
      </c>
      <c r="F492" s="24" t="s">
        <v>1328</v>
      </c>
      <c r="G492" s="25"/>
      <c r="H492" t="s">
        <v>6307</v>
      </c>
      <c r="Q492" s="37" t="s">
        <v>1817</v>
      </c>
      <c r="R492" s="37" t="s">
        <v>1792</v>
      </c>
      <c r="S492" s="10" t="s">
        <v>3412</v>
      </c>
      <c r="T492" s="11"/>
      <c r="U492" s="21">
        <v>1</v>
      </c>
      <c r="V492" s="21">
        <v>1</v>
      </c>
      <c r="W492" s="73">
        <f t="shared" si="20"/>
        <v>84</v>
      </c>
      <c r="X492" s="80">
        <f t="shared" si="21"/>
        <v>984</v>
      </c>
      <c r="Y492" s="82" t="s">
        <v>3584</v>
      </c>
      <c r="AF492" s="11"/>
      <c r="AG492" s="11"/>
      <c r="AH492" s="11"/>
      <c r="AI492" s="11"/>
      <c r="AJ492" s="11"/>
      <c r="AK492" s="11"/>
    </row>
    <row r="493" spans="1:37" ht="15.45" customHeight="1" x14ac:dyDescent="0.25">
      <c r="A493" s="29" t="s">
        <v>6217</v>
      </c>
      <c r="C493" s="37" t="s">
        <v>1952</v>
      </c>
      <c r="E493" s="37" t="s">
        <v>2827</v>
      </c>
      <c r="F493" s="24" t="s">
        <v>6222</v>
      </c>
      <c r="G493" s="25"/>
      <c r="H493" s="38" t="s">
        <v>6218</v>
      </c>
      <c r="J493" s="214" t="s">
        <v>5279</v>
      </c>
      <c r="K493" s="10" t="s">
        <v>6196</v>
      </c>
      <c r="O493" s="37" t="s">
        <v>6219</v>
      </c>
      <c r="P493" s="37" t="s">
        <v>2080</v>
      </c>
      <c r="Q493" s="37" t="s">
        <v>3506</v>
      </c>
      <c r="R493" s="37" t="s">
        <v>1792</v>
      </c>
      <c r="S493" s="10" t="s">
        <v>3412</v>
      </c>
      <c r="U493" s="21">
        <v>1</v>
      </c>
      <c r="V493" s="21">
        <v>1</v>
      </c>
      <c r="W493" s="73">
        <f t="shared" si="20"/>
        <v>85</v>
      </c>
      <c r="X493" s="80">
        <f t="shared" si="21"/>
        <v>985</v>
      </c>
      <c r="Y493" s="82" t="s">
        <v>3591</v>
      </c>
      <c r="Z493" s="24" t="s">
        <v>4514</v>
      </c>
      <c r="AB493" s="177">
        <v>44494</v>
      </c>
      <c r="AC493" s="84" t="s">
        <v>5308</v>
      </c>
    </row>
    <row r="494" spans="1:37" ht="15.45" customHeight="1" x14ac:dyDescent="0.25">
      <c r="A494" s="29" t="s">
        <v>6217</v>
      </c>
      <c r="C494" s="37" t="s">
        <v>1952</v>
      </c>
      <c r="E494" s="37" t="s">
        <v>2827</v>
      </c>
      <c r="F494" s="24" t="s">
        <v>6222</v>
      </c>
      <c r="G494" s="25"/>
      <c r="H494" s="38" t="s">
        <v>6223</v>
      </c>
      <c r="J494" s="214" t="s">
        <v>6228</v>
      </c>
      <c r="O494" s="37" t="s">
        <v>6224</v>
      </c>
      <c r="P494" s="37" t="s">
        <v>6225</v>
      </c>
      <c r="Q494" s="37" t="s">
        <v>3506</v>
      </c>
      <c r="R494" s="37" t="s">
        <v>1792</v>
      </c>
      <c r="S494" s="10" t="s">
        <v>3412</v>
      </c>
      <c r="U494" s="21">
        <v>1</v>
      </c>
      <c r="V494" s="21">
        <v>1</v>
      </c>
      <c r="W494" s="73">
        <f t="shared" si="20"/>
        <v>86</v>
      </c>
      <c r="X494" s="80">
        <f t="shared" si="21"/>
        <v>986</v>
      </c>
      <c r="Y494" s="82" t="s">
        <v>3591</v>
      </c>
      <c r="Z494" s="24" t="s">
        <v>4515</v>
      </c>
      <c r="AB494" s="177">
        <v>44494</v>
      </c>
      <c r="AC494" s="84" t="s">
        <v>5308</v>
      </c>
    </row>
    <row r="495" spans="1:37" ht="15.45" customHeight="1" x14ac:dyDescent="0.25">
      <c r="A495" s="29" t="s">
        <v>6217</v>
      </c>
      <c r="C495" s="37" t="s">
        <v>1952</v>
      </c>
      <c r="E495" s="37" t="s">
        <v>2827</v>
      </c>
      <c r="F495" s="24" t="s">
        <v>6222</v>
      </c>
      <c r="G495" s="25"/>
      <c r="H495" s="38" t="s">
        <v>6226</v>
      </c>
      <c r="J495" s="214" t="s">
        <v>6227</v>
      </c>
      <c r="O495" s="37" t="s">
        <v>6219</v>
      </c>
      <c r="P495" s="37" t="s">
        <v>2080</v>
      </c>
      <c r="Q495" s="37" t="s">
        <v>3506</v>
      </c>
      <c r="R495" s="37" t="s">
        <v>1792</v>
      </c>
      <c r="S495" s="10" t="s">
        <v>3412</v>
      </c>
      <c r="U495" s="21">
        <v>1</v>
      </c>
      <c r="V495" s="21">
        <v>1</v>
      </c>
      <c r="W495" s="73">
        <f t="shared" si="20"/>
        <v>87</v>
      </c>
      <c r="X495" s="80">
        <f t="shared" si="21"/>
        <v>987</v>
      </c>
      <c r="Y495" s="82" t="s">
        <v>3591</v>
      </c>
      <c r="Z495" s="24" t="s">
        <v>4515</v>
      </c>
      <c r="AB495" s="177">
        <v>44494</v>
      </c>
      <c r="AC495" s="84" t="s">
        <v>5308</v>
      </c>
    </row>
    <row r="496" spans="1:37" ht="15.45" customHeight="1" x14ac:dyDescent="0.25">
      <c r="A496" s="29" t="s">
        <v>6217</v>
      </c>
      <c r="C496" s="37" t="s">
        <v>1952</v>
      </c>
      <c r="E496" s="37" t="s">
        <v>2827</v>
      </c>
      <c r="F496" s="24" t="s">
        <v>1214</v>
      </c>
      <c r="G496" s="25"/>
      <c r="H496" s="38" t="s">
        <v>6296</v>
      </c>
      <c r="J496" s="214" t="s">
        <v>6297</v>
      </c>
      <c r="O496" s="37" t="s">
        <v>6299</v>
      </c>
      <c r="P496" s="37" t="s">
        <v>6298</v>
      </c>
      <c r="Q496" s="37" t="s">
        <v>3506</v>
      </c>
      <c r="R496" s="37" t="s">
        <v>1792</v>
      </c>
      <c r="S496" s="10" t="s">
        <v>3412</v>
      </c>
      <c r="U496" s="21">
        <v>1</v>
      </c>
      <c r="V496" s="21">
        <v>1</v>
      </c>
      <c r="W496" s="73">
        <f t="shared" si="20"/>
        <v>88</v>
      </c>
      <c r="X496" s="80">
        <f t="shared" si="21"/>
        <v>988</v>
      </c>
      <c r="Y496" s="82" t="s">
        <v>3591</v>
      </c>
      <c r="Z496" s="24" t="s">
        <v>2885</v>
      </c>
      <c r="AB496" s="177">
        <v>44512</v>
      </c>
      <c r="AC496" s="84" t="s">
        <v>5308</v>
      </c>
    </row>
    <row r="497" spans="1:37" ht="15.45" customHeight="1" x14ac:dyDescent="0.25">
      <c r="A497" s="31" t="s">
        <v>1352</v>
      </c>
      <c r="C497" s="37" t="s">
        <v>1197</v>
      </c>
      <c r="E497" s="37" t="s">
        <v>2827</v>
      </c>
      <c r="F497" s="24" t="s">
        <v>1214</v>
      </c>
      <c r="G497" s="25"/>
      <c r="O497" s="37" t="s">
        <v>154</v>
      </c>
      <c r="P497" s="37" t="s">
        <v>5579</v>
      </c>
      <c r="Q497" s="37" t="s">
        <v>1955</v>
      </c>
      <c r="R497" s="37" t="s">
        <v>1792</v>
      </c>
      <c r="S497" s="10" t="s">
        <v>3412</v>
      </c>
      <c r="T497" s="11"/>
      <c r="U497" s="21">
        <v>1</v>
      </c>
      <c r="V497" s="21">
        <v>1</v>
      </c>
      <c r="W497" s="73">
        <f t="shared" si="20"/>
        <v>89</v>
      </c>
      <c r="X497" s="80">
        <f t="shared" si="21"/>
        <v>989</v>
      </c>
      <c r="Y497" s="82" t="s">
        <v>3584</v>
      </c>
      <c r="AF497" s="11"/>
      <c r="AG497" s="11"/>
      <c r="AH497" s="11"/>
      <c r="AI497" s="11"/>
      <c r="AJ497" s="11"/>
      <c r="AK497" s="11"/>
    </row>
    <row r="498" spans="1:37" ht="15.45" customHeight="1" x14ac:dyDescent="0.25">
      <c r="A498" s="29" t="s">
        <v>6220</v>
      </c>
      <c r="B498" s="24" t="s">
        <v>1352</v>
      </c>
      <c r="C498" s="37" t="s">
        <v>1197</v>
      </c>
      <c r="E498" s="37" t="s">
        <v>2827</v>
      </c>
      <c r="F498" s="24" t="s">
        <v>1214</v>
      </c>
      <c r="G498" s="25"/>
      <c r="H498" s="38" t="s">
        <v>6301</v>
      </c>
      <c r="J498" s="214" t="s">
        <v>5334</v>
      </c>
      <c r="S498" s="10" t="s">
        <v>3412</v>
      </c>
      <c r="T498" s="11"/>
      <c r="U498" s="21">
        <v>1</v>
      </c>
      <c r="V498" s="21">
        <v>1</v>
      </c>
      <c r="W498" s="73">
        <f t="shared" si="20"/>
        <v>90</v>
      </c>
      <c r="X498" s="80">
        <f t="shared" si="21"/>
        <v>990</v>
      </c>
      <c r="Y498" s="82" t="s">
        <v>3591</v>
      </c>
      <c r="Z498" s="24" t="s">
        <v>2885</v>
      </c>
      <c r="AB498" s="177">
        <v>44512</v>
      </c>
      <c r="AC498" s="84" t="s">
        <v>5308</v>
      </c>
      <c r="AF498" s="11"/>
      <c r="AG498" s="11"/>
      <c r="AH498" s="11"/>
      <c r="AI498" s="11"/>
      <c r="AJ498" s="11"/>
      <c r="AK498" s="11"/>
    </row>
    <row r="499" spans="1:37" ht="15.45" customHeight="1" x14ac:dyDescent="0.25">
      <c r="A499" s="29" t="s">
        <v>6220</v>
      </c>
      <c r="B499" s="24" t="s">
        <v>1352</v>
      </c>
      <c r="C499" s="37" t="s">
        <v>1952</v>
      </c>
      <c r="E499" s="37" t="s">
        <v>2827</v>
      </c>
      <c r="F499" s="24" t="s">
        <v>6222</v>
      </c>
      <c r="G499" s="25"/>
      <c r="H499" s="38" t="s">
        <v>6221</v>
      </c>
      <c r="J499" s="214" t="s">
        <v>5279</v>
      </c>
      <c r="K499" s="10" t="s">
        <v>6196</v>
      </c>
      <c r="S499" s="10" t="s">
        <v>3412</v>
      </c>
      <c r="U499" s="21">
        <v>1</v>
      </c>
      <c r="V499" s="21">
        <v>1</v>
      </c>
      <c r="W499" s="73">
        <f t="shared" si="20"/>
        <v>91</v>
      </c>
      <c r="X499" s="80">
        <f t="shared" si="21"/>
        <v>991</v>
      </c>
      <c r="Y499" s="82" t="s">
        <v>3591</v>
      </c>
      <c r="Z499" s="24" t="s">
        <v>4514</v>
      </c>
      <c r="AB499" s="177">
        <v>44494</v>
      </c>
      <c r="AC499" s="84" t="s">
        <v>5308</v>
      </c>
    </row>
    <row r="500" spans="1:37" ht="15.45" customHeight="1" x14ac:dyDescent="0.25">
      <c r="A500" s="29" t="s">
        <v>6588</v>
      </c>
      <c r="C500" s="37" t="s">
        <v>1197</v>
      </c>
      <c r="E500" s="37" t="s">
        <v>2827</v>
      </c>
      <c r="F500" s="24" t="s">
        <v>1214</v>
      </c>
      <c r="G500" s="25"/>
      <c r="H500" s="38" t="s">
        <v>6590</v>
      </c>
      <c r="J500" s="214" t="s">
        <v>6585</v>
      </c>
      <c r="O500" s="37" t="s">
        <v>6587</v>
      </c>
      <c r="P500" s="37" t="s">
        <v>6298</v>
      </c>
      <c r="Q500" s="37" t="s">
        <v>3506</v>
      </c>
      <c r="R500" s="37" t="s">
        <v>1792</v>
      </c>
      <c r="S500" s="10" t="s">
        <v>3412</v>
      </c>
      <c r="U500" s="21">
        <v>1</v>
      </c>
      <c r="V500" s="21">
        <v>1</v>
      </c>
      <c r="W500" s="73">
        <f t="shared" si="20"/>
        <v>92</v>
      </c>
      <c r="X500" s="80">
        <f t="shared" si="21"/>
        <v>992</v>
      </c>
      <c r="Y500" s="82" t="s">
        <v>3591</v>
      </c>
      <c r="Z500" s="24" t="s">
        <v>4515</v>
      </c>
      <c r="AB500" s="177">
        <v>44650</v>
      </c>
      <c r="AC500" s="84" t="s">
        <v>5308</v>
      </c>
    </row>
    <row r="501" spans="1:37" ht="15.45" customHeight="1" x14ac:dyDescent="0.25">
      <c r="A501" s="29" t="s">
        <v>6588</v>
      </c>
      <c r="C501" s="37" t="s">
        <v>1197</v>
      </c>
      <c r="E501" s="37" t="s">
        <v>2827</v>
      </c>
      <c r="F501" s="24" t="s">
        <v>1951</v>
      </c>
      <c r="G501" s="25"/>
      <c r="H501" s="38" t="s">
        <v>6589</v>
      </c>
      <c r="P501" s="37" t="s">
        <v>2080</v>
      </c>
      <c r="Q501" s="37" t="s">
        <v>3506</v>
      </c>
      <c r="R501" s="37" t="s">
        <v>1792</v>
      </c>
      <c r="S501" s="10" t="s">
        <v>3412</v>
      </c>
      <c r="U501" s="21">
        <v>1</v>
      </c>
      <c r="V501" s="21">
        <v>1</v>
      </c>
      <c r="W501" s="73">
        <f t="shared" si="20"/>
        <v>93</v>
      </c>
      <c r="X501" s="80">
        <f t="shared" si="21"/>
        <v>993</v>
      </c>
      <c r="Y501" s="82" t="s">
        <v>3592</v>
      </c>
      <c r="Z501" s="24" t="s">
        <v>2884</v>
      </c>
    </row>
    <row r="502" spans="1:37" s="57" customFormat="1" ht="18" customHeight="1" x14ac:dyDescent="0.3">
      <c r="A502" s="52" t="s">
        <v>2173</v>
      </c>
      <c r="B502" s="90"/>
      <c r="C502" s="49"/>
      <c r="D502" s="49"/>
      <c r="E502" s="49"/>
      <c r="F502" s="50"/>
      <c r="G502" s="50"/>
      <c r="H502" s="46"/>
      <c r="I502" s="109"/>
      <c r="J502" s="213"/>
      <c r="K502" s="129"/>
      <c r="L502" s="101"/>
      <c r="M502" s="101"/>
      <c r="N502" s="49"/>
      <c r="O502" s="49"/>
      <c r="P502" s="49"/>
      <c r="Q502" s="49"/>
      <c r="R502" s="49"/>
      <c r="S502" s="47"/>
      <c r="T502" s="47"/>
      <c r="U502" s="53"/>
      <c r="V502" s="53"/>
      <c r="W502" s="74"/>
      <c r="X502" s="81"/>
      <c r="Y502" s="92"/>
      <c r="Z502" s="90"/>
      <c r="AA502" s="174"/>
      <c r="AB502" s="174"/>
      <c r="AC502" s="91"/>
      <c r="AD502" s="91"/>
      <c r="AE502" s="54"/>
      <c r="AF502" s="47"/>
      <c r="AG502" s="47"/>
      <c r="AH502" s="47"/>
      <c r="AI502" s="47"/>
      <c r="AJ502" s="47"/>
      <c r="AK502" s="47"/>
    </row>
    <row r="503" spans="1:37" ht="15.45" customHeight="1" x14ac:dyDescent="0.25">
      <c r="A503" s="31" t="s">
        <v>1677</v>
      </c>
      <c r="C503" s="37" t="s">
        <v>2173</v>
      </c>
      <c r="E503" s="37" t="s">
        <v>2827</v>
      </c>
      <c r="F503" s="24" t="s">
        <v>1472</v>
      </c>
      <c r="G503" s="25"/>
      <c r="P503" s="37" t="s">
        <v>156</v>
      </c>
      <c r="S503" s="10" t="s">
        <v>2433</v>
      </c>
      <c r="T503" s="11"/>
      <c r="U503" s="21">
        <v>1</v>
      </c>
      <c r="V503" s="21">
        <v>1</v>
      </c>
      <c r="W503" s="73">
        <v>1</v>
      </c>
      <c r="X503" s="80">
        <f>V503+X501</f>
        <v>994</v>
      </c>
      <c r="Y503" s="82" t="s">
        <v>3584</v>
      </c>
      <c r="AF503" s="11"/>
      <c r="AG503" s="11"/>
      <c r="AH503" s="11"/>
      <c r="AI503" s="11"/>
      <c r="AJ503" s="11"/>
      <c r="AK503" s="11"/>
    </row>
    <row r="504" spans="1:37" ht="15.45" customHeight="1" x14ac:dyDescent="0.25">
      <c r="A504" s="31" t="s">
        <v>1577</v>
      </c>
      <c r="C504" s="37" t="s">
        <v>2173</v>
      </c>
      <c r="E504" s="37" t="s">
        <v>2827</v>
      </c>
      <c r="F504" s="24" t="s">
        <v>1472</v>
      </c>
      <c r="G504" s="25"/>
      <c r="P504" s="37" t="s">
        <v>106</v>
      </c>
      <c r="S504" s="10" t="s">
        <v>2433</v>
      </c>
      <c r="T504" s="11"/>
      <c r="U504" s="21">
        <v>1</v>
      </c>
      <c r="V504" s="21">
        <v>1</v>
      </c>
      <c r="W504" s="73">
        <f t="shared" ref="W504:W567" si="22">W503+V504</f>
        <v>2</v>
      </c>
      <c r="X504" s="80">
        <f t="shared" ref="X504:X567" si="23">V504+X503</f>
        <v>995</v>
      </c>
      <c r="Y504" s="82" t="s">
        <v>3584</v>
      </c>
      <c r="AF504" s="11"/>
      <c r="AG504" s="11"/>
      <c r="AH504" s="11"/>
      <c r="AI504" s="11"/>
      <c r="AJ504" s="11"/>
      <c r="AK504" s="11"/>
    </row>
    <row r="505" spans="1:37" ht="15.45" customHeight="1" x14ac:dyDescent="0.25">
      <c r="A505" s="31" t="s">
        <v>1350</v>
      </c>
      <c r="C505" s="37" t="s">
        <v>2173</v>
      </c>
      <c r="E505" s="37" t="s">
        <v>2827</v>
      </c>
      <c r="F505" s="24" t="s">
        <v>1472</v>
      </c>
      <c r="G505" s="25"/>
      <c r="P505" s="37" t="s">
        <v>157</v>
      </c>
      <c r="S505" s="10" t="s">
        <v>2433</v>
      </c>
      <c r="T505" s="11"/>
      <c r="U505" s="21">
        <v>1</v>
      </c>
      <c r="V505" s="21">
        <v>1</v>
      </c>
      <c r="W505" s="73">
        <f t="shared" si="22"/>
        <v>3</v>
      </c>
      <c r="X505" s="80">
        <f t="shared" si="23"/>
        <v>996</v>
      </c>
      <c r="Y505" s="82" t="s">
        <v>3584</v>
      </c>
      <c r="AF505" s="11"/>
      <c r="AG505" s="11"/>
      <c r="AH505" s="11"/>
      <c r="AI505" s="11"/>
      <c r="AJ505" s="11"/>
      <c r="AK505" s="11"/>
    </row>
    <row r="506" spans="1:37" ht="15.45" customHeight="1" x14ac:dyDescent="0.25">
      <c r="A506" s="31" t="s">
        <v>3925</v>
      </c>
      <c r="C506" s="37" t="s">
        <v>2173</v>
      </c>
      <c r="E506" s="37" t="s">
        <v>2827</v>
      </c>
      <c r="F506" s="24" t="s">
        <v>1472</v>
      </c>
      <c r="G506" s="25"/>
      <c r="P506" s="37" t="s">
        <v>158</v>
      </c>
      <c r="S506" s="10" t="s">
        <v>2433</v>
      </c>
      <c r="T506" s="11"/>
      <c r="U506" s="21">
        <v>1</v>
      </c>
      <c r="V506" s="21">
        <v>1</v>
      </c>
      <c r="W506" s="73">
        <f t="shared" si="22"/>
        <v>4</v>
      </c>
      <c r="X506" s="80">
        <f t="shared" si="23"/>
        <v>997</v>
      </c>
      <c r="Y506" s="82" t="s">
        <v>3584</v>
      </c>
      <c r="AF506" s="11"/>
      <c r="AG506" s="11"/>
      <c r="AH506" s="11"/>
      <c r="AI506" s="11"/>
      <c r="AJ506" s="11"/>
      <c r="AK506" s="11"/>
    </row>
    <row r="507" spans="1:37" ht="15.45" customHeight="1" x14ac:dyDescent="0.25">
      <c r="A507" s="31" t="s">
        <v>1591</v>
      </c>
      <c r="C507" s="37" t="s">
        <v>2173</v>
      </c>
      <c r="E507" s="37" t="s">
        <v>2827</v>
      </c>
      <c r="F507" s="24" t="s">
        <v>1472</v>
      </c>
      <c r="G507" s="25"/>
      <c r="P507" s="37" t="s">
        <v>159</v>
      </c>
      <c r="S507" s="10" t="s">
        <v>2433</v>
      </c>
      <c r="T507" s="11"/>
      <c r="U507" s="21">
        <v>1</v>
      </c>
      <c r="V507" s="21">
        <v>1</v>
      </c>
      <c r="W507" s="73">
        <f t="shared" si="22"/>
        <v>5</v>
      </c>
      <c r="X507" s="80">
        <f t="shared" si="23"/>
        <v>998</v>
      </c>
      <c r="Y507" s="82" t="s">
        <v>3584</v>
      </c>
      <c r="AF507" s="11"/>
      <c r="AG507" s="11"/>
      <c r="AH507" s="11"/>
      <c r="AI507" s="11"/>
      <c r="AJ507" s="11"/>
      <c r="AK507" s="11"/>
    </row>
    <row r="508" spans="1:37" ht="15.45" customHeight="1" x14ac:dyDescent="0.25">
      <c r="A508" s="31" t="s">
        <v>1376</v>
      </c>
      <c r="C508" s="37" t="s">
        <v>2173</v>
      </c>
      <c r="E508" s="37" t="s">
        <v>2827</v>
      </c>
      <c r="F508" s="24" t="s">
        <v>1472</v>
      </c>
      <c r="G508" s="25"/>
      <c r="P508" s="37" t="s">
        <v>159</v>
      </c>
      <c r="S508" s="10" t="s">
        <v>2433</v>
      </c>
      <c r="T508" s="11"/>
      <c r="U508" s="21">
        <v>1</v>
      </c>
      <c r="V508" s="21">
        <v>1</v>
      </c>
      <c r="W508" s="73">
        <f t="shared" si="22"/>
        <v>6</v>
      </c>
      <c r="X508" s="80">
        <f t="shared" si="23"/>
        <v>999</v>
      </c>
      <c r="Y508" s="82" t="s">
        <v>3584</v>
      </c>
      <c r="AF508" s="11"/>
      <c r="AG508" s="11"/>
      <c r="AH508" s="11"/>
      <c r="AI508" s="11"/>
      <c r="AJ508" s="11"/>
      <c r="AK508" s="11"/>
    </row>
    <row r="509" spans="1:37" ht="15.45" customHeight="1" x14ac:dyDescent="0.25">
      <c r="A509" s="31" t="s">
        <v>1364</v>
      </c>
      <c r="C509" s="37" t="s">
        <v>2173</v>
      </c>
      <c r="E509" s="37" t="s">
        <v>2827</v>
      </c>
      <c r="F509" s="24" t="s">
        <v>1472</v>
      </c>
      <c r="G509" s="25"/>
      <c r="S509" s="10" t="s">
        <v>2433</v>
      </c>
      <c r="T509" s="11"/>
      <c r="U509" s="21">
        <v>1</v>
      </c>
      <c r="V509" s="21">
        <v>1</v>
      </c>
      <c r="W509" s="73">
        <f t="shared" si="22"/>
        <v>7</v>
      </c>
      <c r="X509" s="80">
        <f t="shared" si="23"/>
        <v>1000</v>
      </c>
      <c r="Y509" s="82" t="s">
        <v>3584</v>
      </c>
      <c r="AF509" s="11"/>
      <c r="AG509" s="11"/>
      <c r="AH509" s="11"/>
      <c r="AI509" s="11"/>
      <c r="AJ509" s="11"/>
      <c r="AK509" s="11"/>
    </row>
    <row r="510" spans="1:37" ht="15.45" customHeight="1" x14ac:dyDescent="0.25">
      <c r="A510" s="31" t="s">
        <v>1686</v>
      </c>
      <c r="C510" s="37" t="s">
        <v>2173</v>
      </c>
      <c r="E510" s="37" t="s">
        <v>2827</v>
      </c>
      <c r="F510" s="24" t="s">
        <v>1472</v>
      </c>
      <c r="G510" s="25"/>
      <c r="P510" s="37" t="s">
        <v>160</v>
      </c>
      <c r="S510" s="10" t="s">
        <v>2433</v>
      </c>
      <c r="T510" s="11"/>
      <c r="U510" s="21">
        <v>1</v>
      </c>
      <c r="V510" s="21">
        <v>1</v>
      </c>
      <c r="W510" s="73">
        <f t="shared" si="22"/>
        <v>8</v>
      </c>
      <c r="X510" s="80">
        <f t="shared" si="23"/>
        <v>1001</v>
      </c>
      <c r="Y510" s="82" t="s">
        <v>3584</v>
      </c>
      <c r="AF510" s="11"/>
      <c r="AG510" s="11"/>
      <c r="AH510" s="11"/>
      <c r="AI510" s="11"/>
      <c r="AJ510" s="11"/>
      <c r="AK510" s="11"/>
    </row>
    <row r="511" spans="1:37" ht="15.45" customHeight="1" x14ac:dyDescent="0.25">
      <c r="A511" s="31" t="s">
        <v>1682</v>
      </c>
      <c r="C511" s="37" t="s">
        <v>2173</v>
      </c>
      <c r="E511" s="37" t="s">
        <v>2827</v>
      </c>
      <c r="F511" s="24" t="s">
        <v>1472</v>
      </c>
      <c r="G511" s="25"/>
      <c r="P511" s="37" t="s">
        <v>161</v>
      </c>
      <c r="S511" s="10" t="s">
        <v>2433</v>
      </c>
      <c r="T511" s="11"/>
      <c r="U511" s="21">
        <v>1</v>
      </c>
      <c r="V511" s="21">
        <v>1</v>
      </c>
      <c r="W511" s="73">
        <f t="shared" si="22"/>
        <v>9</v>
      </c>
      <c r="X511" s="80">
        <f t="shared" si="23"/>
        <v>1002</v>
      </c>
      <c r="Y511" s="82" t="s">
        <v>3584</v>
      </c>
      <c r="AF511" s="11"/>
      <c r="AG511" s="11"/>
      <c r="AH511" s="11"/>
      <c r="AI511" s="11"/>
      <c r="AJ511" s="11"/>
      <c r="AK511" s="11"/>
    </row>
    <row r="512" spans="1:37" ht="15.45" customHeight="1" x14ac:dyDescent="0.25">
      <c r="A512" s="31" t="s">
        <v>3128</v>
      </c>
      <c r="B512" s="24" t="s">
        <v>3127</v>
      </c>
      <c r="C512" s="37" t="s">
        <v>2173</v>
      </c>
      <c r="E512" s="37" t="s">
        <v>2827</v>
      </c>
      <c r="F512" s="24" t="s">
        <v>1472</v>
      </c>
      <c r="G512" s="25"/>
      <c r="P512" s="37" t="s">
        <v>162</v>
      </c>
      <c r="S512" s="10" t="s">
        <v>2433</v>
      </c>
      <c r="T512" s="11"/>
      <c r="U512" s="21">
        <v>1</v>
      </c>
      <c r="V512" s="21">
        <v>1</v>
      </c>
      <c r="W512" s="73">
        <f t="shared" si="22"/>
        <v>10</v>
      </c>
      <c r="X512" s="80">
        <f t="shared" si="23"/>
        <v>1003</v>
      </c>
      <c r="Y512" s="82" t="s">
        <v>3584</v>
      </c>
      <c r="AF512" s="11"/>
      <c r="AG512" s="11"/>
      <c r="AH512" s="11"/>
      <c r="AI512" s="11"/>
      <c r="AJ512" s="11"/>
      <c r="AK512" s="11"/>
    </row>
    <row r="513" spans="1:37" ht="15.45" customHeight="1" x14ac:dyDescent="0.25">
      <c r="A513" s="31" t="s">
        <v>1683</v>
      </c>
      <c r="C513" s="37" t="s">
        <v>2173</v>
      </c>
      <c r="E513" s="37" t="s">
        <v>2827</v>
      </c>
      <c r="F513" s="24" t="s">
        <v>1472</v>
      </c>
      <c r="G513" s="25"/>
      <c r="P513" s="37" t="s">
        <v>163</v>
      </c>
      <c r="S513" s="10" t="s">
        <v>2433</v>
      </c>
      <c r="T513" s="11"/>
      <c r="U513" s="21">
        <v>1</v>
      </c>
      <c r="V513" s="21">
        <v>1</v>
      </c>
      <c r="W513" s="73">
        <f t="shared" si="22"/>
        <v>11</v>
      </c>
      <c r="X513" s="80">
        <f t="shared" si="23"/>
        <v>1004</v>
      </c>
      <c r="Y513" s="82" t="s">
        <v>3584</v>
      </c>
      <c r="AF513" s="11"/>
      <c r="AG513" s="11"/>
      <c r="AH513" s="11"/>
      <c r="AI513" s="11"/>
      <c r="AJ513" s="11"/>
      <c r="AK513" s="11"/>
    </row>
    <row r="514" spans="1:37" ht="15.45" customHeight="1" x14ac:dyDescent="0.25">
      <c r="A514" s="31" t="s">
        <v>1876</v>
      </c>
      <c r="C514" s="37" t="s">
        <v>2173</v>
      </c>
      <c r="E514" s="37" t="s">
        <v>2827</v>
      </c>
      <c r="F514" s="24" t="s">
        <v>1472</v>
      </c>
      <c r="G514" s="25"/>
      <c r="P514" s="37" t="s">
        <v>164</v>
      </c>
      <c r="S514" s="10" t="s">
        <v>2433</v>
      </c>
      <c r="T514" s="11"/>
      <c r="U514" s="21">
        <v>1</v>
      </c>
      <c r="V514" s="21">
        <v>1</v>
      </c>
      <c r="W514" s="73">
        <f t="shared" si="22"/>
        <v>12</v>
      </c>
      <c r="X514" s="80">
        <f t="shared" si="23"/>
        <v>1005</v>
      </c>
      <c r="Y514" s="82" t="s">
        <v>3584</v>
      </c>
      <c r="AF514" s="11"/>
      <c r="AG514" s="11"/>
      <c r="AH514" s="11"/>
      <c r="AI514" s="11"/>
      <c r="AJ514" s="11"/>
      <c r="AK514" s="11"/>
    </row>
    <row r="515" spans="1:37" ht="15.45" customHeight="1" x14ac:dyDescent="0.25">
      <c r="A515" s="31" t="s">
        <v>1878</v>
      </c>
      <c r="C515" s="37" t="s">
        <v>2173</v>
      </c>
      <c r="E515" s="37" t="s">
        <v>2827</v>
      </c>
      <c r="F515" s="24" t="s">
        <v>1472</v>
      </c>
      <c r="G515" s="25"/>
      <c r="P515" s="37" t="s">
        <v>165</v>
      </c>
      <c r="S515" s="10" t="s">
        <v>2433</v>
      </c>
      <c r="T515" s="11"/>
      <c r="U515" s="21">
        <v>1</v>
      </c>
      <c r="V515" s="21">
        <v>1</v>
      </c>
      <c r="W515" s="73">
        <f t="shared" si="22"/>
        <v>13</v>
      </c>
      <c r="X515" s="80">
        <f t="shared" si="23"/>
        <v>1006</v>
      </c>
      <c r="Y515" s="82" t="s">
        <v>3584</v>
      </c>
      <c r="AF515" s="11"/>
      <c r="AG515" s="11"/>
      <c r="AH515" s="11"/>
      <c r="AI515" s="11"/>
      <c r="AJ515" s="11"/>
      <c r="AK515" s="11"/>
    </row>
    <row r="516" spans="1:37" ht="15.45" customHeight="1" x14ac:dyDescent="0.25">
      <c r="A516" s="31" t="s">
        <v>1895</v>
      </c>
      <c r="C516" s="37" t="s">
        <v>2173</v>
      </c>
      <c r="E516" s="37" t="s">
        <v>2827</v>
      </c>
      <c r="F516" s="24" t="s">
        <v>1472</v>
      </c>
      <c r="G516" s="25"/>
      <c r="P516" s="37" t="s">
        <v>166</v>
      </c>
      <c r="S516" s="10" t="s">
        <v>2433</v>
      </c>
      <c r="T516" s="11"/>
      <c r="U516" s="21">
        <v>1</v>
      </c>
      <c r="V516" s="21">
        <v>1</v>
      </c>
      <c r="W516" s="73">
        <f t="shared" si="22"/>
        <v>14</v>
      </c>
      <c r="X516" s="80">
        <f t="shared" si="23"/>
        <v>1007</v>
      </c>
      <c r="Y516" s="82" t="s">
        <v>3584</v>
      </c>
      <c r="AF516" s="11"/>
      <c r="AG516" s="11"/>
      <c r="AH516" s="11"/>
      <c r="AI516" s="11"/>
      <c r="AJ516" s="11"/>
      <c r="AK516" s="11"/>
    </row>
    <row r="517" spans="1:37" ht="15.45" customHeight="1" x14ac:dyDescent="0.25">
      <c r="A517" s="31" t="s">
        <v>1804</v>
      </c>
      <c r="C517" s="37" t="s">
        <v>2173</v>
      </c>
      <c r="E517" s="37" t="s">
        <v>2827</v>
      </c>
      <c r="F517" s="24" t="s">
        <v>1472</v>
      </c>
      <c r="G517" s="25"/>
      <c r="P517" s="37" t="s">
        <v>147</v>
      </c>
      <c r="S517" s="10" t="s">
        <v>2433</v>
      </c>
      <c r="T517" s="11"/>
      <c r="U517" s="21">
        <v>1</v>
      </c>
      <c r="V517" s="21">
        <v>1</v>
      </c>
      <c r="W517" s="73">
        <f t="shared" si="22"/>
        <v>15</v>
      </c>
      <c r="X517" s="80">
        <f t="shared" si="23"/>
        <v>1008</v>
      </c>
      <c r="Y517" s="82" t="s">
        <v>3584</v>
      </c>
      <c r="AF517" s="11"/>
      <c r="AG517" s="11"/>
      <c r="AH517" s="11"/>
      <c r="AI517" s="11"/>
      <c r="AJ517" s="11"/>
      <c r="AK517" s="11"/>
    </row>
    <row r="518" spans="1:37" ht="15.45" customHeight="1" x14ac:dyDescent="0.25">
      <c r="A518" s="31" t="s">
        <v>1716</v>
      </c>
      <c r="C518" s="37" t="s">
        <v>2173</v>
      </c>
      <c r="E518" s="37" t="s">
        <v>2827</v>
      </c>
      <c r="F518" s="24" t="s">
        <v>1472</v>
      </c>
      <c r="G518" s="25"/>
      <c r="P518" s="37" t="s">
        <v>232</v>
      </c>
      <c r="S518" s="10" t="s">
        <v>2433</v>
      </c>
      <c r="T518" s="11"/>
      <c r="U518" s="21">
        <v>1</v>
      </c>
      <c r="V518" s="21">
        <v>1</v>
      </c>
      <c r="W518" s="73">
        <f t="shared" si="22"/>
        <v>16</v>
      </c>
      <c r="X518" s="80">
        <f t="shared" si="23"/>
        <v>1009</v>
      </c>
      <c r="Y518" s="82" t="s">
        <v>3584</v>
      </c>
      <c r="AF518" s="11"/>
      <c r="AG518" s="11"/>
      <c r="AH518" s="11"/>
      <c r="AI518" s="11"/>
      <c r="AJ518" s="11"/>
      <c r="AK518" s="11"/>
    </row>
    <row r="519" spans="1:37" ht="15.45" customHeight="1" x14ac:dyDescent="0.25">
      <c r="A519" s="31" t="s">
        <v>1717</v>
      </c>
      <c r="C519" s="37" t="s">
        <v>2173</v>
      </c>
      <c r="E519" s="37" t="s">
        <v>2827</v>
      </c>
      <c r="F519" s="24" t="s">
        <v>1472</v>
      </c>
      <c r="G519" s="25"/>
      <c r="P519" s="37" t="s">
        <v>1563</v>
      </c>
      <c r="S519" s="10" t="s">
        <v>2433</v>
      </c>
      <c r="T519" s="11"/>
      <c r="U519" s="21">
        <v>1</v>
      </c>
      <c r="V519" s="21">
        <v>1</v>
      </c>
      <c r="W519" s="73">
        <f t="shared" si="22"/>
        <v>17</v>
      </c>
      <c r="X519" s="80">
        <f t="shared" si="23"/>
        <v>1010</v>
      </c>
      <c r="Y519" s="82" t="s">
        <v>3584</v>
      </c>
      <c r="AF519" s="11"/>
      <c r="AG519" s="11"/>
      <c r="AH519" s="11"/>
      <c r="AI519" s="11"/>
      <c r="AJ519" s="11"/>
      <c r="AK519" s="11"/>
    </row>
    <row r="520" spans="1:37" ht="15.45" customHeight="1" x14ac:dyDescent="0.25">
      <c r="A520" s="31" t="s">
        <v>2008</v>
      </c>
      <c r="C520" s="37" t="s">
        <v>2173</v>
      </c>
      <c r="E520" s="37" t="s">
        <v>2827</v>
      </c>
      <c r="F520" s="24" t="s">
        <v>1472</v>
      </c>
      <c r="G520" s="25"/>
      <c r="P520" s="37" t="s">
        <v>233</v>
      </c>
      <c r="S520" s="10" t="s">
        <v>2433</v>
      </c>
      <c r="T520" s="11"/>
      <c r="U520" s="21">
        <v>1</v>
      </c>
      <c r="V520" s="21">
        <v>1</v>
      </c>
      <c r="W520" s="73">
        <f t="shared" si="22"/>
        <v>18</v>
      </c>
      <c r="X520" s="80">
        <f t="shared" si="23"/>
        <v>1011</v>
      </c>
      <c r="Y520" s="82" t="s">
        <v>3584</v>
      </c>
      <c r="AF520" s="11"/>
      <c r="AG520" s="11"/>
      <c r="AH520" s="11"/>
      <c r="AI520" s="11"/>
      <c r="AJ520" s="11"/>
      <c r="AK520" s="11"/>
    </row>
    <row r="521" spans="1:37" ht="15.45" customHeight="1" x14ac:dyDescent="0.25">
      <c r="A521" s="31" t="s">
        <v>2006</v>
      </c>
      <c r="C521" s="37" t="s">
        <v>2173</v>
      </c>
      <c r="E521" s="37" t="s">
        <v>2827</v>
      </c>
      <c r="F521" s="24" t="s">
        <v>1472</v>
      </c>
      <c r="G521" s="25"/>
      <c r="P521" s="37" t="s">
        <v>234</v>
      </c>
      <c r="S521" s="10" t="s">
        <v>2433</v>
      </c>
      <c r="T521" s="11"/>
      <c r="U521" s="21">
        <v>1</v>
      </c>
      <c r="V521" s="21">
        <v>1</v>
      </c>
      <c r="W521" s="73">
        <f t="shared" si="22"/>
        <v>19</v>
      </c>
      <c r="X521" s="80">
        <f t="shared" si="23"/>
        <v>1012</v>
      </c>
      <c r="Y521" s="82" t="s">
        <v>3584</v>
      </c>
      <c r="AF521" s="11"/>
      <c r="AG521" s="11"/>
      <c r="AH521" s="11"/>
      <c r="AI521" s="11"/>
      <c r="AJ521" s="11"/>
      <c r="AK521" s="11"/>
    </row>
    <row r="522" spans="1:37" ht="15.45" customHeight="1" x14ac:dyDescent="0.25">
      <c r="A522" s="31" t="s">
        <v>2007</v>
      </c>
      <c r="C522" s="37" t="s">
        <v>2173</v>
      </c>
      <c r="E522" s="37" t="s">
        <v>2827</v>
      </c>
      <c r="F522" s="24" t="s">
        <v>1472</v>
      </c>
      <c r="G522" s="25"/>
      <c r="P522" s="37" t="s">
        <v>159</v>
      </c>
      <c r="S522" s="10" t="s">
        <v>2433</v>
      </c>
      <c r="T522" s="11"/>
      <c r="U522" s="21">
        <v>1</v>
      </c>
      <c r="V522" s="21">
        <v>1</v>
      </c>
      <c r="W522" s="73">
        <f t="shared" si="22"/>
        <v>20</v>
      </c>
      <c r="X522" s="80">
        <f t="shared" si="23"/>
        <v>1013</v>
      </c>
      <c r="Y522" s="82" t="s">
        <v>3584</v>
      </c>
      <c r="AF522" s="11"/>
      <c r="AG522" s="11"/>
      <c r="AH522" s="11"/>
      <c r="AI522" s="11"/>
      <c r="AJ522" s="11"/>
      <c r="AK522" s="11"/>
    </row>
    <row r="523" spans="1:37" ht="15.45" customHeight="1" x14ac:dyDescent="0.25">
      <c r="A523" s="31" t="s">
        <v>1880</v>
      </c>
      <c r="C523" s="37" t="s">
        <v>2173</v>
      </c>
      <c r="E523" s="37" t="s">
        <v>2827</v>
      </c>
      <c r="F523" s="24" t="s">
        <v>1472</v>
      </c>
      <c r="G523" s="25"/>
      <c r="P523" s="37" t="s">
        <v>235</v>
      </c>
      <c r="S523" s="10" t="s">
        <v>2433</v>
      </c>
      <c r="T523" s="11"/>
      <c r="U523" s="21">
        <v>1</v>
      </c>
      <c r="V523" s="21">
        <v>1</v>
      </c>
      <c r="W523" s="73">
        <f t="shared" si="22"/>
        <v>21</v>
      </c>
      <c r="X523" s="80">
        <f t="shared" si="23"/>
        <v>1014</v>
      </c>
      <c r="Y523" s="82" t="s">
        <v>3584</v>
      </c>
      <c r="AF523" s="11"/>
      <c r="AG523" s="11"/>
      <c r="AH523" s="11"/>
      <c r="AI523" s="11"/>
      <c r="AJ523" s="11"/>
      <c r="AK523" s="11"/>
    </row>
    <row r="524" spans="1:37" ht="15.45" customHeight="1" x14ac:dyDescent="0.25">
      <c r="A524" s="31" t="s">
        <v>1789</v>
      </c>
      <c r="C524" s="37" t="s">
        <v>2173</v>
      </c>
      <c r="E524" s="37" t="s">
        <v>2827</v>
      </c>
      <c r="F524" s="24" t="s">
        <v>1472</v>
      </c>
      <c r="G524" s="25"/>
      <c r="P524" s="37" t="s">
        <v>236</v>
      </c>
      <c r="S524" s="10" t="s">
        <v>2433</v>
      </c>
      <c r="T524" s="11"/>
      <c r="U524" s="21">
        <v>1</v>
      </c>
      <c r="V524" s="21">
        <v>1</v>
      </c>
      <c r="W524" s="73">
        <f t="shared" si="22"/>
        <v>22</v>
      </c>
      <c r="X524" s="80">
        <f t="shared" si="23"/>
        <v>1015</v>
      </c>
      <c r="Y524" s="82" t="s">
        <v>3584</v>
      </c>
      <c r="AF524" s="11"/>
      <c r="AG524" s="11"/>
      <c r="AH524" s="11"/>
      <c r="AI524" s="11"/>
      <c r="AJ524" s="11"/>
      <c r="AK524" s="11"/>
    </row>
    <row r="525" spans="1:37" ht="15.45" customHeight="1" x14ac:dyDescent="0.25">
      <c r="A525" s="31" t="s">
        <v>3130</v>
      </c>
      <c r="B525" s="24" t="s">
        <v>3129</v>
      </c>
      <c r="C525" s="37" t="s">
        <v>2173</v>
      </c>
      <c r="E525" s="37" t="s">
        <v>2827</v>
      </c>
      <c r="F525" s="24" t="s">
        <v>1472</v>
      </c>
      <c r="G525" s="25"/>
      <c r="P525" s="37" t="s">
        <v>163</v>
      </c>
      <c r="S525" s="10" t="s">
        <v>2433</v>
      </c>
      <c r="T525" s="11"/>
      <c r="U525" s="21">
        <v>1</v>
      </c>
      <c r="V525" s="21">
        <v>1</v>
      </c>
      <c r="W525" s="73">
        <f t="shared" si="22"/>
        <v>23</v>
      </c>
      <c r="X525" s="80">
        <f t="shared" si="23"/>
        <v>1016</v>
      </c>
      <c r="Y525" s="82" t="s">
        <v>3584</v>
      </c>
      <c r="AF525" s="11"/>
      <c r="AG525" s="11"/>
      <c r="AH525" s="11"/>
      <c r="AI525" s="11"/>
      <c r="AJ525" s="11"/>
      <c r="AK525" s="11"/>
    </row>
    <row r="526" spans="1:37" ht="15.45" customHeight="1" x14ac:dyDescent="0.25">
      <c r="A526" s="31" t="s">
        <v>845</v>
      </c>
      <c r="C526" s="37" t="s">
        <v>2173</v>
      </c>
      <c r="E526" s="37" t="s">
        <v>2827</v>
      </c>
      <c r="F526" s="24" t="s">
        <v>1472</v>
      </c>
      <c r="G526" s="25"/>
      <c r="P526" s="37" t="s">
        <v>237</v>
      </c>
      <c r="S526" s="10" t="s">
        <v>2433</v>
      </c>
      <c r="T526" s="11"/>
      <c r="U526" s="21">
        <v>1</v>
      </c>
      <c r="V526" s="21">
        <v>1</v>
      </c>
      <c r="W526" s="73">
        <f t="shared" si="22"/>
        <v>24</v>
      </c>
      <c r="X526" s="80">
        <f t="shared" si="23"/>
        <v>1017</v>
      </c>
      <c r="Y526" s="82" t="s">
        <v>3584</v>
      </c>
      <c r="AF526" s="11"/>
      <c r="AG526" s="11"/>
      <c r="AH526" s="11"/>
      <c r="AI526" s="11"/>
      <c r="AJ526" s="11"/>
      <c r="AK526" s="11"/>
    </row>
    <row r="527" spans="1:37" ht="15.45" customHeight="1" x14ac:dyDescent="0.25">
      <c r="A527" s="31" t="s">
        <v>926</v>
      </c>
      <c r="C527" s="37" t="s">
        <v>2173</v>
      </c>
      <c r="E527" s="37" t="s">
        <v>2827</v>
      </c>
      <c r="F527" s="24" t="s">
        <v>1472</v>
      </c>
      <c r="G527" s="25"/>
      <c r="P527" s="37" t="s">
        <v>336</v>
      </c>
      <c r="S527" s="10" t="s">
        <v>2433</v>
      </c>
      <c r="T527" s="11"/>
      <c r="U527" s="21">
        <v>1</v>
      </c>
      <c r="V527" s="21">
        <v>1</v>
      </c>
      <c r="W527" s="73">
        <f t="shared" si="22"/>
        <v>25</v>
      </c>
      <c r="X527" s="80">
        <f t="shared" si="23"/>
        <v>1018</v>
      </c>
      <c r="Y527" s="82" t="s">
        <v>3584</v>
      </c>
      <c r="AF527" s="11"/>
      <c r="AG527" s="11"/>
      <c r="AH527" s="11"/>
      <c r="AI527" s="11"/>
      <c r="AJ527" s="11"/>
      <c r="AK527" s="11"/>
    </row>
    <row r="528" spans="1:37" ht="15.45" customHeight="1" x14ac:dyDescent="0.25">
      <c r="A528" s="31" t="s">
        <v>927</v>
      </c>
      <c r="C528" s="37" t="s">
        <v>2173</v>
      </c>
      <c r="E528" s="37" t="s">
        <v>2827</v>
      </c>
      <c r="F528" s="24" t="s">
        <v>1472</v>
      </c>
      <c r="G528" s="25"/>
      <c r="S528" s="10" t="s">
        <v>2433</v>
      </c>
      <c r="T528" s="11"/>
      <c r="U528" s="21">
        <v>1</v>
      </c>
      <c r="V528" s="21">
        <v>1</v>
      </c>
      <c r="W528" s="73">
        <f t="shared" si="22"/>
        <v>26</v>
      </c>
      <c r="X528" s="80">
        <f t="shared" si="23"/>
        <v>1019</v>
      </c>
      <c r="Y528" s="82" t="s">
        <v>3584</v>
      </c>
      <c r="AF528" s="11"/>
      <c r="AG528" s="11"/>
      <c r="AH528" s="11"/>
      <c r="AI528" s="11"/>
      <c r="AJ528" s="11"/>
      <c r="AK528" s="11"/>
    </row>
    <row r="529" spans="1:37" ht="15.45" customHeight="1" x14ac:dyDescent="0.25">
      <c r="A529" s="31" t="s">
        <v>1380</v>
      </c>
      <c r="C529" s="37" t="s">
        <v>2173</v>
      </c>
      <c r="E529" s="37" t="s">
        <v>2827</v>
      </c>
      <c r="F529" s="24" t="s">
        <v>1472</v>
      </c>
      <c r="G529" s="25"/>
      <c r="P529" s="37" t="s">
        <v>238</v>
      </c>
      <c r="S529" s="10" t="s">
        <v>2433</v>
      </c>
      <c r="T529" s="11"/>
      <c r="U529" s="21">
        <v>1</v>
      </c>
      <c r="V529" s="21">
        <v>1</v>
      </c>
      <c r="W529" s="73">
        <f t="shared" si="22"/>
        <v>27</v>
      </c>
      <c r="X529" s="80">
        <f t="shared" si="23"/>
        <v>1020</v>
      </c>
      <c r="Y529" s="82" t="s">
        <v>3584</v>
      </c>
      <c r="AF529" s="11"/>
      <c r="AG529" s="11"/>
      <c r="AH529" s="11"/>
      <c r="AI529" s="11"/>
      <c r="AJ529" s="11"/>
      <c r="AK529" s="11"/>
    </row>
    <row r="530" spans="1:37" ht="15.45" customHeight="1" x14ac:dyDescent="0.25">
      <c r="A530" s="31" t="s">
        <v>1240</v>
      </c>
      <c r="C530" s="37" t="s">
        <v>2173</v>
      </c>
      <c r="E530" s="37" t="s">
        <v>2827</v>
      </c>
      <c r="F530" s="24" t="s">
        <v>1472</v>
      </c>
      <c r="G530" s="25"/>
      <c r="P530" s="37" t="s">
        <v>237</v>
      </c>
      <c r="S530" s="10" t="s">
        <v>2433</v>
      </c>
      <c r="T530" s="11"/>
      <c r="U530" s="21">
        <v>1</v>
      </c>
      <c r="V530" s="21">
        <v>1</v>
      </c>
      <c r="W530" s="73">
        <f t="shared" si="22"/>
        <v>28</v>
      </c>
      <c r="X530" s="80">
        <f t="shared" si="23"/>
        <v>1021</v>
      </c>
      <c r="Y530" s="82" t="s">
        <v>3584</v>
      </c>
      <c r="AF530" s="11"/>
      <c r="AG530" s="11"/>
      <c r="AH530" s="11"/>
      <c r="AI530" s="11"/>
      <c r="AJ530" s="11"/>
      <c r="AK530" s="11"/>
    </row>
    <row r="531" spans="1:37" ht="15.45" customHeight="1" x14ac:dyDescent="0.25">
      <c r="A531" s="31" t="s">
        <v>1137</v>
      </c>
      <c r="C531" s="37" t="s">
        <v>2173</v>
      </c>
      <c r="E531" s="37" t="s">
        <v>2827</v>
      </c>
      <c r="F531" s="24" t="s">
        <v>1472</v>
      </c>
      <c r="G531" s="25"/>
      <c r="P531" s="37" t="s">
        <v>239</v>
      </c>
      <c r="S531" s="10" t="s">
        <v>2433</v>
      </c>
      <c r="T531" s="11"/>
      <c r="U531" s="21">
        <v>1</v>
      </c>
      <c r="V531" s="21">
        <v>1</v>
      </c>
      <c r="W531" s="73">
        <f t="shared" si="22"/>
        <v>29</v>
      </c>
      <c r="X531" s="80">
        <f t="shared" si="23"/>
        <v>1022</v>
      </c>
      <c r="Y531" s="82" t="s">
        <v>3584</v>
      </c>
      <c r="AF531" s="11"/>
      <c r="AG531" s="11"/>
      <c r="AH531" s="11"/>
      <c r="AI531" s="11"/>
      <c r="AJ531" s="11"/>
      <c r="AK531" s="11"/>
    </row>
    <row r="532" spans="1:37" ht="15.45" customHeight="1" x14ac:dyDescent="0.25">
      <c r="A532" s="31" t="s">
        <v>1481</v>
      </c>
      <c r="C532" s="37" t="s">
        <v>2173</v>
      </c>
      <c r="E532" s="37" t="s">
        <v>2827</v>
      </c>
      <c r="F532" s="24" t="s">
        <v>1472</v>
      </c>
      <c r="G532" s="25"/>
      <c r="P532" s="37" t="s">
        <v>240</v>
      </c>
      <c r="S532" s="10" t="s">
        <v>2433</v>
      </c>
      <c r="T532" s="11"/>
      <c r="U532" s="21">
        <v>1</v>
      </c>
      <c r="V532" s="21">
        <v>1</v>
      </c>
      <c r="W532" s="73">
        <f t="shared" si="22"/>
        <v>30</v>
      </c>
      <c r="X532" s="80">
        <f t="shared" si="23"/>
        <v>1023</v>
      </c>
      <c r="Y532" s="82" t="s">
        <v>3584</v>
      </c>
      <c r="AF532" s="11"/>
      <c r="AG532" s="11"/>
      <c r="AH532" s="11"/>
      <c r="AI532" s="11"/>
      <c r="AJ532" s="11"/>
      <c r="AK532" s="11"/>
    </row>
    <row r="533" spans="1:37" ht="15.45" customHeight="1" x14ac:dyDescent="0.25">
      <c r="A533" s="31" t="s">
        <v>1381</v>
      </c>
      <c r="C533" s="37" t="s">
        <v>2173</v>
      </c>
      <c r="E533" s="37" t="s">
        <v>2827</v>
      </c>
      <c r="F533" s="24" t="s">
        <v>1472</v>
      </c>
      <c r="G533" s="25"/>
      <c r="P533" s="37" t="s">
        <v>152</v>
      </c>
      <c r="S533" s="10" t="s">
        <v>2433</v>
      </c>
      <c r="T533" s="11"/>
      <c r="U533" s="21">
        <v>1</v>
      </c>
      <c r="V533" s="21">
        <v>1</v>
      </c>
      <c r="W533" s="73">
        <f t="shared" si="22"/>
        <v>31</v>
      </c>
      <c r="X533" s="80">
        <f t="shared" si="23"/>
        <v>1024</v>
      </c>
      <c r="Y533" s="82" t="s">
        <v>3584</v>
      </c>
      <c r="AF533" s="11"/>
      <c r="AG533" s="11"/>
      <c r="AH533" s="11"/>
      <c r="AI533" s="11"/>
      <c r="AJ533" s="11"/>
      <c r="AK533" s="11"/>
    </row>
    <row r="534" spans="1:37" ht="15.45" customHeight="1" x14ac:dyDescent="0.25">
      <c r="A534" s="31" t="s">
        <v>1706</v>
      </c>
      <c r="C534" s="37" t="s">
        <v>2173</v>
      </c>
      <c r="E534" s="37" t="s">
        <v>2827</v>
      </c>
      <c r="F534" s="24" t="s">
        <v>1472</v>
      </c>
      <c r="G534" s="25"/>
      <c r="P534" s="37" t="s">
        <v>153</v>
      </c>
      <c r="S534" s="10" t="s">
        <v>2433</v>
      </c>
      <c r="T534" s="11"/>
      <c r="U534" s="21">
        <v>1</v>
      </c>
      <c r="V534" s="21">
        <v>1</v>
      </c>
      <c r="W534" s="73">
        <f t="shared" si="22"/>
        <v>32</v>
      </c>
      <c r="X534" s="80">
        <f t="shared" si="23"/>
        <v>1025</v>
      </c>
      <c r="Y534" s="82" t="s">
        <v>3584</v>
      </c>
      <c r="AF534" s="11"/>
      <c r="AG534" s="11"/>
      <c r="AH534" s="11"/>
      <c r="AI534" s="11"/>
      <c r="AJ534" s="11"/>
      <c r="AK534" s="11"/>
    </row>
    <row r="535" spans="1:37" ht="15.45" customHeight="1" x14ac:dyDescent="0.25">
      <c r="A535" s="31" t="s">
        <v>1799</v>
      </c>
      <c r="C535" s="37" t="s">
        <v>2173</v>
      </c>
      <c r="E535" s="37" t="s">
        <v>2827</v>
      </c>
      <c r="F535" s="24" t="s">
        <v>1472</v>
      </c>
      <c r="G535" s="25"/>
      <c r="S535" s="10" t="s">
        <v>2433</v>
      </c>
      <c r="T535" s="11"/>
      <c r="U535" s="21">
        <v>1</v>
      </c>
      <c r="V535" s="21">
        <v>1</v>
      </c>
      <c r="W535" s="73">
        <f t="shared" si="22"/>
        <v>33</v>
      </c>
      <c r="X535" s="80">
        <f t="shared" si="23"/>
        <v>1026</v>
      </c>
      <c r="Y535" s="82" t="s">
        <v>3584</v>
      </c>
      <c r="AF535" s="11"/>
      <c r="AG535" s="11"/>
      <c r="AH535" s="11"/>
      <c r="AI535" s="11"/>
      <c r="AJ535" s="11"/>
      <c r="AK535" s="11"/>
    </row>
    <row r="536" spans="1:37" ht="15.45" customHeight="1" x14ac:dyDescent="0.25">
      <c r="A536" s="31" t="s">
        <v>6002</v>
      </c>
      <c r="B536" s="24" t="s">
        <v>6001</v>
      </c>
      <c r="C536" s="37" t="s">
        <v>2173</v>
      </c>
      <c r="E536" s="37" t="s">
        <v>2827</v>
      </c>
      <c r="G536" s="25"/>
      <c r="H536" s="201" t="s">
        <v>6000</v>
      </c>
      <c r="J536" s="214" t="s">
        <v>5778</v>
      </c>
      <c r="O536" s="37" t="s">
        <v>5464</v>
      </c>
      <c r="P536" s="37" t="s">
        <v>1463</v>
      </c>
      <c r="Q536" s="37" t="s">
        <v>3506</v>
      </c>
      <c r="S536" s="10" t="s">
        <v>3412</v>
      </c>
      <c r="T536" s="11"/>
      <c r="U536" s="21">
        <v>1</v>
      </c>
      <c r="V536" s="21">
        <v>1</v>
      </c>
      <c r="W536" s="73">
        <f t="shared" si="22"/>
        <v>34</v>
      </c>
      <c r="X536" s="80">
        <f t="shared" si="23"/>
        <v>1027</v>
      </c>
      <c r="Y536" s="82" t="s">
        <v>3591</v>
      </c>
      <c r="Z536" s="24" t="s">
        <v>2885</v>
      </c>
      <c r="AB536" s="177">
        <v>44439</v>
      </c>
      <c r="AC536" s="84" t="s">
        <v>5308</v>
      </c>
      <c r="AF536" s="11"/>
      <c r="AG536" s="11"/>
      <c r="AH536" s="11"/>
      <c r="AI536" s="11"/>
      <c r="AJ536" s="11"/>
      <c r="AK536" s="11"/>
    </row>
    <row r="537" spans="1:37" ht="15.45" customHeight="1" x14ac:dyDescent="0.25">
      <c r="A537" s="31" t="s">
        <v>28</v>
      </c>
      <c r="C537" s="37" t="s">
        <v>2173</v>
      </c>
      <c r="E537" s="37" t="s">
        <v>2827</v>
      </c>
      <c r="F537" s="24" t="s">
        <v>1472</v>
      </c>
      <c r="G537" s="25"/>
      <c r="S537" s="10" t="s">
        <v>2433</v>
      </c>
      <c r="T537" s="11"/>
      <c r="U537" s="21">
        <v>1</v>
      </c>
      <c r="V537" s="21">
        <v>1</v>
      </c>
      <c r="W537" s="73">
        <f t="shared" si="22"/>
        <v>35</v>
      </c>
      <c r="X537" s="80">
        <f t="shared" si="23"/>
        <v>1028</v>
      </c>
      <c r="Y537" s="82" t="s">
        <v>3592</v>
      </c>
      <c r="Z537" s="24" t="s">
        <v>2884</v>
      </c>
      <c r="AF537" s="11"/>
      <c r="AG537" s="11"/>
      <c r="AH537" s="11"/>
      <c r="AI537" s="11"/>
      <c r="AJ537" s="11"/>
      <c r="AK537" s="11"/>
    </row>
    <row r="538" spans="1:37" ht="15.45" customHeight="1" x14ac:dyDescent="0.25">
      <c r="A538" s="31" t="s">
        <v>1800</v>
      </c>
      <c r="C538" s="37" t="s">
        <v>2173</v>
      </c>
      <c r="E538" s="37" t="s">
        <v>2827</v>
      </c>
      <c r="F538" s="24" t="s">
        <v>1473</v>
      </c>
      <c r="G538" s="25"/>
      <c r="P538" s="37" t="s">
        <v>29</v>
      </c>
      <c r="S538" s="10" t="s">
        <v>2433</v>
      </c>
      <c r="T538" s="11"/>
      <c r="U538" s="21">
        <v>1</v>
      </c>
      <c r="V538" s="21">
        <v>1</v>
      </c>
      <c r="W538" s="73">
        <f t="shared" si="22"/>
        <v>36</v>
      </c>
      <c r="X538" s="80">
        <f t="shared" si="23"/>
        <v>1029</v>
      </c>
      <c r="Y538" s="82" t="s">
        <v>3584</v>
      </c>
      <c r="AF538" s="11"/>
      <c r="AG538" s="11"/>
      <c r="AH538" s="11"/>
      <c r="AI538" s="11"/>
      <c r="AJ538" s="11"/>
      <c r="AK538" s="11"/>
    </row>
    <row r="539" spans="1:37" ht="15.45" customHeight="1" x14ac:dyDescent="0.25">
      <c r="A539" s="31" t="s">
        <v>1503</v>
      </c>
      <c r="C539" s="37" t="s">
        <v>2173</v>
      </c>
      <c r="E539" s="37" t="s">
        <v>2827</v>
      </c>
      <c r="F539" s="24" t="s">
        <v>1473</v>
      </c>
      <c r="G539" s="25"/>
      <c r="P539" s="37" t="s">
        <v>29</v>
      </c>
      <c r="S539" s="10" t="s">
        <v>2433</v>
      </c>
      <c r="T539" s="11"/>
      <c r="U539" s="21">
        <v>1</v>
      </c>
      <c r="V539" s="21">
        <v>1</v>
      </c>
      <c r="W539" s="73">
        <f t="shared" si="22"/>
        <v>37</v>
      </c>
      <c r="X539" s="80">
        <f t="shared" si="23"/>
        <v>1030</v>
      </c>
      <c r="Y539" s="82" t="s">
        <v>3584</v>
      </c>
      <c r="AF539" s="11"/>
      <c r="AG539" s="11"/>
      <c r="AH539" s="11"/>
      <c r="AI539" s="11"/>
      <c r="AJ539" s="11"/>
      <c r="AK539" s="11"/>
    </row>
    <row r="540" spans="1:37" ht="15.45" customHeight="1" x14ac:dyDescent="0.25">
      <c r="A540" s="31" t="s">
        <v>1612</v>
      </c>
      <c r="C540" s="37" t="s">
        <v>2173</v>
      </c>
      <c r="E540" s="37" t="s">
        <v>2827</v>
      </c>
      <c r="F540" s="24" t="s">
        <v>1473</v>
      </c>
      <c r="G540" s="25"/>
      <c r="P540" s="37" t="s">
        <v>30</v>
      </c>
      <c r="S540" s="10" t="s">
        <v>2433</v>
      </c>
      <c r="T540" s="11"/>
      <c r="U540" s="21">
        <v>1</v>
      </c>
      <c r="V540" s="21">
        <v>1</v>
      </c>
      <c r="W540" s="73">
        <f t="shared" si="22"/>
        <v>38</v>
      </c>
      <c r="X540" s="80">
        <f t="shared" si="23"/>
        <v>1031</v>
      </c>
      <c r="Y540" s="82" t="s">
        <v>3584</v>
      </c>
      <c r="AF540" s="11"/>
      <c r="AG540" s="11"/>
      <c r="AH540" s="11"/>
      <c r="AI540" s="11"/>
      <c r="AJ540" s="11"/>
      <c r="AK540" s="11"/>
    </row>
    <row r="541" spans="1:37" ht="15.45" customHeight="1" x14ac:dyDescent="0.25">
      <c r="A541" s="31" t="s">
        <v>1236</v>
      </c>
      <c r="C541" s="37" t="s">
        <v>2173</v>
      </c>
      <c r="E541" s="37" t="s">
        <v>2827</v>
      </c>
      <c r="F541" s="24" t="s">
        <v>1473</v>
      </c>
      <c r="G541" s="25"/>
      <c r="P541" s="37" t="s">
        <v>29</v>
      </c>
      <c r="S541" s="10" t="s">
        <v>2433</v>
      </c>
      <c r="T541" s="11"/>
      <c r="U541" s="21">
        <v>1</v>
      </c>
      <c r="V541" s="21">
        <v>1</v>
      </c>
      <c r="W541" s="73">
        <f t="shared" si="22"/>
        <v>39</v>
      </c>
      <c r="X541" s="80">
        <f t="shared" si="23"/>
        <v>1032</v>
      </c>
      <c r="Y541" s="82" t="s">
        <v>3584</v>
      </c>
      <c r="AF541" s="11"/>
      <c r="AG541" s="11"/>
      <c r="AH541" s="11"/>
      <c r="AI541" s="11"/>
      <c r="AJ541" s="11"/>
      <c r="AK541" s="11"/>
    </row>
    <row r="542" spans="1:37" ht="15.45" customHeight="1" x14ac:dyDescent="0.25">
      <c r="A542" s="31" t="s">
        <v>1241</v>
      </c>
      <c r="C542" s="37" t="s">
        <v>2173</v>
      </c>
      <c r="E542" s="37" t="s">
        <v>2827</v>
      </c>
      <c r="F542" s="24" t="s">
        <v>1473</v>
      </c>
      <c r="G542" s="25"/>
      <c r="P542" s="37" t="s">
        <v>31</v>
      </c>
      <c r="S542" s="10" t="s">
        <v>2433</v>
      </c>
      <c r="T542" s="11"/>
      <c r="U542" s="21">
        <v>1</v>
      </c>
      <c r="V542" s="21">
        <v>1</v>
      </c>
      <c r="W542" s="73">
        <f t="shared" si="22"/>
        <v>40</v>
      </c>
      <c r="X542" s="80">
        <f t="shared" si="23"/>
        <v>1033</v>
      </c>
      <c r="Y542" s="82" t="s">
        <v>3584</v>
      </c>
      <c r="AF542" s="11"/>
      <c r="AG542" s="11"/>
      <c r="AH542" s="11"/>
      <c r="AI542" s="11"/>
      <c r="AJ542" s="11"/>
      <c r="AK542" s="11"/>
    </row>
    <row r="543" spans="1:37" ht="15.45" customHeight="1" x14ac:dyDescent="0.25">
      <c r="A543" s="31" t="s">
        <v>1589</v>
      </c>
      <c r="C543" s="37" t="s">
        <v>2173</v>
      </c>
      <c r="E543" s="37" t="s">
        <v>2827</v>
      </c>
      <c r="F543" s="24" t="s">
        <v>1473</v>
      </c>
      <c r="G543" s="25"/>
      <c r="P543" s="37" t="s">
        <v>100</v>
      </c>
      <c r="S543" s="10" t="s">
        <v>2433</v>
      </c>
      <c r="T543" s="11"/>
      <c r="U543" s="21">
        <v>1</v>
      </c>
      <c r="V543" s="21">
        <v>1</v>
      </c>
      <c r="W543" s="73">
        <f t="shared" si="22"/>
        <v>41</v>
      </c>
      <c r="X543" s="80">
        <f t="shared" si="23"/>
        <v>1034</v>
      </c>
      <c r="Y543" s="82" t="s">
        <v>3584</v>
      </c>
      <c r="AF543" s="11"/>
      <c r="AG543" s="11"/>
      <c r="AH543" s="11"/>
      <c r="AI543" s="11"/>
      <c r="AJ543" s="11"/>
      <c r="AK543" s="11"/>
    </row>
    <row r="544" spans="1:37" ht="15.45" customHeight="1" x14ac:dyDescent="0.25">
      <c r="A544" s="31" t="s">
        <v>1707</v>
      </c>
      <c r="C544" s="37" t="s">
        <v>2173</v>
      </c>
      <c r="E544" s="37" t="s">
        <v>2827</v>
      </c>
      <c r="F544" s="24" t="s">
        <v>1473</v>
      </c>
      <c r="G544" s="25"/>
      <c r="P544" s="37" t="s">
        <v>101</v>
      </c>
      <c r="S544" s="10" t="s">
        <v>2433</v>
      </c>
      <c r="T544" s="11"/>
      <c r="U544" s="21">
        <v>1</v>
      </c>
      <c r="V544" s="21">
        <v>1</v>
      </c>
      <c r="W544" s="73">
        <f t="shared" si="22"/>
        <v>42</v>
      </c>
      <c r="X544" s="80">
        <f t="shared" si="23"/>
        <v>1035</v>
      </c>
      <c r="Y544" s="82" t="s">
        <v>3584</v>
      </c>
      <c r="AF544" s="11"/>
      <c r="AG544" s="11"/>
      <c r="AH544" s="11"/>
      <c r="AI544" s="11"/>
      <c r="AJ544" s="11"/>
      <c r="AK544" s="11"/>
    </row>
    <row r="545" spans="1:37" ht="15.45" customHeight="1" x14ac:dyDescent="0.25">
      <c r="A545" s="31" t="s">
        <v>1590</v>
      </c>
      <c r="C545" s="37" t="s">
        <v>2173</v>
      </c>
      <c r="E545" s="37" t="s">
        <v>2827</v>
      </c>
      <c r="F545" s="24" t="s">
        <v>1473</v>
      </c>
      <c r="G545" s="25"/>
      <c r="P545" s="37" t="s">
        <v>183</v>
      </c>
      <c r="S545" s="10" t="s">
        <v>2433</v>
      </c>
      <c r="T545" s="11"/>
      <c r="U545" s="21">
        <v>1</v>
      </c>
      <c r="V545" s="21">
        <v>1</v>
      </c>
      <c r="W545" s="73">
        <f t="shared" si="22"/>
        <v>43</v>
      </c>
      <c r="X545" s="80">
        <f t="shared" si="23"/>
        <v>1036</v>
      </c>
      <c r="Y545" s="82" t="s">
        <v>3584</v>
      </c>
      <c r="AF545" s="11"/>
      <c r="AG545" s="11"/>
      <c r="AH545" s="11"/>
      <c r="AI545" s="11"/>
      <c r="AJ545" s="11"/>
      <c r="AK545" s="11"/>
    </row>
    <row r="546" spans="1:37" ht="15.45" customHeight="1" x14ac:dyDescent="0.25">
      <c r="A546" s="31" t="s">
        <v>1123</v>
      </c>
      <c r="C546" s="37" t="s">
        <v>2173</v>
      </c>
      <c r="E546" s="37" t="s">
        <v>2827</v>
      </c>
      <c r="F546" s="24" t="s">
        <v>1473</v>
      </c>
      <c r="G546" s="25"/>
      <c r="P546" s="37" t="s">
        <v>162</v>
      </c>
      <c r="S546" s="10" t="s">
        <v>2433</v>
      </c>
      <c r="T546" s="11"/>
      <c r="U546" s="21">
        <v>1</v>
      </c>
      <c r="V546" s="21">
        <v>1</v>
      </c>
      <c r="W546" s="73">
        <f t="shared" si="22"/>
        <v>44</v>
      </c>
      <c r="X546" s="80">
        <f t="shared" si="23"/>
        <v>1037</v>
      </c>
      <c r="Y546" s="82" t="s">
        <v>3584</v>
      </c>
      <c r="AF546" s="11"/>
      <c r="AG546" s="11"/>
      <c r="AH546" s="11"/>
      <c r="AI546" s="11"/>
      <c r="AJ546" s="11"/>
      <c r="AK546" s="11"/>
    </row>
    <row r="547" spans="1:37" ht="12.75" customHeight="1" x14ac:dyDescent="0.25">
      <c r="A547" s="31" t="s">
        <v>1245</v>
      </c>
      <c r="C547" s="37" t="s">
        <v>2173</v>
      </c>
      <c r="E547" s="37" t="s">
        <v>2827</v>
      </c>
      <c r="F547" s="24" t="s">
        <v>1473</v>
      </c>
      <c r="G547" s="25"/>
      <c r="P547" s="37" t="s">
        <v>102</v>
      </c>
      <c r="S547" s="10" t="s">
        <v>2433</v>
      </c>
      <c r="T547" s="11"/>
      <c r="U547" s="21">
        <v>1</v>
      </c>
      <c r="V547" s="21">
        <v>1</v>
      </c>
      <c r="W547" s="73">
        <f t="shared" si="22"/>
        <v>45</v>
      </c>
      <c r="X547" s="80">
        <f t="shared" si="23"/>
        <v>1038</v>
      </c>
      <c r="Y547" s="82" t="s">
        <v>3584</v>
      </c>
      <c r="AF547" s="11"/>
      <c r="AG547" s="11"/>
      <c r="AH547" s="11"/>
      <c r="AI547" s="11"/>
      <c r="AJ547" s="11"/>
      <c r="AK547" s="11"/>
    </row>
    <row r="548" spans="1:37" ht="15.45" customHeight="1" x14ac:dyDescent="0.25">
      <c r="A548" s="31" t="s">
        <v>1710</v>
      </c>
      <c r="C548" s="37" t="s">
        <v>2173</v>
      </c>
      <c r="E548" s="37" t="s">
        <v>2827</v>
      </c>
      <c r="F548" s="24" t="s">
        <v>1473</v>
      </c>
      <c r="G548" s="25"/>
      <c r="P548" s="37" t="s">
        <v>103</v>
      </c>
      <c r="S548" s="10" t="s">
        <v>2433</v>
      </c>
      <c r="T548" s="11"/>
      <c r="U548" s="21">
        <v>1</v>
      </c>
      <c r="V548" s="21">
        <v>1</v>
      </c>
      <c r="W548" s="73">
        <f t="shared" si="22"/>
        <v>46</v>
      </c>
      <c r="X548" s="80">
        <f t="shared" si="23"/>
        <v>1039</v>
      </c>
      <c r="Y548" s="82" t="s">
        <v>3584</v>
      </c>
      <c r="AF548" s="11"/>
      <c r="AG548" s="11"/>
      <c r="AH548" s="11"/>
      <c r="AI548" s="11"/>
      <c r="AJ548" s="11"/>
      <c r="AK548" s="11"/>
    </row>
    <row r="549" spans="1:37" ht="15.45" customHeight="1" x14ac:dyDescent="0.25">
      <c r="A549" s="31" t="s">
        <v>1704</v>
      </c>
      <c r="C549" s="37" t="s">
        <v>2173</v>
      </c>
      <c r="E549" s="37" t="s">
        <v>2827</v>
      </c>
      <c r="F549" s="24" t="s">
        <v>1473</v>
      </c>
      <c r="G549" s="25"/>
      <c r="P549" s="37" t="s">
        <v>104</v>
      </c>
      <c r="S549" s="10" t="s">
        <v>2433</v>
      </c>
      <c r="T549" s="11"/>
      <c r="U549" s="21">
        <v>1</v>
      </c>
      <c r="V549" s="21">
        <v>1</v>
      </c>
      <c r="W549" s="73">
        <f t="shared" si="22"/>
        <v>47</v>
      </c>
      <c r="X549" s="80">
        <f t="shared" si="23"/>
        <v>1040</v>
      </c>
      <c r="Y549" s="82" t="s">
        <v>3584</v>
      </c>
      <c r="AF549" s="11"/>
      <c r="AG549" s="11"/>
      <c r="AH549" s="11"/>
      <c r="AI549" s="11"/>
      <c r="AJ549" s="11"/>
      <c r="AK549" s="11"/>
    </row>
    <row r="550" spans="1:37" ht="15.45" customHeight="1" x14ac:dyDescent="0.25">
      <c r="A550" s="31" t="s">
        <v>1512</v>
      </c>
      <c r="C550" s="37" t="s">
        <v>2173</v>
      </c>
      <c r="E550" s="37" t="s">
        <v>2827</v>
      </c>
      <c r="F550" s="24" t="s">
        <v>1473</v>
      </c>
      <c r="G550" s="25"/>
      <c r="P550" s="37" t="s">
        <v>105</v>
      </c>
      <c r="S550" s="10" t="s">
        <v>2433</v>
      </c>
      <c r="T550" s="11"/>
      <c r="U550" s="21">
        <v>1</v>
      </c>
      <c r="V550" s="21">
        <v>1</v>
      </c>
      <c r="W550" s="73">
        <f t="shared" si="22"/>
        <v>48</v>
      </c>
      <c r="X550" s="80">
        <f t="shared" si="23"/>
        <v>1041</v>
      </c>
      <c r="Y550" s="82" t="s">
        <v>3584</v>
      </c>
      <c r="AF550" s="11"/>
      <c r="AG550" s="11"/>
      <c r="AH550" s="11"/>
      <c r="AI550" s="11"/>
      <c r="AJ550" s="11"/>
      <c r="AK550" s="11"/>
    </row>
    <row r="551" spans="1:37" ht="15.45" customHeight="1" x14ac:dyDescent="0.25">
      <c r="A551" s="31" t="s">
        <v>1799</v>
      </c>
      <c r="C551" s="37" t="s">
        <v>2173</v>
      </c>
      <c r="E551" s="37" t="s">
        <v>2827</v>
      </c>
      <c r="F551" s="24" t="s">
        <v>1473</v>
      </c>
      <c r="G551" s="25"/>
      <c r="P551" s="37" t="s">
        <v>106</v>
      </c>
      <c r="S551" s="10" t="s">
        <v>2433</v>
      </c>
      <c r="T551" s="11"/>
      <c r="U551" s="21">
        <v>1</v>
      </c>
      <c r="V551" s="21">
        <v>1</v>
      </c>
      <c r="W551" s="73">
        <f t="shared" si="22"/>
        <v>49</v>
      </c>
      <c r="X551" s="80">
        <f t="shared" si="23"/>
        <v>1042</v>
      </c>
      <c r="Y551" s="82" t="s">
        <v>3584</v>
      </c>
      <c r="AF551" s="11"/>
      <c r="AG551" s="11"/>
      <c r="AH551" s="11"/>
      <c r="AI551" s="11"/>
      <c r="AJ551" s="11"/>
      <c r="AK551" s="11"/>
    </row>
    <row r="552" spans="1:37" ht="15.45" customHeight="1" x14ac:dyDescent="0.25">
      <c r="A552" s="31" t="s">
        <v>1240</v>
      </c>
      <c r="C552" s="37" t="s">
        <v>2173</v>
      </c>
      <c r="E552" s="37" t="s">
        <v>2827</v>
      </c>
      <c r="F552" s="24" t="s">
        <v>1473</v>
      </c>
      <c r="G552" s="25"/>
      <c r="P552" s="37" t="s">
        <v>237</v>
      </c>
      <c r="S552" s="10" t="s">
        <v>2433</v>
      </c>
      <c r="T552" s="11"/>
      <c r="U552" s="21">
        <v>1</v>
      </c>
      <c r="V552" s="21">
        <v>1</v>
      </c>
      <c r="W552" s="73">
        <f t="shared" si="22"/>
        <v>50</v>
      </c>
      <c r="X552" s="80">
        <f t="shared" si="23"/>
        <v>1043</v>
      </c>
      <c r="Y552" s="82" t="s">
        <v>3584</v>
      </c>
      <c r="AF552" s="11"/>
      <c r="AG552" s="11"/>
      <c r="AH552" s="11"/>
      <c r="AI552" s="11"/>
      <c r="AJ552" s="11"/>
      <c r="AK552" s="11"/>
    </row>
    <row r="553" spans="1:37" ht="15.45" customHeight="1" x14ac:dyDescent="0.25">
      <c r="A553" s="31" t="s">
        <v>1513</v>
      </c>
      <c r="C553" s="37" t="s">
        <v>2173</v>
      </c>
      <c r="E553" s="37" t="s">
        <v>2827</v>
      </c>
      <c r="F553" s="24" t="s">
        <v>1473</v>
      </c>
      <c r="G553" s="25"/>
      <c r="P553" s="37" t="s">
        <v>107</v>
      </c>
      <c r="S553" s="10" t="s">
        <v>2433</v>
      </c>
      <c r="T553" s="11"/>
      <c r="U553" s="21">
        <v>1</v>
      </c>
      <c r="V553" s="21">
        <v>1</v>
      </c>
      <c r="W553" s="73">
        <f t="shared" si="22"/>
        <v>51</v>
      </c>
      <c r="X553" s="80">
        <f t="shared" si="23"/>
        <v>1044</v>
      </c>
      <c r="Y553" s="82" t="s">
        <v>3584</v>
      </c>
      <c r="AF553" s="11"/>
      <c r="AG553" s="11"/>
      <c r="AH553" s="11"/>
      <c r="AI553" s="11"/>
      <c r="AJ553" s="11"/>
      <c r="AK553" s="11"/>
    </row>
    <row r="554" spans="1:37" ht="15.45" customHeight="1" x14ac:dyDescent="0.25">
      <c r="A554" s="31" t="s">
        <v>1377</v>
      </c>
      <c r="C554" s="37" t="s">
        <v>2173</v>
      </c>
      <c r="E554" s="37" t="s">
        <v>2827</v>
      </c>
      <c r="F554" s="24" t="s">
        <v>1473</v>
      </c>
      <c r="G554" s="25"/>
      <c r="P554" s="37" t="s">
        <v>179</v>
      </c>
      <c r="S554" s="10" t="s">
        <v>2433</v>
      </c>
      <c r="T554" s="11"/>
      <c r="U554" s="21">
        <v>1</v>
      </c>
      <c r="V554" s="21">
        <v>1</v>
      </c>
      <c r="W554" s="73">
        <f t="shared" si="22"/>
        <v>52</v>
      </c>
      <c r="X554" s="80">
        <f t="shared" si="23"/>
        <v>1045</v>
      </c>
      <c r="Y554" s="82" t="s">
        <v>3584</v>
      </c>
      <c r="AF554" s="11"/>
      <c r="AG554" s="11"/>
      <c r="AH554" s="11"/>
      <c r="AI554" s="11"/>
      <c r="AJ554" s="11"/>
      <c r="AK554" s="11"/>
    </row>
    <row r="555" spans="1:37" ht="15.45" customHeight="1" x14ac:dyDescent="0.25">
      <c r="A555" s="31" t="s">
        <v>1617</v>
      </c>
      <c r="C555" s="37" t="s">
        <v>2173</v>
      </c>
      <c r="E555" s="37" t="s">
        <v>2827</v>
      </c>
      <c r="F555" s="24" t="s">
        <v>1473</v>
      </c>
      <c r="G555" s="25"/>
      <c r="P555" s="37" t="s">
        <v>180</v>
      </c>
      <c r="S555" s="10" t="s">
        <v>2433</v>
      </c>
      <c r="T555" s="11"/>
      <c r="U555" s="21">
        <v>1</v>
      </c>
      <c r="V555" s="21">
        <v>1</v>
      </c>
      <c r="W555" s="73">
        <f t="shared" si="22"/>
        <v>53</v>
      </c>
      <c r="X555" s="80">
        <f t="shared" si="23"/>
        <v>1046</v>
      </c>
      <c r="Y555" s="82" t="s">
        <v>3584</v>
      </c>
      <c r="AF555" s="11"/>
      <c r="AG555" s="11"/>
      <c r="AH555" s="11"/>
      <c r="AI555" s="11"/>
      <c r="AJ555" s="11"/>
      <c r="AK555" s="11"/>
    </row>
    <row r="556" spans="1:37" ht="15.45" customHeight="1" x14ac:dyDescent="0.25">
      <c r="A556" s="31" t="s">
        <v>1618</v>
      </c>
      <c r="C556" s="37" t="s">
        <v>2173</v>
      </c>
      <c r="E556" s="37" t="s">
        <v>2827</v>
      </c>
      <c r="F556" s="24" t="s">
        <v>1473</v>
      </c>
      <c r="G556" s="25"/>
      <c r="P556" s="37" t="s">
        <v>181</v>
      </c>
      <c r="S556" s="10" t="s">
        <v>2433</v>
      </c>
      <c r="T556" s="11"/>
      <c r="U556" s="21">
        <v>1</v>
      </c>
      <c r="V556" s="21">
        <v>1</v>
      </c>
      <c r="W556" s="73">
        <f t="shared" si="22"/>
        <v>54</v>
      </c>
      <c r="X556" s="80">
        <f t="shared" si="23"/>
        <v>1047</v>
      </c>
      <c r="Y556" s="82" t="s">
        <v>3584</v>
      </c>
      <c r="AF556" s="11"/>
      <c r="AG556" s="11"/>
      <c r="AH556" s="11"/>
      <c r="AI556" s="11"/>
      <c r="AJ556" s="11"/>
      <c r="AK556" s="11"/>
    </row>
    <row r="557" spans="1:37" ht="15.45" customHeight="1" x14ac:dyDescent="0.25">
      <c r="A557" s="31" t="s">
        <v>1892</v>
      </c>
      <c r="C557" s="37" t="s">
        <v>2173</v>
      </c>
      <c r="E557" s="37" t="s">
        <v>2827</v>
      </c>
      <c r="F557" s="24" t="s">
        <v>1473</v>
      </c>
      <c r="G557" s="25"/>
      <c r="P557" s="37" t="s">
        <v>182</v>
      </c>
      <c r="S557" s="10" t="s">
        <v>2433</v>
      </c>
      <c r="T557" s="11"/>
      <c r="U557" s="21">
        <v>1</v>
      </c>
      <c r="V557" s="21">
        <v>1</v>
      </c>
      <c r="W557" s="73">
        <f t="shared" si="22"/>
        <v>55</v>
      </c>
      <c r="X557" s="80">
        <f t="shared" si="23"/>
        <v>1048</v>
      </c>
      <c r="Y557" s="82" t="s">
        <v>3584</v>
      </c>
      <c r="AF557" s="11"/>
      <c r="AG557" s="11"/>
      <c r="AH557" s="11"/>
      <c r="AI557" s="11"/>
      <c r="AJ557" s="11"/>
      <c r="AK557" s="11"/>
    </row>
    <row r="558" spans="1:37" ht="15.45" customHeight="1" x14ac:dyDescent="0.25">
      <c r="A558" s="31" t="s">
        <v>1705</v>
      </c>
      <c r="C558" s="37" t="s">
        <v>2173</v>
      </c>
      <c r="E558" s="37" t="s">
        <v>2827</v>
      </c>
      <c r="F558" s="24" t="s">
        <v>1473</v>
      </c>
      <c r="G558" s="25"/>
      <c r="P558" s="37" t="s">
        <v>183</v>
      </c>
      <c r="S558" s="10" t="s">
        <v>2433</v>
      </c>
      <c r="T558" s="11"/>
      <c r="U558" s="21">
        <v>1</v>
      </c>
      <c r="V558" s="21">
        <v>1</v>
      </c>
      <c r="W558" s="73">
        <f t="shared" si="22"/>
        <v>56</v>
      </c>
      <c r="X558" s="80">
        <f t="shared" si="23"/>
        <v>1049</v>
      </c>
      <c r="Y558" s="82" t="s">
        <v>3584</v>
      </c>
      <c r="AF558" s="11"/>
      <c r="AG558" s="11"/>
      <c r="AH558" s="11"/>
      <c r="AI558" s="11"/>
      <c r="AJ558" s="11"/>
      <c r="AK558" s="11"/>
    </row>
    <row r="559" spans="1:37" ht="15.45" customHeight="1" x14ac:dyDescent="0.25">
      <c r="A559" s="31" t="s">
        <v>5805</v>
      </c>
      <c r="B559" s="24" t="s">
        <v>5806</v>
      </c>
      <c r="C559" s="37" t="s">
        <v>2173</v>
      </c>
      <c r="E559" s="37" t="s">
        <v>2827</v>
      </c>
      <c r="F559" s="24" t="s">
        <v>1473</v>
      </c>
      <c r="G559" s="25"/>
      <c r="H559" s="201" t="s">
        <v>6164</v>
      </c>
      <c r="J559" s="214" t="s">
        <v>5684</v>
      </c>
      <c r="O559" s="37" t="s">
        <v>5807</v>
      </c>
      <c r="P559" s="37" t="s">
        <v>1463</v>
      </c>
      <c r="S559" s="10" t="s">
        <v>2433</v>
      </c>
      <c r="T559" s="11"/>
      <c r="U559" s="21">
        <v>1</v>
      </c>
      <c r="V559" s="21">
        <v>1</v>
      </c>
      <c r="W559" s="73">
        <f t="shared" si="22"/>
        <v>57</v>
      </c>
      <c r="X559" s="80">
        <f t="shared" si="23"/>
        <v>1050</v>
      </c>
      <c r="Y559" s="82" t="s">
        <v>3591</v>
      </c>
      <c r="Z559" s="24" t="s">
        <v>2885</v>
      </c>
      <c r="AB559" s="177">
        <v>44382</v>
      </c>
      <c r="AC559" s="84" t="s">
        <v>5308</v>
      </c>
      <c r="AF559" s="11"/>
      <c r="AG559" s="11"/>
      <c r="AH559" s="11"/>
      <c r="AI559" s="11"/>
      <c r="AJ559" s="11"/>
      <c r="AK559" s="11"/>
    </row>
    <row r="560" spans="1:37" ht="15.45" customHeight="1" x14ac:dyDescent="0.25">
      <c r="A560" s="31" t="s">
        <v>5812</v>
      </c>
      <c r="B560" s="24" t="s">
        <v>5799</v>
      </c>
      <c r="C560" s="37" t="s">
        <v>2173</v>
      </c>
      <c r="E560" s="37" t="s">
        <v>2827</v>
      </c>
      <c r="F560" s="24" t="s">
        <v>1473</v>
      </c>
      <c r="G560" s="25"/>
      <c r="P560" s="37" t="s">
        <v>184</v>
      </c>
      <c r="S560" s="10" t="s">
        <v>2433</v>
      </c>
      <c r="T560" s="11"/>
      <c r="U560" s="21">
        <v>1</v>
      </c>
      <c r="V560" s="21">
        <v>1</v>
      </c>
      <c r="W560" s="73">
        <f t="shared" si="22"/>
        <v>58</v>
      </c>
      <c r="X560" s="80">
        <f t="shared" si="23"/>
        <v>1051</v>
      </c>
      <c r="Y560" s="82" t="s">
        <v>3584</v>
      </c>
      <c r="AF560" s="11"/>
      <c r="AG560" s="11"/>
      <c r="AH560" s="11"/>
      <c r="AI560" s="11"/>
      <c r="AJ560" s="11"/>
      <c r="AK560" s="11"/>
    </row>
    <row r="561" spans="1:37" ht="15.45" customHeight="1" x14ac:dyDescent="0.25">
      <c r="A561" s="31" t="s">
        <v>5811</v>
      </c>
      <c r="B561" s="24" t="s">
        <v>5799</v>
      </c>
      <c r="C561" s="37" t="s">
        <v>2173</v>
      </c>
      <c r="E561" s="37" t="s">
        <v>2827</v>
      </c>
      <c r="F561" s="24" t="s">
        <v>1473</v>
      </c>
      <c r="G561" s="25"/>
      <c r="P561" s="37" t="s">
        <v>185</v>
      </c>
      <c r="S561" s="10" t="s">
        <v>2433</v>
      </c>
      <c r="T561" s="11"/>
      <c r="U561" s="21">
        <v>1</v>
      </c>
      <c r="V561" s="21">
        <v>1</v>
      </c>
      <c r="W561" s="73">
        <f t="shared" si="22"/>
        <v>59</v>
      </c>
      <c r="X561" s="80">
        <f t="shared" si="23"/>
        <v>1052</v>
      </c>
      <c r="Y561" s="82" t="s">
        <v>3584</v>
      </c>
      <c r="AF561" s="11"/>
      <c r="AG561" s="11"/>
      <c r="AH561" s="11"/>
      <c r="AI561" s="11"/>
      <c r="AJ561" s="11"/>
      <c r="AK561" s="11"/>
    </row>
    <row r="562" spans="1:37" ht="15.45" customHeight="1" x14ac:dyDescent="0.25">
      <c r="A562" s="31" t="s">
        <v>5810</v>
      </c>
      <c r="B562" s="24" t="s">
        <v>5799</v>
      </c>
      <c r="C562" s="37" t="s">
        <v>2173</v>
      </c>
      <c r="E562" s="37" t="s">
        <v>2827</v>
      </c>
      <c r="F562" s="24" t="s">
        <v>1473</v>
      </c>
      <c r="G562" s="25"/>
      <c r="P562" s="37" t="s">
        <v>186</v>
      </c>
      <c r="S562" s="10" t="s">
        <v>2433</v>
      </c>
      <c r="T562" s="11"/>
      <c r="U562" s="21">
        <v>1</v>
      </c>
      <c r="V562" s="21">
        <v>1</v>
      </c>
      <c r="W562" s="73">
        <f t="shared" si="22"/>
        <v>60</v>
      </c>
      <c r="X562" s="80">
        <f t="shared" si="23"/>
        <v>1053</v>
      </c>
      <c r="Y562" s="82" t="s">
        <v>3584</v>
      </c>
      <c r="AF562" s="11"/>
      <c r="AG562" s="11"/>
      <c r="AH562" s="11"/>
      <c r="AI562" s="11"/>
      <c r="AJ562" s="11"/>
      <c r="AK562" s="11"/>
    </row>
    <row r="563" spans="1:37" ht="15.45" customHeight="1" x14ac:dyDescent="0.25">
      <c r="A563" s="31" t="s">
        <v>5798</v>
      </c>
      <c r="B563" s="24" t="s">
        <v>5799</v>
      </c>
      <c r="C563" s="37" t="s">
        <v>2173</v>
      </c>
      <c r="E563" s="37" t="s">
        <v>2827</v>
      </c>
      <c r="F563" s="24" t="s">
        <v>1473</v>
      </c>
      <c r="G563" s="25"/>
      <c r="H563" s="201" t="s">
        <v>5800</v>
      </c>
      <c r="J563" s="214" t="s">
        <v>5801</v>
      </c>
      <c r="O563" s="37" t="s">
        <v>5802</v>
      </c>
      <c r="P563" s="37" t="s">
        <v>1463</v>
      </c>
      <c r="Q563" s="37" t="s">
        <v>3506</v>
      </c>
      <c r="S563" s="10" t="s">
        <v>2433</v>
      </c>
      <c r="T563" s="11"/>
      <c r="U563" s="21">
        <v>1</v>
      </c>
      <c r="V563" s="21">
        <v>1</v>
      </c>
      <c r="W563" s="73">
        <f t="shared" si="22"/>
        <v>61</v>
      </c>
      <c r="X563" s="80">
        <f t="shared" si="23"/>
        <v>1054</v>
      </c>
      <c r="Y563" s="82" t="s">
        <v>3591</v>
      </c>
      <c r="Z563" s="24" t="s">
        <v>2885</v>
      </c>
      <c r="AB563" s="177">
        <v>44382</v>
      </c>
      <c r="AC563" s="84" t="s">
        <v>5308</v>
      </c>
      <c r="AF563" s="11"/>
      <c r="AG563" s="11"/>
      <c r="AH563" s="11"/>
      <c r="AI563" s="11"/>
      <c r="AJ563" s="11"/>
      <c r="AK563" s="11"/>
    </row>
    <row r="564" spans="1:37" ht="15.45" customHeight="1" x14ac:dyDescent="0.25">
      <c r="A564" s="31" t="s">
        <v>5809</v>
      </c>
      <c r="B564" s="24" t="s">
        <v>5799</v>
      </c>
      <c r="C564" s="37" t="s">
        <v>2173</v>
      </c>
      <c r="E564" s="37" t="s">
        <v>2827</v>
      </c>
      <c r="F564" s="24" t="s">
        <v>1473</v>
      </c>
      <c r="G564" s="25"/>
      <c r="H564" s="38" t="s">
        <v>5804</v>
      </c>
      <c r="J564" s="214" t="s">
        <v>5801</v>
      </c>
      <c r="O564" s="37" t="s">
        <v>5803</v>
      </c>
      <c r="P564" s="37" t="s">
        <v>1463</v>
      </c>
      <c r="Q564" s="37" t="s">
        <v>3506</v>
      </c>
      <c r="S564" s="10" t="s">
        <v>2433</v>
      </c>
      <c r="T564" s="11"/>
      <c r="U564" s="21">
        <v>1</v>
      </c>
      <c r="V564" s="21">
        <v>1</v>
      </c>
      <c r="W564" s="73">
        <f t="shared" si="22"/>
        <v>62</v>
      </c>
      <c r="X564" s="80">
        <f t="shared" si="23"/>
        <v>1055</v>
      </c>
      <c r="Y564" s="82" t="s">
        <v>3591</v>
      </c>
      <c r="Z564" s="24" t="s">
        <v>2885</v>
      </c>
      <c r="AB564" s="177">
        <v>44382</v>
      </c>
      <c r="AC564" s="84" t="s">
        <v>5308</v>
      </c>
      <c r="AF564" s="11"/>
      <c r="AG564" s="11"/>
      <c r="AH564" s="11"/>
      <c r="AI564" s="11"/>
      <c r="AJ564" s="11"/>
      <c r="AK564" s="11"/>
    </row>
    <row r="565" spans="1:37" ht="15.45" customHeight="1" x14ac:dyDescent="0.25">
      <c r="A565" s="31" t="s">
        <v>5808</v>
      </c>
      <c r="B565" s="24" t="s">
        <v>5799</v>
      </c>
      <c r="C565" s="37" t="s">
        <v>2173</v>
      </c>
      <c r="E565" s="37" t="s">
        <v>2827</v>
      </c>
      <c r="F565" s="24" t="s">
        <v>1473</v>
      </c>
      <c r="G565" s="25"/>
      <c r="H565" s="38" t="s">
        <v>5856</v>
      </c>
      <c r="J565" s="214" t="s">
        <v>5796</v>
      </c>
      <c r="O565" s="37" t="s">
        <v>5813</v>
      </c>
      <c r="P565" s="37" t="s">
        <v>1463</v>
      </c>
      <c r="Q565" s="37" t="s">
        <v>3506</v>
      </c>
      <c r="S565" s="10" t="s">
        <v>2433</v>
      </c>
      <c r="T565" s="11"/>
      <c r="U565" s="21">
        <v>1</v>
      </c>
      <c r="V565" s="21">
        <v>1</v>
      </c>
      <c r="W565" s="73">
        <f t="shared" si="22"/>
        <v>63</v>
      </c>
      <c r="X565" s="80">
        <f t="shared" si="23"/>
        <v>1056</v>
      </c>
      <c r="Y565" s="82" t="s">
        <v>3591</v>
      </c>
      <c r="Z565" s="24" t="s">
        <v>2885</v>
      </c>
      <c r="AB565" s="177">
        <v>44382</v>
      </c>
      <c r="AC565" s="84" t="s">
        <v>5308</v>
      </c>
      <c r="AF565" s="11"/>
      <c r="AG565" s="11"/>
      <c r="AH565" s="11"/>
      <c r="AI565" s="11"/>
      <c r="AJ565" s="11"/>
      <c r="AK565" s="11"/>
    </row>
    <row r="566" spans="1:37" ht="15.45" customHeight="1" x14ac:dyDescent="0.25">
      <c r="A566" s="31" t="s">
        <v>5943</v>
      </c>
      <c r="B566" s="24" t="s">
        <v>5799</v>
      </c>
      <c r="C566" s="37" t="s">
        <v>2173</v>
      </c>
      <c r="E566" s="37" t="s">
        <v>2827</v>
      </c>
      <c r="F566" s="24" t="s">
        <v>1473</v>
      </c>
      <c r="G566" s="25"/>
      <c r="H566" s="38" t="s">
        <v>5855</v>
      </c>
      <c r="J566" s="214" t="s">
        <v>5796</v>
      </c>
      <c r="O566" s="37" t="s">
        <v>5813</v>
      </c>
      <c r="P566" s="37" t="s">
        <v>1463</v>
      </c>
      <c r="Q566" s="37" t="s">
        <v>3506</v>
      </c>
      <c r="S566" s="10" t="s">
        <v>2433</v>
      </c>
      <c r="T566" s="11"/>
      <c r="U566" s="21">
        <v>1</v>
      </c>
      <c r="V566" s="21">
        <v>1</v>
      </c>
      <c r="W566" s="73">
        <f t="shared" si="22"/>
        <v>64</v>
      </c>
      <c r="X566" s="80">
        <f t="shared" si="23"/>
        <v>1057</v>
      </c>
      <c r="Y566" s="82" t="s">
        <v>3591</v>
      </c>
      <c r="Z566" s="24" t="s">
        <v>2885</v>
      </c>
      <c r="AB566" s="177">
        <v>44382</v>
      </c>
      <c r="AC566" s="84" t="s">
        <v>5308</v>
      </c>
      <c r="AF566" s="11"/>
      <c r="AG566" s="11"/>
      <c r="AH566" s="11"/>
      <c r="AI566" s="11"/>
      <c r="AJ566" s="11"/>
      <c r="AK566" s="11"/>
    </row>
    <row r="567" spans="1:37" ht="15.45" customHeight="1" x14ac:dyDescent="0.25">
      <c r="A567" s="31" t="s">
        <v>5967</v>
      </c>
      <c r="C567" s="37" t="s">
        <v>2173</v>
      </c>
      <c r="E567" s="37" t="s">
        <v>2827</v>
      </c>
      <c r="F567" s="24" t="s">
        <v>1473</v>
      </c>
      <c r="G567" s="25"/>
      <c r="H567" s="201" t="s">
        <v>5969</v>
      </c>
      <c r="J567" s="214" t="s">
        <v>5327</v>
      </c>
      <c r="O567" s="37" t="s">
        <v>1563</v>
      </c>
      <c r="Q567" s="37" t="s">
        <v>3506</v>
      </c>
      <c r="T567" s="11"/>
      <c r="U567" s="21">
        <v>1</v>
      </c>
      <c r="V567" s="21">
        <v>1</v>
      </c>
      <c r="W567" s="73">
        <f t="shared" si="22"/>
        <v>65</v>
      </c>
      <c r="X567" s="80">
        <f t="shared" si="23"/>
        <v>1058</v>
      </c>
      <c r="Y567" s="82" t="s">
        <v>3591</v>
      </c>
      <c r="Z567" s="24" t="s">
        <v>2885</v>
      </c>
      <c r="AB567" s="177">
        <v>44382</v>
      </c>
      <c r="AC567" s="84" t="s">
        <v>5308</v>
      </c>
      <c r="AF567" s="11"/>
      <c r="AG567" s="11"/>
      <c r="AH567" s="11"/>
      <c r="AI567" s="11"/>
      <c r="AJ567" s="11"/>
      <c r="AK567" s="11"/>
    </row>
    <row r="568" spans="1:37" ht="15.45" customHeight="1" x14ac:dyDescent="0.25">
      <c r="A568" s="31" t="s">
        <v>5968</v>
      </c>
      <c r="C568" s="37" t="s">
        <v>2173</v>
      </c>
      <c r="E568" s="37" t="s">
        <v>2827</v>
      </c>
      <c r="F568" s="24" t="s">
        <v>1473</v>
      </c>
      <c r="G568" s="25"/>
      <c r="H568" s="201" t="s">
        <v>5970</v>
      </c>
      <c r="J568" s="214" t="s">
        <v>5684</v>
      </c>
      <c r="O568" s="37" t="s">
        <v>5858</v>
      </c>
      <c r="P568" s="37" t="s">
        <v>486</v>
      </c>
      <c r="Q568" s="37" t="s">
        <v>3506</v>
      </c>
      <c r="T568" s="11"/>
      <c r="U568" s="21">
        <v>1</v>
      </c>
      <c r="V568" s="21">
        <v>1</v>
      </c>
      <c r="W568" s="73">
        <f t="shared" ref="W568:W593" si="24">W567+V568</f>
        <v>66</v>
      </c>
      <c r="X568" s="80">
        <f t="shared" ref="X568:X593" si="25">V568+X567</f>
        <v>1059</v>
      </c>
      <c r="Y568" s="82" t="s">
        <v>3591</v>
      </c>
      <c r="Z568" s="24" t="s">
        <v>2885</v>
      </c>
      <c r="AB568" s="177">
        <v>44382</v>
      </c>
      <c r="AC568" s="84" t="s">
        <v>5308</v>
      </c>
      <c r="AF568" s="11"/>
      <c r="AG568" s="11"/>
      <c r="AH568" s="11"/>
      <c r="AI568" s="11"/>
      <c r="AJ568" s="11"/>
      <c r="AK568" s="11"/>
    </row>
    <row r="569" spans="1:37" ht="15.45" customHeight="1" x14ac:dyDescent="0.25">
      <c r="A569" s="31" t="s">
        <v>5794</v>
      </c>
      <c r="C569" s="37" t="s">
        <v>2173</v>
      </c>
      <c r="E569" s="37" t="s">
        <v>2827</v>
      </c>
      <c r="F569" s="24" t="s">
        <v>1473</v>
      </c>
      <c r="G569" s="25"/>
      <c r="H569" s="38" t="s">
        <v>5795</v>
      </c>
      <c r="J569" s="214" t="s">
        <v>5796</v>
      </c>
      <c r="O569" s="37" t="s">
        <v>5464</v>
      </c>
      <c r="P569" s="37" t="s">
        <v>1463</v>
      </c>
      <c r="Q569" s="37" t="s">
        <v>3506</v>
      </c>
      <c r="S569" s="10" t="s">
        <v>3412</v>
      </c>
      <c r="T569" s="11"/>
      <c r="U569" s="21">
        <v>1</v>
      </c>
      <c r="V569" s="21">
        <v>1</v>
      </c>
      <c r="W569" s="73">
        <f t="shared" si="24"/>
        <v>67</v>
      </c>
      <c r="X569" s="80">
        <f t="shared" si="25"/>
        <v>1060</v>
      </c>
      <c r="Y569" s="82" t="s">
        <v>3591</v>
      </c>
      <c r="Z569" s="24" t="s">
        <v>2885</v>
      </c>
      <c r="AB569" s="177">
        <v>44382</v>
      </c>
      <c r="AC569" s="84" t="s">
        <v>5308</v>
      </c>
      <c r="AF569" s="11"/>
      <c r="AG569" s="11"/>
      <c r="AH569" s="11"/>
      <c r="AI569" s="11"/>
      <c r="AJ569" s="11"/>
      <c r="AK569" s="11"/>
    </row>
    <row r="570" spans="1:37" ht="15.45" customHeight="1" x14ac:dyDescent="0.25">
      <c r="A570" s="31" t="s">
        <v>1897</v>
      </c>
      <c r="C570" s="37" t="s">
        <v>2173</v>
      </c>
      <c r="E570" s="37" t="s">
        <v>2827</v>
      </c>
      <c r="F570" s="24" t="s">
        <v>1473</v>
      </c>
      <c r="G570" s="25"/>
      <c r="H570" s="201" t="s">
        <v>5971</v>
      </c>
      <c r="J570" s="214" t="s">
        <v>5684</v>
      </c>
      <c r="O570" s="37" t="s">
        <v>2826</v>
      </c>
      <c r="S570" s="10" t="s">
        <v>3412</v>
      </c>
      <c r="T570" s="11"/>
      <c r="U570" s="21">
        <v>1</v>
      </c>
      <c r="V570" s="21">
        <v>1</v>
      </c>
      <c r="W570" s="73">
        <f t="shared" si="24"/>
        <v>68</v>
      </c>
      <c r="X570" s="80">
        <f t="shared" si="25"/>
        <v>1061</v>
      </c>
      <c r="Y570" s="82" t="s">
        <v>3591</v>
      </c>
      <c r="Z570" s="24" t="s">
        <v>2885</v>
      </c>
      <c r="AB570" s="177">
        <v>44382</v>
      </c>
      <c r="AC570" s="84" t="s">
        <v>5308</v>
      </c>
      <c r="AF570" s="11"/>
      <c r="AG570" s="11"/>
      <c r="AH570" s="11"/>
      <c r="AI570" s="11"/>
      <c r="AJ570" s="11"/>
      <c r="AK570" s="11"/>
    </row>
    <row r="571" spans="1:37" ht="15.45" customHeight="1" x14ac:dyDescent="0.25">
      <c r="A571" s="31" t="s">
        <v>1419</v>
      </c>
      <c r="C571" s="37" t="s">
        <v>2173</v>
      </c>
      <c r="E571" s="37" t="s">
        <v>2827</v>
      </c>
      <c r="F571" s="24" t="s">
        <v>1473</v>
      </c>
      <c r="G571" s="25"/>
      <c r="P571" s="37" t="s">
        <v>161</v>
      </c>
      <c r="S571" s="10" t="s">
        <v>2433</v>
      </c>
      <c r="T571" s="11"/>
      <c r="U571" s="21">
        <v>1</v>
      </c>
      <c r="V571" s="21">
        <v>1</v>
      </c>
      <c r="W571" s="73">
        <f t="shared" si="24"/>
        <v>69</v>
      </c>
      <c r="X571" s="80">
        <f t="shared" si="25"/>
        <v>1062</v>
      </c>
      <c r="Y571" s="82" t="s">
        <v>3584</v>
      </c>
      <c r="AF571" s="11"/>
      <c r="AG571" s="11"/>
      <c r="AH571" s="11"/>
      <c r="AI571" s="11"/>
      <c r="AJ571" s="11"/>
      <c r="AK571" s="11"/>
    </row>
    <row r="572" spans="1:37" ht="15.45" customHeight="1" x14ac:dyDescent="0.25">
      <c r="A572" s="31" t="s">
        <v>1288</v>
      </c>
      <c r="C572" s="37" t="s">
        <v>2173</v>
      </c>
      <c r="E572" s="37" t="s">
        <v>2827</v>
      </c>
      <c r="F572" s="24" t="s">
        <v>1473</v>
      </c>
      <c r="G572" s="25"/>
      <c r="P572" s="37" t="s">
        <v>248</v>
      </c>
      <c r="S572" s="10" t="s">
        <v>2433</v>
      </c>
      <c r="T572" s="11"/>
      <c r="U572" s="21">
        <v>1</v>
      </c>
      <c r="V572" s="21">
        <v>1</v>
      </c>
      <c r="W572" s="73">
        <f t="shared" si="24"/>
        <v>70</v>
      </c>
      <c r="X572" s="80">
        <f t="shared" si="25"/>
        <v>1063</v>
      </c>
      <c r="Y572" s="82" t="s">
        <v>3584</v>
      </c>
      <c r="AF572" s="11"/>
      <c r="AG572" s="11"/>
      <c r="AH572" s="11"/>
      <c r="AI572" s="11"/>
      <c r="AJ572" s="11"/>
      <c r="AK572" s="11"/>
    </row>
    <row r="573" spans="1:37" ht="15.45" customHeight="1" x14ac:dyDescent="0.25">
      <c r="A573" s="31" t="s">
        <v>1276</v>
      </c>
      <c r="C573" s="37" t="s">
        <v>2173</v>
      </c>
      <c r="E573" s="37" t="s">
        <v>2827</v>
      </c>
      <c r="F573" s="24" t="s">
        <v>1473</v>
      </c>
      <c r="G573" s="25"/>
      <c r="P573" s="37" t="s">
        <v>187</v>
      </c>
      <c r="S573" s="10" t="s">
        <v>2433</v>
      </c>
      <c r="T573" s="11"/>
      <c r="U573" s="21">
        <v>1</v>
      </c>
      <c r="V573" s="21">
        <v>1</v>
      </c>
      <c r="W573" s="73">
        <f t="shared" si="24"/>
        <v>71</v>
      </c>
      <c r="X573" s="80">
        <f t="shared" si="25"/>
        <v>1064</v>
      </c>
      <c r="Y573" s="82" t="s">
        <v>3584</v>
      </c>
      <c r="AF573" s="11"/>
      <c r="AG573" s="11"/>
      <c r="AH573" s="11"/>
      <c r="AI573" s="11"/>
      <c r="AJ573" s="11"/>
      <c r="AK573" s="11"/>
    </row>
    <row r="574" spans="1:37" ht="15.45" customHeight="1" x14ac:dyDescent="0.25">
      <c r="A574" s="31" t="s">
        <v>1277</v>
      </c>
      <c r="C574" s="37" t="s">
        <v>2173</v>
      </c>
      <c r="E574" s="37" t="s">
        <v>2827</v>
      </c>
      <c r="F574" s="24" t="s">
        <v>1473</v>
      </c>
      <c r="G574" s="25"/>
      <c r="O574" s="37" t="s">
        <v>5797</v>
      </c>
      <c r="P574" s="37" t="s">
        <v>1463</v>
      </c>
      <c r="S574" s="10" t="s">
        <v>2433</v>
      </c>
      <c r="T574" s="11"/>
      <c r="U574" s="21">
        <v>1</v>
      </c>
      <c r="V574" s="21">
        <v>1</v>
      </c>
      <c r="W574" s="73">
        <f t="shared" si="24"/>
        <v>72</v>
      </c>
      <c r="X574" s="80">
        <f t="shared" si="25"/>
        <v>1065</v>
      </c>
      <c r="Y574" s="82" t="s">
        <v>3584</v>
      </c>
      <c r="AF574" s="11"/>
      <c r="AG574" s="11"/>
      <c r="AH574" s="11"/>
      <c r="AI574" s="11"/>
      <c r="AJ574" s="11"/>
      <c r="AK574" s="11"/>
    </row>
    <row r="575" spans="1:37" ht="15.45" customHeight="1" x14ac:dyDescent="0.25">
      <c r="A575" s="31" t="s">
        <v>1277</v>
      </c>
      <c r="C575" s="37" t="s">
        <v>2173</v>
      </c>
      <c r="E575" s="37" t="s">
        <v>2827</v>
      </c>
      <c r="F575" s="38" t="s">
        <v>2543</v>
      </c>
      <c r="G575" s="38"/>
      <c r="H575" s="38" t="s">
        <v>2542</v>
      </c>
      <c r="J575" s="214" t="s">
        <v>5334</v>
      </c>
      <c r="O575" s="37" t="s">
        <v>5685</v>
      </c>
      <c r="P575" s="37" t="s">
        <v>1463</v>
      </c>
      <c r="Q575" s="37" t="s">
        <v>3506</v>
      </c>
      <c r="S575" s="10" t="s">
        <v>2433</v>
      </c>
      <c r="T575" s="11"/>
      <c r="U575" s="21">
        <v>1</v>
      </c>
      <c r="V575" s="21">
        <v>1</v>
      </c>
      <c r="W575" s="73">
        <f t="shared" si="24"/>
        <v>73</v>
      </c>
      <c r="X575" s="80">
        <f t="shared" si="25"/>
        <v>1066</v>
      </c>
      <c r="Y575" s="82" t="s">
        <v>3591</v>
      </c>
      <c r="Z575" s="24" t="s">
        <v>2885</v>
      </c>
      <c r="AB575" s="177">
        <v>43358</v>
      </c>
      <c r="AC575" s="84" t="s">
        <v>2885</v>
      </c>
      <c r="AF575" s="11"/>
      <c r="AG575" s="11"/>
      <c r="AH575" s="11"/>
      <c r="AI575" s="11"/>
      <c r="AJ575" s="11"/>
      <c r="AK575" s="11"/>
    </row>
    <row r="576" spans="1:37" ht="15.45" customHeight="1" x14ac:dyDescent="0.25">
      <c r="A576" s="31" t="s">
        <v>113</v>
      </c>
      <c r="C576" s="37" t="s">
        <v>2173</v>
      </c>
      <c r="E576" s="37" t="s">
        <v>2827</v>
      </c>
      <c r="F576" s="24" t="s">
        <v>1473</v>
      </c>
      <c r="G576" s="25"/>
      <c r="S576" s="10" t="s">
        <v>3412</v>
      </c>
      <c r="T576" s="11"/>
      <c r="U576" s="21">
        <v>1</v>
      </c>
      <c r="V576" s="21">
        <v>1</v>
      </c>
      <c r="W576" s="73">
        <f t="shared" si="24"/>
        <v>74</v>
      </c>
      <c r="X576" s="80">
        <f t="shared" si="25"/>
        <v>1067</v>
      </c>
      <c r="Y576" s="82" t="s">
        <v>3592</v>
      </c>
      <c r="Z576" s="24" t="s">
        <v>2884</v>
      </c>
      <c r="AF576" s="11"/>
      <c r="AG576" s="11"/>
      <c r="AH576" s="11"/>
      <c r="AI576" s="11"/>
      <c r="AJ576" s="11"/>
      <c r="AK576" s="11"/>
    </row>
    <row r="577" spans="1:37" ht="15.45" customHeight="1" x14ac:dyDescent="0.25">
      <c r="A577" s="31" t="s">
        <v>5818</v>
      </c>
      <c r="C577" s="37" t="s">
        <v>2173</v>
      </c>
      <c r="E577" s="37" t="s">
        <v>2827</v>
      </c>
      <c r="F577" s="24" t="s">
        <v>1473</v>
      </c>
      <c r="G577" s="25"/>
      <c r="H577" s="38" t="s">
        <v>5817</v>
      </c>
      <c r="P577" s="37" t="s">
        <v>1463</v>
      </c>
      <c r="S577" s="10" t="s">
        <v>3412</v>
      </c>
      <c r="T577" s="11"/>
      <c r="U577" s="21">
        <v>1</v>
      </c>
      <c r="V577" s="21">
        <v>1</v>
      </c>
      <c r="W577" s="73">
        <f t="shared" si="24"/>
        <v>75</v>
      </c>
      <c r="X577" s="80">
        <f t="shared" si="25"/>
        <v>1068</v>
      </c>
      <c r="Y577" s="82" t="s">
        <v>3591</v>
      </c>
      <c r="Z577" s="24" t="s">
        <v>2885</v>
      </c>
      <c r="AB577" s="177">
        <v>44382</v>
      </c>
      <c r="AC577" s="84" t="s">
        <v>5308</v>
      </c>
      <c r="AF577" s="11"/>
      <c r="AG577" s="11"/>
      <c r="AH577" s="11"/>
      <c r="AI577" s="11"/>
      <c r="AJ577" s="11"/>
      <c r="AK577" s="11"/>
    </row>
    <row r="578" spans="1:37" ht="15.45" customHeight="1" x14ac:dyDescent="0.25">
      <c r="A578" s="31" t="s">
        <v>5814</v>
      </c>
      <c r="C578" s="37" t="s">
        <v>2173</v>
      </c>
      <c r="E578" s="37" t="s">
        <v>2827</v>
      </c>
      <c r="F578" s="24" t="s">
        <v>1473</v>
      </c>
      <c r="G578" s="25"/>
      <c r="H578" s="38" t="s">
        <v>5816</v>
      </c>
      <c r="O578" s="37" t="s">
        <v>5815</v>
      </c>
      <c r="P578" s="37" t="s">
        <v>1463</v>
      </c>
      <c r="S578" s="10" t="s">
        <v>2433</v>
      </c>
      <c r="T578" s="11"/>
      <c r="U578" s="21">
        <v>1</v>
      </c>
      <c r="V578" s="21">
        <v>1</v>
      </c>
      <c r="W578" s="73">
        <f t="shared" si="24"/>
        <v>76</v>
      </c>
      <c r="X578" s="80">
        <f t="shared" si="25"/>
        <v>1069</v>
      </c>
      <c r="Y578" s="82" t="s">
        <v>3591</v>
      </c>
      <c r="Z578" s="24" t="s">
        <v>2885</v>
      </c>
      <c r="AB578" s="177">
        <v>44382</v>
      </c>
      <c r="AC578" s="84" t="s">
        <v>5308</v>
      </c>
      <c r="AF578" s="11"/>
      <c r="AG578" s="11"/>
      <c r="AH578" s="11"/>
      <c r="AI578" s="11"/>
      <c r="AJ578" s="11"/>
      <c r="AK578" s="11"/>
    </row>
    <row r="579" spans="1:37" ht="15.45" customHeight="1" x14ac:dyDescent="0.25">
      <c r="A579" s="31" t="s">
        <v>1271</v>
      </c>
      <c r="C579" s="37" t="s">
        <v>2173</v>
      </c>
      <c r="E579" s="37" t="s">
        <v>2827</v>
      </c>
      <c r="F579" s="24" t="s">
        <v>1473</v>
      </c>
      <c r="G579" s="25"/>
      <c r="O579" s="37" t="s">
        <v>6284</v>
      </c>
      <c r="P579" s="37" t="s">
        <v>546</v>
      </c>
      <c r="S579" s="10" t="s">
        <v>2433</v>
      </c>
      <c r="T579" s="11"/>
      <c r="U579" s="21">
        <v>1</v>
      </c>
      <c r="V579" s="21">
        <v>1</v>
      </c>
      <c r="W579" s="73">
        <f t="shared" si="24"/>
        <v>77</v>
      </c>
      <c r="X579" s="80">
        <f t="shared" si="25"/>
        <v>1070</v>
      </c>
      <c r="Y579" s="82" t="s">
        <v>3584</v>
      </c>
      <c r="AF579" s="11"/>
      <c r="AG579" s="11"/>
      <c r="AH579" s="11"/>
      <c r="AI579" s="11"/>
      <c r="AJ579" s="11"/>
      <c r="AK579" s="11"/>
    </row>
    <row r="580" spans="1:37" ht="15.45" customHeight="1" x14ac:dyDescent="0.25">
      <c r="A580" s="31" t="s">
        <v>1392</v>
      </c>
      <c r="C580" s="37" t="s">
        <v>2173</v>
      </c>
      <c r="E580" s="37" t="s">
        <v>2827</v>
      </c>
      <c r="F580" s="24" t="s">
        <v>1473</v>
      </c>
      <c r="G580" s="25"/>
      <c r="P580" s="37" t="s">
        <v>114</v>
      </c>
      <c r="S580" s="10" t="s">
        <v>2433</v>
      </c>
      <c r="T580" s="11"/>
      <c r="U580" s="21">
        <v>1</v>
      </c>
      <c r="V580" s="21">
        <v>1</v>
      </c>
      <c r="W580" s="73">
        <f t="shared" si="24"/>
        <v>78</v>
      </c>
      <c r="X580" s="80">
        <f t="shared" si="25"/>
        <v>1071</v>
      </c>
      <c r="Y580" s="82" t="s">
        <v>3584</v>
      </c>
      <c r="AF580" s="11"/>
      <c r="AG580" s="11"/>
      <c r="AH580" s="11"/>
      <c r="AI580" s="11"/>
      <c r="AJ580" s="11"/>
      <c r="AK580" s="11"/>
    </row>
    <row r="581" spans="1:37" ht="15.45" customHeight="1" x14ac:dyDescent="0.25">
      <c r="A581" s="31" t="s">
        <v>3132</v>
      </c>
      <c r="B581" s="24" t="s">
        <v>3131</v>
      </c>
      <c r="C581" s="37" t="s">
        <v>2173</v>
      </c>
      <c r="E581" s="37" t="s">
        <v>2827</v>
      </c>
      <c r="F581" s="24" t="s">
        <v>1473</v>
      </c>
      <c r="G581" s="25"/>
      <c r="O581" s="37" t="s">
        <v>6283</v>
      </c>
      <c r="P581" s="37" t="s">
        <v>1463</v>
      </c>
      <c r="S581" s="10" t="s">
        <v>2433</v>
      </c>
      <c r="T581" s="11"/>
      <c r="U581" s="21">
        <v>1</v>
      </c>
      <c r="V581" s="21">
        <v>1</v>
      </c>
      <c r="W581" s="73">
        <f t="shared" si="24"/>
        <v>79</v>
      </c>
      <c r="X581" s="80">
        <f t="shared" si="25"/>
        <v>1072</v>
      </c>
      <c r="Y581" s="82" t="s">
        <v>3584</v>
      </c>
      <c r="AF581" s="11"/>
      <c r="AG581" s="11"/>
      <c r="AH581" s="11"/>
      <c r="AI581" s="11"/>
      <c r="AJ581" s="11"/>
      <c r="AK581" s="11"/>
    </row>
    <row r="582" spans="1:37" ht="16.5" customHeight="1" x14ac:dyDescent="0.25">
      <c r="A582" s="31" t="s">
        <v>1623</v>
      </c>
      <c r="C582" s="37" t="s">
        <v>2173</v>
      </c>
      <c r="E582" s="37" t="s">
        <v>2827</v>
      </c>
      <c r="F582" s="24" t="s">
        <v>1473</v>
      </c>
      <c r="G582" s="25"/>
      <c r="J582" s="214" t="s">
        <v>3694</v>
      </c>
      <c r="K582" s="10" t="s">
        <v>3762</v>
      </c>
      <c r="P582" s="37" t="s">
        <v>115</v>
      </c>
      <c r="S582" s="10" t="s">
        <v>2433</v>
      </c>
      <c r="T582" s="11"/>
      <c r="U582" s="21">
        <v>1</v>
      </c>
      <c r="V582" s="21">
        <v>1</v>
      </c>
      <c r="W582" s="73">
        <f t="shared" si="24"/>
        <v>80</v>
      </c>
      <c r="X582" s="80">
        <f t="shared" si="25"/>
        <v>1073</v>
      </c>
      <c r="Y582" s="82" t="s">
        <v>3584</v>
      </c>
      <c r="AF582" s="11"/>
      <c r="AG582" s="11"/>
      <c r="AH582" s="11"/>
      <c r="AI582" s="11"/>
      <c r="AJ582" s="11"/>
      <c r="AK582" s="11"/>
    </row>
    <row r="583" spans="1:37" ht="19.5" customHeight="1" x14ac:dyDescent="0.25">
      <c r="A583" s="31" t="s">
        <v>1624</v>
      </c>
      <c r="C583" s="37" t="s">
        <v>2173</v>
      </c>
      <c r="E583" s="37" t="s">
        <v>2827</v>
      </c>
      <c r="F583" s="24" t="s">
        <v>1473</v>
      </c>
      <c r="G583" s="25"/>
      <c r="O583" s="37" t="s">
        <v>6282</v>
      </c>
      <c r="P583" s="37" t="s">
        <v>1463</v>
      </c>
      <c r="S583" s="10" t="s">
        <v>2433</v>
      </c>
      <c r="T583" s="11"/>
      <c r="U583" s="21">
        <v>1</v>
      </c>
      <c r="V583" s="21">
        <v>1</v>
      </c>
      <c r="W583" s="73">
        <f t="shared" si="24"/>
        <v>81</v>
      </c>
      <c r="X583" s="80">
        <f t="shared" si="25"/>
        <v>1074</v>
      </c>
      <c r="Y583" s="82" t="s">
        <v>3584</v>
      </c>
      <c r="AF583" s="11"/>
      <c r="AG583" s="11"/>
      <c r="AH583" s="11"/>
      <c r="AI583" s="11"/>
      <c r="AJ583" s="11"/>
      <c r="AK583" s="11"/>
    </row>
    <row r="584" spans="1:37" ht="15.45" customHeight="1" x14ac:dyDescent="0.25">
      <c r="A584" s="29" t="s">
        <v>3457</v>
      </c>
      <c r="C584" s="37" t="s">
        <v>2173</v>
      </c>
      <c r="E584" s="37" t="s">
        <v>2827</v>
      </c>
      <c r="F584" s="24" t="s">
        <v>5111</v>
      </c>
      <c r="H584" s="38" t="s">
        <v>7241</v>
      </c>
      <c r="J584" s="214" t="s">
        <v>5142</v>
      </c>
      <c r="K584" s="10" t="s">
        <v>5143</v>
      </c>
      <c r="O584" s="37" t="s">
        <v>117</v>
      </c>
      <c r="P584" s="37" t="s">
        <v>1463</v>
      </c>
      <c r="Q584" s="37" t="s">
        <v>3506</v>
      </c>
      <c r="S584" s="10" t="s">
        <v>2433</v>
      </c>
      <c r="U584" s="21">
        <v>55</v>
      </c>
      <c r="V584" s="21">
        <v>55</v>
      </c>
      <c r="W584" s="73">
        <f t="shared" si="24"/>
        <v>136</v>
      </c>
      <c r="X584" s="80">
        <f t="shared" si="25"/>
        <v>1129</v>
      </c>
      <c r="Y584" s="82" t="s">
        <v>3584</v>
      </c>
    </row>
    <row r="585" spans="1:37" ht="15.45" customHeight="1" x14ac:dyDescent="0.25">
      <c r="A585" s="29" t="s">
        <v>6271</v>
      </c>
      <c r="C585" s="37" t="s">
        <v>2173</v>
      </c>
      <c r="E585" s="37" t="s">
        <v>2827</v>
      </c>
      <c r="F585" s="24" t="s">
        <v>3656</v>
      </c>
      <c r="H585" s="38" t="s">
        <v>6269</v>
      </c>
      <c r="J585" s="214" t="s">
        <v>5112</v>
      </c>
      <c r="K585" s="10" t="s">
        <v>4078</v>
      </c>
      <c r="O585" s="37" t="s">
        <v>6281</v>
      </c>
      <c r="P585" s="37" t="s">
        <v>1463</v>
      </c>
      <c r="S585" s="10" t="s">
        <v>2433</v>
      </c>
      <c r="U585" s="21">
        <v>15</v>
      </c>
      <c r="V585" s="21">
        <v>15</v>
      </c>
      <c r="W585" s="73">
        <f t="shared" si="24"/>
        <v>151</v>
      </c>
      <c r="X585" s="80">
        <f t="shared" si="25"/>
        <v>1144</v>
      </c>
      <c r="Y585" s="82" t="s">
        <v>3584</v>
      </c>
    </row>
    <row r="586" spans="1:37" ht="15.45" customHeight="1" x14ac:dyDescent="0.25">
      <c r="A586" s="29" t="s">
        <v>6272</v>
      </c>
      <c r="C586" s="37" t="s">
        <v>2173</v>
      </c>
      <c r="E586" s="37" t="s">
        <v>2827</v>
      </c>
      <c r="F586" s="24" t="s">
        <v>3656</v>
      </c>
      <c r="J586" s="214" t="s">
        <v>5112</v>
      </c>
      <c r="K586" s="10" t="s">
        <v>4078</v>
      </c>
      <c r="O586" s="37" t="s">
        <v>6281</v>
      </c>
      <c r="P586" s="37" t="s">
        <v>1463</v>
      </c>
      <c r="S586" s="10" t="s">
        <v>2433</v>
      </c>
      <c r="U586" s="21">
        <v>4</v>
      </c>
      <c r="V586" s="21">
        <v>4</v>
      </c>
      <c r="W586" s="73">
        <f t="shared" si="24"/>
        <v>155</v>
      </c>
      <c r="X586" s="80">
        <f t="shared" si="25"/>
        <v>1148</v>
      </c>
      <c r="Y586" s="82" t="s">
        <v>3584</v>
      </c>
    </row>
    <row r="587" spans="1:37" ht="15.45" customHeight="1" x14ac:dyDescent="0.25">
      <c r="A587" s="29" t="s">
        <v>6273</v>
      </c>
      <c r="C587" s="37" t="s">
        <v>2173</v>
      </c>
      <c r="E587" s="37" t="s">
        <v>2827</v>
      </c>
      <c r="F587" s="24" t="s">
        <v>3656</v>
      </c>
      <c r="O587" s="37" t="s">
        <v>6280</v>
      </c>
      <c r="P587" s="37" t="s">
        <v>1463</v>
      </c>
      <c r="S587" s="10" t="s">
        <v>2433</v>
      </c>
      <c r="U587" s="21">
        <v>2</v>
      </c>
      <c r="V587" s="21">
        <v>2</v>
      </c>
      <c r="W587" s="73">
        <f t="shared" si="24"/>
        <v>157</v>
      </c>
      <c r="X587" s="80">
        <f t="shared" si="25"/>
        <v>1150</v>
      </c>
      <c r="Y587" s="82" t="s">
        <v>3592</v>
      </c>
      <c r="Z587" s="24" t="s">
        <v>2884</v>
      </c>
    </row>
    <row r="588" spans="1:37" ht="15.45" customHeight="1" x14ac:dyDescent="0.25">
      <c r="A588" s="29" t="s">
        <v>6273</v>
      </c>
      <c r="C588" s="37" t="s">
        <v>2173</v>
      </c>
      <c r="E588" s="37" t="s">
        <v>2827</v>
      </c>
      <c r="F588" s="24" t="s">
        <v>3656</v>
      </c>
      <c r="O588" s="37" t="s">
        <v>6279</v>
      </c>
      <c r="P588" s="37" t="s">
        <v>5359</v>
      </c>
      <c r="S588" s="10" t="s">
        <v>2433</v>
      </c>
      <c r="U588" s="21">
        <v>1</v>
      </c>
      <c r="V588" s="21">
        <v>1</v>
      </c>
      <c r="W588" s="73">
        <f t="shared" si="24"/>
        <v>158</v>
      </c>
      <c r="X588" s="80">
        <f t="shared" si="25"/>
        <v>1151</v>
      </c>
      <c r="Y588" s="82" t="s">
        <v>3592</v>
      </c>
      <c r="Z588" s="24" t="s">
        <v>2884</v>
      </c>
    </row>
    <row r="589" spans="1:37" ht="15.45" customHeight="1" x14ac:dyDescent="0.25">
      <c r="A589" s="29" t="s">
        <v>6274</v>
      </c>
      <c r="B589" s="24" t="s">
        <v>3657</v>
      </c>
      <c r="C589" s="37" t="s">
        <v>2173</v>
      </c>
      <c r="E589" s="37" t="s">
        <v>2928</v>
      </c>
      <c r="F589" s="24" t="s">
        <v>3656</v>
      </c>
      <c r="H589" s="38" t="s">
        <v>6270</v>
      </c>
      <c r="O589" s="37" t="s">
        <v>5464</v>
      </c>
      <c r="P589" s="37" t="s">
        <v>1463</v>
      </c>
      <c r="S589" s="10" t="s">
        <v>3412</v>
      </c>
      <c r="U589" s="21">
        <v>1</v>
      </c>
      <c r="V589" s="21">
        <v>1</v>
      </c>
      <c r="W589" s="73">
        <f t="shared" si="24"/>
        <v>159</v>
      </c>
      <c r="X589" s="80">
        <f t="shared" si="25"/>
        <v>1152</v>
      </c>
      <c r="Y589" s="82" t="s">
        <v>3591</v>
      </c>
      <c r="Z589" s="24" t="s">
        <v>3581</v>
      </c>
      <c r="AA589" s="178"/>
      <c r="AB589" s="178">
        <v>43175</v>
      </c>
      <c r="AC589" s="84" t="s">
        <v>2885</v>
      </c>
    </row>
    <row r="590" spans="1:37" ht="15.45" customHeight="1" x14ac:dyDescent="0.25">
      <c r="A590" s="29" t="s">
        <v>6274</v>
      </c>
      <c r="B590" s="24" t="s">
        <v>3657</v>
      </c>
      <c r="C590" s="37" t="s">
        <v>2173</v>
      </c>
      <c r="E590" s="37" t="s">
        <v>2928</v>
      </c>
      <c r="F590" s="24" t="s">
        <v>3656</v>
      </c>
      <c r="H590" s="38" t="s">
        <v>6275</v>
      </c>
      <c r="O590" s="37" t="s">
        <v>5464</v>
      </c>
      <c r="P590" s="37" t="s">
        <v>1463</v>
      </c>
      <c r="S590" s="10" t="s">
        <v>3412</v>
      </c>
      <c r="U590" s="21">
        <v>1</v>
      </c>
      <c r="V590" s="21">
        <v>1</v>
      </c>
      <c r="W590" s="73">
        <f t="shared" si="24"/>
        <v>160</v>
      </c>
      <c r="X590" s="80">
        <f t="shared" si="25"/>
        <v>1153</v>
      </c>
      <c r="Y590" s="82" t="s">
        <v>3591</v>
      </c>
      <c r="Z590" s="24" t="s">
        <v>2885</v>
      </c>
      <c r="AA590" s="178"/>
      <c r="AB590" s="178">
        <v>44511</v>
      </c>
      <c r="AC590" s="84" t="s">
        <v>5308</v>
      </c>
    </row>
    <row r="591" spans="1:37" ht="15.45" customHeight="1" x14ac:dyDescent="0.25">
      <c r="A591" s="29" t="s">
        <v>6274</v>
      </c>
      <c r="B591" s="24" t="s">
        <v>3657</v>
      </c>
      <c r="C591" s="37" t="s">
        <v>2173</v>
      </c>
      <c r="E591" s="37" t="s">
        <v>2928</v>
      </c>
      <c r="F591" s="24" t="s">
        <v>3656</v>
      </c>
      <c r="H591" s="38" t="s">
        <v>6285</v>
      </c>
      <c r="J591" s="214" t="s">
        <v>6276</v>
      </c>
      <c r="O591" s="37" t="s">
        <v>6277</v>
      </c>
      <c r="P591" s="37" t="s">
        <v>6278</v>
      </c>
      <c r="S591" s="10" t="s">
        <v>3436</v>
      </c>
      <c r="U591" s="21">
        <v>1</v>
      </c>
      <c r="V591" s="21">
        <v>1</v>
      </c>
      <c r="W591" s="73">
        <f t="shared" si="24"/>
        <v>161</v>
      </c>
      <c r="X591" s="80">
        <f t="shared" si="25"/>
        <v>1154</v>
      </c>
      <c r="Y591" s="82" t="s">
        <v>3591</v>
      </c>
      <c r="Z591" s="24" t="s">
        <v>2885</v>
      </c>
      <c r="AA591" s="178"/>
      <c r="AB591" s="178">
        <v>44511</v>
      </c>
      <c r="AC591" s="84" t="s">
        <v>5308</v>
      </c>
    </row>
    <row r="592" spans="1:37" ht="15.45" customHeight="1" x14ac:dyDescent="0.25">
      <c r="A592" s="29" t="s">
        <v>5441</v>
      </c>
      <c r="C592" s="37" t="s">
        <v>2173</v>
      </c>
      <c r="E592" s="37" t="s">
        <v>2827</v>
      </c>
      <c r="F592" s="24" t="s">
        <v>3656</v>
      </c>
      <c r="P592" s="37" t="s">
        <v>1777</v>
      </c>
      <c r="S592" s="10" t="s">
        <v>2433</v>
      </c>
      <c r="U592" s="21">
        <v>1</v>
      </c>
      <c r="V592" s="21">
        <v>1</v>
      </c>
      <c r="W592" s="73">
        <f t="shared" si="24"/>
        <v>162</v>
      </c>
      <c r="X592" s="80">
        <f t="shared" si="25"/>
        <v>1155</v>
      </c>
      <c r="Y592" s="82" t="s">
        <v>3592</v>
      </c>
      <c r="Z592" s="24" t="s">
        <v>2884</v>
      </c>
    </row>
    <row r="593" spans="1:37" ht="15.45" customHeight="1" x14ac:dyDescent="0.25">
      <c r="A593" s="29" t="s">
        <v>3139</v>
      </c>
      <c r="C593" s="37" t="s">
        <v>2173</v>
      </c>
      <c r="E593" s="37" t="s">
        <v>2827</v>
      </c>
      <c r="F593" s="24" t="s">
        <v>3656</v>
      </c>
      <c r="I593" s="111" t="s">
        <v>3140</v>
      </c>
      <c r="P593" s="37" t="s">
        <v>546</v>
      </c>
      <c r="S593" s="10" t="s">
        <v>2433</v>
      </c>
      <c r="U593" s="21">
        <v>1</v>
      </c>
      <c r="V593" s="21">
        <v>1</v>
      </c>
      <c r="W593" s="73">
        <f t="shared" si="24"/>
        <v>163</v>
      </c>
      <c r="X593" s="80">
        <f t="shared" si="25"/>
        <v>1156</v>
      </c>
      <c r="Y593" s="82" t="s">
        <v>3592</v>
      </c>
      <c r="Z593" s="24" t="s">
        <v>2884</v>
      </c>
    </row>
    <row r="594" spans="1:37" s="57" customFormat="1" ht="18" customHeight="1" x14ac:dyDescent="0.3">
      <c r="A594" s="52" t="s">
        <v>2172</v>
      </c>
      <c r="B594" s="90"/>
      <c r="C594" s="49"/>
      <c r="D594" s="49"/>
      <c r="E594" s="49"/>
      <c r="F594" s="50"/>
      <c r="G594" s="50"/>
      <c r="H594" s="46"/>
      <c r="I594" s="109"/>
      <c r="J594" s="213"/>
      <c r="K594" s="129"/>
      <c r="L594" s="101"/>
      <c r="M594" s="101"/>
      <c r="N594" s="49"/>
      <c r="O594" s="49"/>
      <c r="P594" s="49"/>
      <c r="Q594" s="49"/>
      <c r="R594" s="49"/>
      <c r="S594" s="47"/>
      <c r="T594" s="47"/>
      <c r="U594" s="53"/>
      <c r="V594" s="53"/>
      <c r="W594" s="75"/>
      <c r="X594" s="81"/>
      <c r="Y594" s="92"/>
      <c r="Z594" s="90"/>
      <c r="AA594" s="174"/>
      <c r="AB594" s="174"/>
      <c r="AC594" s="91"/>
      <c r="AD594" s="91"/>
      <c r="AE594" s="54"/>
      <c r="AF594" s="47"/>
      <c r="AG594" s="47"/>
      <c r="AH594" s="47"/>
      <c r="AI594" s="47"/>
      <c r="AJ594" s="47"/>
      <c r="AK594" s="47"/>
    </row>
    <row r="595" spans="1:37" ht="15.45" customHeight="1" x14ac:dyDescent="0.25">
      <c r="A595" s="31" t="s">
        <v>1500</v>
      </c>
      <c r="C595" s="37" t="s">
        <v>2172</v>
      </c>
      <c r="E595" s="37" t="s">
        <v>2827</v>
      </c>
      <c r="F595" s="24" t="s">
        <v>1474</v>
      </c>
      <c r="G595" s="25"/>
      <c r="P595" s="37" t="s">
        <v>203</v>
      </c>
      <c r="S595" s="10" t="s">
        <v>2433</v>
      </c>
      <c r="T595" s="11"/>
      <c r="U595" s="21">
        <v>1</v>
      </c>
      <c r="V595" s="21">
        <v>1</v>
      </c>
      <c r="W595" s="73">
        <v>1</v>
      </c>
      <c r="X595" s="80">
        <f>V595+X593</f>
        <v>1157</v>
      </c>
      <c r="Y595" s="82" t="s">
        <v>3584</v>
      </c>
      <c r="AF595" s="11"/>
      <c r="AG595" s="11"/>
      <c r="AH595" s="11"/>
      <c r="AI595" s="11"/>
      <c r="AJ595" s="11"/>
      <c r="AK595" s="11"/>
    </row>
    <row r="596" spans="1:37" ht="15.45" customHeight="1" x14ac:dyDescent="0.25">
      <c r="A596" s="31" t="s">
        <v>1501</v>
      </c>
      <c r="C596" s="37" t="s">
        <v>2172</v>
      </c>
      <c r="E596" s="37" t="s">
        <v>2827</v>
      </c>
      <c r="F596" s="24" t="s">
        <v>1474</v>
      </c>
      <c r="G596" s="25"/>
      <c r="P596" s="37" t="s">
        <v>130</v>
      </c>
      <c r="S596" s="10" t="s">
        <v>2433</v>
      </c>
      <c r="T596" s="11"/>
      <c r="U596" s="21">
        <v>1</v>
      </c>
      <c r="V596" s="21">
        <v>1</v>
      </c>
      <c r="W596" s="73">
        <f t="shared" ref="W596:W632" si="26">W595+V596</f>
        <v>2</v>
      </c>
      <c r="X596" s="80">
        <f t="shared" ref="X596:X632" si="27">V596+X595</f>
        <v>1158</v>
      </c>
      <c r="Y596" s="82" t="s">
        <v>3584</v>
      </c>
      <c r="AF596" s="11"/>
      <c r="AG596" s="11"/>
      <c r="AH596" s="11"/>
      <c r="AI596" s="11"/>
      <c r="AJ596" s="11"/>
      <c r="AK596" s="11"/>
    </row>
    <row r="597" spans="1:37" ht="15.45" customHeight="1" x14ac:dyDescent="0.25">
      <c r="A597" s="31" t="s">
        <v>2545</v>
      </c>
      <c r="C597" s="37" t="s">
        <v>2172</v>
      </c>
      <c r="E597" s="37" t="s">
        <v>2827</v>
      </c>
      <c r="F597" s="24" t="s">
        <v>1474</v>
      </c>
      <c r="G597" s="25"/>
      <c r="I597" s="111" t="s">
        <v>3141</v>
      </c>
      <c r="P597" s="37" t="s">
        <v>749</v>
      </c>
      <c r="S597" s="10" t="s">
        <v>2433</v>
      </c>
      <c r="T597" s="11"/>
      <c r="U597" s="21">
        <v>1</v>
      </c>
      <c r="V597" s="21">
        <v>1</v>
      </c>
      <c r="W597" s="73">
        <f t="shared" si="26"/>
        <v>3</v>
      </c>
      <c r="X597" s="80">
        <f t="shared" si="27"/>
        <v>1159</v>
      </c>
      <c r="Y597" s="82" t="s">
        <v>3591</v>
      </c>
      <c r="Z597" s="24" t="s">
        <v>430</v>
      </c>
      <c r="AF597" s="11"/>
      <c r="AG597" s="11"/>
      <c r="AH597" s="11"/>
      <c r="AI597" s="11"/>
      <c r="AJ597" s="11"/>
      <c r="AK597" s="11"/>
    </row>
    <row r="598" spans="1:37" ht="15.45" customHeight="1" x14ac:dyDescent="0.25">
      <c r="A598" s="31" t="s">
        <v>2545</v>
      </c>
      <c r="C598" s="37" t="s">
        <v>2172</v>
      </c>
      <c r="E598" s="37" t="s">
        <v>2827</v>
      </c>
      <c r="F598" s="24" t="s">
        <v>1474</v>
      </c>
      <c r="G598" s="25"/>
      <c r="H598" s="38" t="s">
        <v>3144</v>
      </c>
      <c r="P598" s="37" t="s">
        <v>749</v>
      </c>
      <c r="S598" s="10" t="s">
        <v>2433</v>
      </c>
      <c r="T598" s="11"/>
      <c r="U598" s="21">
        <v>1</v>
      </c>
      <c r="V598" s="21">
        <v>1</v>
      </c>
      <c r="W598" s="73">
        <f t="shared" si="26"/>
        <v>4</v>
      </c>
      <c r="X598" s="80">
        <f t="shared" si="27"/>
        <v>1160</v>
      </c>
      <c r="Y598" s="82" t="s">
        <v>3592</v>
      </c>
      <c r="Z598" s="24" t="s">
        <v>2884</v>
      </c>
      <c r="AF598" s="11"/>
      <c r="AG598" s="11"/>
      <c r="AH598" s="11"/>
      <c r="AI598" s="11"/>
      <c r="AJ598" s="11"/>
      <c r="AK598" s="11"/>
    </row>
    <row r="599" spans="1:37" ht="15.45" customHeight="1" x14ac:dyDescent="0.25">
      <c r="A599" s="31" t="s">
        <v>2546</v>
      </c>
      <c r="C599" s="37" t="s">
        <v>2172</v>
      </c>
      <c r="E599" s="37" t="s">
        <v>2827</v>
      </c>
      <c r="F599" s="24" t="s">
        <v>1474</v>
      </c>
      <c r="G599" s="25"/>
      <c r="H599" s="38" t="s">
        <v>5686</v>
      </c>
      <c r="J599" s="214" t="s">
        <v>5305</v>
      </c>
      <c r="S599" s="10" t="s">
        <v>3436</v>
      </c>
      <c r="T599" s="11"/>
      <c r="U599" s="21">
        <v>4</v>
      </c>
      <c r="V599" s="21">
        <v>4</v>
      </c>
      <c r="W599" s="73">
        <f t="shared" si="26"/>
        <v>8</v>
      </c>
      <c r="X599" s="80">
        <f t="shared" si="27"/>
        <v>1164</v>
      </c>
      <c r="Y599" s="82" t="s">
        <v>3591</v>
      </c>
      <c r="Z599" s="24" t="s">
        <v>2885</v>
      </c>
      <c r="AB599" s="177">
        <v>42560</v>
      </c>
      <c r="AC599" s="84" t="s">
        <v>2885</v>
      </c>
      <c r="AF599" s="11"/>
      <c r="AG599" s="11"/>
      <c r="AH599" s="11"/>
      <c r="AI599" s="11"/>
      <c r="AJ599" s="11"/>
      <c r="AK599" s="11"/>
    </row>
    <row r="600" spans="1:37" ht="15.45" customHeight="1" x14ac:dyDescent="0.25">
      <c r="A600" s="31" t="s">
        <v>5696</v>
      </c>
      <c r="B600" s="24" t="s">
        <v>5307</v>
      </c>
      <c r="C600" s="37" t="s">
        <v>2172</v>
      </c>
      <c r="E600" s="37" t="s">
        <v>2928</v>
      </c>
      <c r="F600" s="24" t="s">
        <v>1474</v>
      </c>
      <c r="G600" s="25"/>
      <c r="H600" s="38" t="s">
        <v>5687</v>
      </c>
      <c r="J600" s="214" t="s">
        <v>5305</v>
      </c>
      <c r="Q600" s="37" t="s">
        <v>1970</v>
      </c>
      <c r="T600" s="11"/>
      <c r="U600" s="21">
        <v>1</v>
      </c>
      <c r="V600" s="21">
        <v>1</v>
      </c>
      <c r="W600" s="73">
        <f t="shared" si="26"/>
        <v>9</v>
      </c>
      <c r="X600" s="80">
        <f t="shared" si="27"/>
        <v>1165</v>
      </c>
      <c r="Y600" s="82" t="s">
        <v>3591</v>
      </c>
      <c r="Z600" s="24" t="s">
        <v>2885</v>
      </c>
      <c r="AB600" s="177">
        <v>42560</v>
      </c>
      <c r="AC600" s="84" t="s">
        <v>2885</v>
      </c>
      <c r="AF600" s="11"/>
      <c r="AG600" s="11"/>
      <c r="AH600" s="11"/>
      <c r="AI600" s="11"/>
      <c r="AJ600" s="11"/>
      <c r="AK600" s="11"/>
    </row>
    <row r="601" spans="1:37" ht="15.45" customHeight="1" x14ac:dyDescent="0.25">
      <c r="A601" s="31" t="s">
        <v>5950</v>
      </c>
      <c r="C601" s="37" t="s">
        <v>2172</v>
      </c>
      <c r="E601" s="37" t="s">
        <v>2928</v>
      </c>
      <c r="F601" s="24" t="s">
        <v>1474</v>
      </c>
      <c r="G601" s="25"/>
      <c r="H601" s="38" t="s">
        <v>5951</v>
      </c>
      <c r="J601" s="214" t="s">
        <v>5684</v>
      </c>
      <c r="O601" s="37" t="s">
        <v>5952</v>
      </c>
      <c r="P601" s="37" t="s">
        <v>1463</v>
      </c>
      <c r="Q601" s="37" t="s">
        <v>3506</v>
      </c>
      <c r="R601" s="37" t="s">
        <v>1792</v>
      </c>
      <c r="S601" s="10" t="s">
        <v>3436</v>
      </c>
      <c r="T601" s="11"/>
      <c r="U601" s="21">
        <v>1</v>
      </c>
      <c r="V601" s="21">
        <v>1</v>
      </c>
      <c r="W601" s="73">
        <f t="shared" si="26"/>
        <v>10</v>
      </c>
      <c r="X601" s="80">
        <f t="shared" si="27"/>
        <v>1166</v>
      </c>
      <c r="Y601" s="82" t="s">
        <v>3591</v>
      </c>
      <c r="Z601" s="24" t="s">
        <v>2885</v>
      </c>
      <c r="AB601" s="177">
        <v>44392</v>
      </c>
      <c r="AC601" s="84" t="s">
        <v>2885</v>
      </c>
      <c r="AF601" s="11"/>
      <c r="AG601" s="11"/>
      <c r="AH601" s="11"/>
      <c r="AI601" s="11"/>
      <c r="AJ601" s="11"/>
      <c r="AK601" s="11"/>
    </row>
    <row r="602" spans="1:37" ht="15.45" customHeight="1" x14ac:dyDescent="0.25">
      <c r="A602" s="31" t="s">
        <v>5338</v>
      </c>
      <c r="B602" s="24" t="s">
        <v>5709</v>
      </c>
      <c r="C602" s="37" t="s">
        <v>2172</v>
      </c>
      <c r="E602" s="37" t="s">
        <v>2928</v>
      </c>
      <c r="F602" s="24" t="s">
        <v>1474</v>
      </c>
      <c r="G602" s="25"/>
      <c r="H602" s="38" t="s">
        <v>5326</v>
      </c>
      <c r="J602" s="214" t="s">
        <v>5327</v>
      </c>
      <c r="O602" s="37" t="s">
        <v>749</v>
      </c>
      <c r="P602" s="37" t="s">
        <v>1463</v>
      </c>
      <c r="Q602" s="37" t="s">
        <v>3506</v>
      </c>
      <c r="R602" s="37" t="s">
        <v>1792</v>
      </c>
      <c r="S602" s="10" t="s">
        <v>3436</v>
      </c>
      <c r="T602" s="38" t="s">
        <v>5328</v>
      </c>
      <c r="U602" s="21">
        <v>1</v>
      </c>
      <c r="V602" s="21">
        <v>1</v>
      </c>
      <c r="W602" s="73">
        <f t="shared" si="26"/>
        <v>11</v>
      </c>
      <c r="X602" s="80">
        <f t="shared" si="27"/>
        <v>1167</v>
      </c>
      <c r="Y602" s="82" t="s">
        <v>3591</v>
      </c>
      <c r="Z602" s="24" t="s">
        <v>2885</v>
      </c>
      <c r="AB602" s="177">
        <v>42560</v>
      </c>
      <c r="AC602" s="84" t="s">
        <v>2885</v>
      </c>
      <c r="AF602" s="11"/>
      <c r="AG602" s="11"/>
      <c r="AH602" s="11"/>
      <c r="AI602" s="11"/>
      <c r="AJ602" s="11"/>
      <c r="AK602" s="11"/>
    </row>
    <row r="603" spans="1:37" ht="15.45" customHeight="1" x14ac:dyDescent="0.25">
      <c r="A603" s="31" t="s">
        <v>5383</v>
      </c>
      <c r="B603" s="24" t="s">
        <v>5709</v>
      </c>
      <c r="C603" s="37" t="s">
        <v>2172</v>
      </c>
      <c r="E603" s="37" t="s">
        <v>2827</v>
      </c>
      <c r="F603" s="38"/>
      <c r="G603" s="38"/>
      <c r="H603" s="38" t="s">
        <v>5385</v>
      </c>
      <c r="J603" s="214" t="s">
        <v>5327</v>
      </c>
      <c r="O603" s="37" t="s">
        <v>749</v>
      </c>
      <c r="P603" s="37" t="s">
        <v>1463</v>
      </c>
      <c r="Q603" s="37" t="s">
        <v>3506</v>
      </c>
      <c r="R603" s="37" t="s">
        <v>1792</v>
      </c>
      <c r="S603" s="10" t="s">
        <v>3412</v>
      </c>
      <c r="T603" s="38" t="s">
        <v>5328</v>
      </c>
      <c r="U603" s="21">
        <v>1</v>
      </c>
      <c r="V603" s="21">
        <v>1</v>
      </c>
      <c r="W603" s="73">
        <f t="shared" si="26"/>
        <v>12</v>
      </c>
      <c r="X603" s="80">
        <f t="shared" si="27"/>
        <v>1168</v>
      </c>
      <c r="Y603" s="82" t="s">
        <v>3591</v>
      </c>
      <c r="Z603" s="24" t="s">
        <v>2885</v>
      </c>
      <c r="AB603" s="177">
        <v>42560</v>
      </c>
      <c r="AC603" s="84" t="s">
        <v>2885</v>
      </c>
      <c r="AF603" s="11"/>
      <c r="AG603" s="11"/>
      <c r="AH603" s="11"/>
      <c r="AI603" s="11"/>
      <c r="AJ603" s="11"/>
      <c r="AK603" s="11"/>
    </row>
    <row r="604" spans="1:37" ht="15.45" customHeight="1" x14ac:dyDescent="0.25">
      <c r="A604" s="31" t="s">
        <v>3142</v>
      </c>
      <c r="C604" s="37" t="s">
        <v>2172</v>
      </c>
      <c r="E604" s="37" t="s">
        <v>2827</v>
      </c>
      <c r="F604" s="38" t="s">
        <v>1824</v>
      </c>
      <c r="G604" s="38"/>
      <c r="H604" s="38" t="s">
        <v>3143</v>
      </c>
      <c r="O604" s="37" t="s">
        <v>5384</v>
      </c>
      <c r="P604" s="37" t="s">
        <v>5351</v>
      </c>
      <c r="Q604" s="37" t="s">
        <v>3506</v>
      </c>
      <c r="R604" s="37" t="s">
        <v>1792</v>
      </c>
      <c r="S604" s="10" t="s">
        <v>2433</v>
      </c>
      <c r="T604" s="11"/>
      <c r="U604" s="21">
        <v>1</v>
      </c>
      <c r="V604" s="21">
        <v>1</v>
      </c>
      <c r="W604" s="73">
        <f t="shared" si="26"/>
        <v>13</v>
      </c>
      <c r="X604" s="80">
        <f t="shared" si="27"/>
        <v>1169</v>
      </c>
      <c r="Y604" s="82" t="s">
        <v>3592</v>
      </c>
      <c r="Z604" s="24" t="s">
        <v>2884</v>
      </c>
      <c r="AF604" s="11"/>
      <c r="AG604" s="11"/>
      <c r="AH604" s="11"/>
      <c r="AI604" s="11"/>
      <c r="AJ604" s="11"/>
      <c r="AK604" s="11"/>
    </row>
    <row r="605" spans="1:37" ht="15.45" customHeight="1" x14ac:dyDescent="0.25">
      <c r="A605" s="31" t="s">
        <v>1727</v>
      </c>
      <c r="C605" s="37" t="s">
        <v>2172</v>
      </c>
      <c r="E605" s="37" t="s">
        <v>2827</v>
      </c>
      <c r="F605" s="24" t="s">
        <v>1474</v>
      </c>
      <c r="G605" s="25"/>
      <c r="O605" s="37" t="s">
        <v>5953</v>
      </c>
      <c r="P605" s="37" t="s">
        <v>5954</v>
      </c>
      <c r="Q605" s="37" t="s">
        <v>1979</v>
      </c>
      <c r="R605" s="37" t="s">
        <v>1792</v>
      </c>
      <c r="S605" s="10" t="s">
        <v>2433</v>
      </c>
      <c r="T605" s="11"/>
      <c r="U605" s="21">
        <v>1</v>
      </c>
      <c r="V605" s="21">
        <v>1</v>
      </c>
      <c r="W605" s="73">
        <f t="shared" si="26"/>
        <v>14</v>
      </c>
      <c r="X605" s="80">
        <f t="shared" si="27"/>
        <v>1170</v>
      </c>
      <c r="Y605" s="82" t="s">
        <v>3584</v>
      </c>
      <c r="AF605" s="11"/>
      <c r="AG605" s="11"/>
      <c r="AH605" s="11"/>
      <c r="AI605" s="11"/>
      <c r="AJ605" s="11"/>
      <c r="AK605" s="11"/>
    </row>
    <row r="606" spans="1:37" ht="15.45" customHeight="1" x14ac:dyDescent="0.25">
      <c r="A606" s="31" t="s">
        <v>1830</v>
      </c>
      <c r="C606" s="37" t="s">
        <v>2172</v>
      </c>
      <c r="E606" s="37" t="s">
        <v>2827</v>
      </c>
      <c r="F606" s="24" t="s">
        <v>1474</v>
      </c>
      <c r="G606" s="25"/>
      <c r="P606" s="37" t="s">
        <v>29</v>
      </c>
      <c r="Q606" s="37" t="s">
        <v>1998</v>
      </c>
      <c r="R606" s="37" t="s">
        <v>1792</v>
      </c>
      <c r="S606" s="10" t="s">
        <v>2433</v>
      </c>
      <c r="T606" s="37"/>
      <c r="U606" s="21">
        <v>1</v>
      </c>
      <c r="V606" s="21">
        <v>1</v>
      </c>
      <c r="W606" s="73">
        <f t="shared" si="26"/>
        <v>15</v>
      </c>
      <c r="X606" s="80">
        <f t="shared" si="27"/>
        <v>1171</v>
      </c>
      <c r="Y606" s="82" t="s">
        <v>3584</v>
      </c>
      <c r="AF606" s="11"/>
      <c r="AG606" s="11"/>
      <c r="AH606" s="11"/>
      <c r="AI606" s="11"/>
      <c r="AJ606" s="11"/>
      <c r="AK606" s="11"/>
    </row>
    <row r="607" spans="1:37" ht="15.45" customHeight="1" x14ac:dyDescent="0.25">
      <c r="A607" s="31" t="s">
        <v>1774</v>
      </c>
      <c r="C607" s="37" t="s">
        <v>2172</v>
      </c>
      <c r="E607" s="37" t="s">
        <v>2827</v>
      </c>
      <c r="F607" s="24" t="s">
        <v>1474</v>
      </c>
      <c r="G607" s="25"/>
      <c r="O607" s="37" t="s">
        <v>1854</v>
      </c>
      <c r="P607" s="37" t="s">
        <v>5563</v>
      </c>
      <c r="Q607" s="37" t="s">
        <v>1998</v>
      </c>
      <c r="R607" s="37" t="s">
        <v>1792</v>
      </c>
      <c r="S607" s="10" t="s">
        <v>2433</v>
      </c>
      <c r="T607" s="37"/>
      <c r="U607" s="21">
        <v>1</v>
      </c>
      <c r="V607" s="21">
        <v>1</v>
      </c>
      <c r="W607" s="73">
        <f t="shared" si="26"/>
        <v>16</v>
      </c>
      <c r="X607" s="80">
        <f t="shared" si="27"/>
        <v>1172</v>
      </c>
      <c r="Y607" s="82" t="s">
        <v>3584</v>
      </c>
      <c r="AF607" s="11"/>
      <c r="AG607" s="11"/>
      <c r="AH607" s="11"/>
      <c r="AI607" s="11"/>
      <c r="AJ607" s="11"/>
      <c r="AK607" s="11"/>
    </row>
    <row r="608" spans="1:37" ht="15.45" customHeight="1" x14ac:dyDescent="0.25">
      <c r="A608" s="31" t="s">
        <v>1907</v>
      </c>
      <c r="C608" s="37" t="s">
        <v>2172</v>
      </c>
      <c r="E608" s="37" t="s">
        <v>2827</v>
      </c>
      <c r="F608" s="24" t="s">
        <v>1474</v>
      </c>
      <c r="G608" s="25"/>
      <c r="P608" s="37" t="s">
        <v>29</v>
      </c>
      <c r="Q608" s="37" t="s">
        <v>1998</v>
      </c>
      <c r="R608" s="37" t="s">
        <v>1792</v>
      </c>
      <c r="S608" s="10" t="s">
        <v>2433</v>
      </c>
      <c r="T608" s="11"/>
      <c r="U608" s="21">
        <v>1</v>
      </c>
      <c r="V608" s="21">
        <v>1</v>
      </c>
      <c r="W608" s="73">
        <f t="shared" si="26"/>
        <v>17</v>
      </c>
      <c r="X608" s="80">
        <f t="shared" si="27"/>
        <v>1173</v>
      </c>
      <c r="Y608" s="82" t="s">
        <v>3584</v>
      </c>
      <c r="AF608" s="11"/>
      <c r="AG608" s="11"/>
      <c r="AH608" s="11"/>
      <c r="AI608" s="11"/>
      <c r="AJ608" s="11"/>
      <c r="AK608" s="11"/>
    </row>
    <row r="609" spans="1:37" ht="15.45" customHeight="1" x14ac:dyDescent="0.25">
      <c r="A609" s="31" t="s">
        <v>1775</v>
      </c>
      <c r="C609" s="37" t="s">
        <v>2172</v>
      </c>
      <c r="E609" s="37" t="s">
        <v>2827</v>
      </c>
      <c r="F609" s="24" t="s">
        <v>1474</v>
      </c>
      <c r="G609" s="25"/>
      <c r="S609" s="10" t="s">
        <v>2433</v>
      </c>
      <c r="T609" s="11"/>
      <c r="U609" s="21">
        <v>1</v>
      </c>
      <c r="V609" s="21">
        <v>1</v>
      </c>
      <c r="W609" s="73">
        <f t="shared" si="26"/>
        <v>18</v>
      </c>
      <c r="X609" s="80">
        <f t="shared" si="27"/>
        <v>1174</v>
      </c>
      <c r="Y609" s="82" t="s">
        <v>3584</v>
      </c>
      <c r="AF609" s="11"/>
      <c r="AG609" s="11"/>
      <c r="AH609" s="11"/>
      <c r="AI609" s="11"/>
      <c r="AJ609" s="11"/>
      <c r="AK609" s="11"/>
    </row>
    <row r="610" spans="1:37" ht="15.45" customHeight="1" x14ac:dyDescent="0.25">
      <c r="A610" s="31" t="s">
        <v>1775</v>
      </c>
      <c r="B610" s="24" t="s">
        <v>3251</v>
      </c>
      <c r="C610" s="37" t="s">
        <v>2172</v>
      </c>
      <c r="E610" s="37" t="s">
        <v>2827</v>
      </c>
      <c r="F610" s="24" t="s">
        <v>1474</v>
      </c>
      <c r="G610" s="25"/>
      <c r="J610" s="214" t="s">
        <v>3694</v>
      </c>
      <c r="K610" s="10" t="s">
        <v>3762</v>
      </c>
      <c r="O610" s="37" t="s">
        <v>5955</v>
      </c>
      <c r="P610" s="37" t="s">
        <v>1781</v>
      </c>
      <c r="Q610" s="37" t="s">
        <v>3506</v>
      </c>
      <c r="R610" s="37" t="s">
        <v>1792</v>
      </c>
      <c r="S610" s="10" t="s">
        <v>2433</v>
      </c>
      <c r="T610" s="11"/>
      <c r="U610" s="21">
        <v>1</v>
      </c>
      <c r="V610" s="21">
        <v>1</v>
      </c>
      <c r="W610" s="73">
        <f t="shared" si="26"/>
        <v>19</v>
      </c>
      <c r="X610" s="80">
        <f t="shared" si="27"/>
        <v>1175</v>
      </c>
      <c r="Y610" s="82" t="s">
        <v>3584</v>
      </c>
      <c r="AF610" s="11"/>
      <c r="AG610" s="11"/>
      <c r="AH610" s="11"/>
      <c r="AI610" s="11"/>
      <c r="AJ610" s="11"/>
      <c r="AK610" s="11"/>
    </row>
    <row r="611" spans="1:37" ht="15.45" customHeight="1" x14ac:dyDescent="0.25">
      <c r="A611" s="31" t="s">
        <v>5944</v>
      </c>
      <c r="C611" s="37" t="s">
        <v>2172</v>
      </c>
      <c r="E611" s="37" t="s">
        <v>2827</v>
      </c>
      <c r="F611" s="24" t="s">
        <v>1474</v>
      </c>
      <c r="G611" s="25"/>
      <c r="H611" s="38" t="s">
        <v>2877</v>
      </c>
      <c r="J611" s="214" t="s">
        <v>5327</v>
      </c>
      <c r="O611" s="37" t="s">
        <v>749</v>
      </c>
      <c r="P611" s="37" t="s">
        <v>1463</v>
      </c>
      <c r="Q611" s="37" t="s">
        <v>3506</v>
      </c>
      <c r="R611" s="37" t="s">
        <v>1792</v>
      </c>
      <c r="S611" s="10" t="s">
        <v>2983</v>
      </c>
      <c r="T611" s="11"/>
      <c r="U611" s="21">
        <v>1</v>
      </c>
      <c r="V611" s="21">
        <v>1</v>
      </c>
      <c r="W611" s="73">
        <f t="shared" si="26"/>
        <v>20</v>
      </c>
      <c r="X611" s="80">
        <f t="shared" si="27"/>
        <v>1176</v>
      </c>
      <c r="Y611" s="82" t="s">
        <v>3591</v>
      </c>
      <c r="Z611" s="24" t="s">
        <v>2885</v>
      </c>
      <c r="AB611" s="177">
        <v>42560</v>
      </c>
      <c r="AC611" s="84" t="s">
        <v>2885</v>
      </c>
      <c r="AF611" s="11"/>
      <c r="AG611" s="11"/>
      <c r="AH611" s="11"/>
      <c r="AI611" s="11" t="s">
        <v>2544</v>
      </c>
      <c r="AJ611" s="11"/>
      <c r="AK611" s="11"/>
    </row>
    <row r="612" spans="1:37" ht="15.45" customHeight="1" x14ac:dyDescent="0.25">
      <c r="A612" s="31" t="s">
        <v>5945</v>
      </c>
      <c r="C612" s="37" t="s">
        <v>2172</v>
      </c>
      <c r="E612" s="37" t="s">
        <v>2827</v>
      </c>
      <c r="F612" s="24" t="s">
        <v>1474</v>
      </c>
      <c r="G612" s="25"/>
      <c r="H612" s="38" t="s">
        <v>5947</v>
      </c>
      <c r="J612" s="214" t="s">
        <v>5327</v>
      </c>
      <c r="O612" s="37" t="s">
        <v>5949</v>
      </c>
      <c r="P612" s="37" t="s">
        <v>2035</v>
      </c>
      <c r="Q612" s="37" t="s">
        <v>3506</v>
      </c>
      <c r="R612" s="37" t="s">
        <v>1792</v>
      </c>
      <c r="S612" s="10" t="s">
        <v>2433</v>
      </c>
      <c r="T612" s="11"/>
      <c r="U612" s="21">
        <v>1</v>
      </c>
      <c r="V612" s="21">
        <v>1</v>
      </c>
      <c r="W612" s="73">
        <f t="shared" si="26"/>
        <v>21</v>
      </c>
      <c r="X612" s="80">
        <f t="shared" si="27"/>
        <v>1177</v>
      </c>
      <c r="Y612" s="82" t="s">
        <v>3591</v>
      </c>
      <c r="Z612" s="24" t="s">
        <v>2885</v>
      </c>
      <c r="AB612" s="177">
        <v>44392</v>
      </c>
      <c r="AC612" s="84" t="s">
        <v>2885</v>
      </c>
      <c r="AF612" s="11"/>
      <c r="AG612" s="11"/>
      <c r="AH612" s="11"/>
      <c r="AI612" s="11"/>
      <c r="AJ612" s="11"/>
      <c r="AK612" s="11"/>
    </row>
    <row r="613" spans="1:37" ht="15.45" customHeight="1" x14ac:dyDescent="0.25">
      <c r="A613" s="31" t="s">
        <v>5946</v>
      </c>
      <c r="C613" s="37" t="s">
        <v>2172</v>
      </c>
      <c r="E613" s="37" t="s">
        <v>2827</v>
      </c>
      <c r="F613" s="24" t="s">
        <v>1474</v>
      </c>
      <c r="G613" s="25"/>
      <c r="H613" s="38" t="s">
        <v>5948</v>
      </c>
      <c r="J613" s="214" t="s">
        <v>5327</v>
      </c>
      <c r="O613" s="37" t="s">
        <v>5949</v>
      </c>
      <c r="P613" s="37" t="s">
        <v>2035</v>
      </c>
      <c r="Q613" s="37" t="s">
        <v>3506</v>
      </c>
      <c r="R613" s="37" t="s">
        <v>1792</v>
      </c>
      <c r="S613" s="10" t="s">
        <v>2433</v>
      </c>
      <c r="T613" s="11"/>
      <c r="U613" s="21">
        <v>1</v>
      </c>
      <c r="V613" s="21">
        <v>1</v>
      </c>
      <c r="W613" s="73">
        <f t="shared" si="26"/>
        <v>22</v>
      </c>
      <c r="X613" s="80">
        <f t="shared" si="27"/>
        <v>1178</v>
      </c>
      <c r="Y613" s="82" t="s">
        <v>3591</v>
      </c>
      <c r="Z613" s="24" t="s">
        <v>2885</v>
      </c>
      <c r="AB613" s="177">
        <v>44392</v>
      </c>
      <c r="AC613" s="84" t="s">
        <v>2885</v>
      </c>
      <c r="AF613" s="11"/>
      <c r="AG613" s="11"/>
      <c r="AH613" s="11"/>
      <c r="AI613" s="11"/>
      <c r="AJ613" s="11"/>
      <c r="AK613" s="11"/>
    </row>
    <row r="614" spans="1:37" ht="15.45" customHeight="1" x14ac:dyDescent="0.3">
      <c r="A614" s="31" t="s">
        <v>6286</v>
      </c>
      <c r="C614" s="37" t="s">
        <v>2172</v>
      </c>
      <c r="E614" s="37" t="s">
        <v>2827</v>
      </c>
      <c r="G614" s="25"/>
      <c r="H614" s="201" t="s">
        <v>6287</v>
      </c>
      <c r="J614" s="214" t="s">
        <v>5684</v>
      </c>
      <c r="O614" s="37" t="s">
        <v>6288</v>
      </c>
      <c r="P614" s="37" t="s">
        <v>1463</v>
      </c>
      <c r="Q614" s="37" t="s">
        <v>3506</v>
      </c>
      <c r="R614" s="37" t="s">
        <v>1792</v>
      </c>
      <c r="S614" s="10" t="s">
        <v>2983</v>
      </c>
      <c r="T614" s="11"/>
      <c r="U614" s="21">
        <v>1</v>
      </c>
      <c r="V614" s="21">
        <v>1</v>
      </c>
      <c r="W614" s="73">
        <f t="shared" si="26"/>
        <v>23</v>
      </c>
      <c r="X614" s="80">
        <f t="shared" si="27"/>
        <v>1179</v>
      </c>
      <c r="Y614" s="82" t="s">
        <v>3591</v>
      </c>
      <c r="Z614" s="24" t="s">
        <v>2885</v>
      </c>
      <c r="AB614" s="177">
        <v>44511</v>
      </c>
      <c r="AC614" s="84" t="s">
        <v>2885</v>
      </c>
      <c r="AF614" s="11"/>
      <c r="AG614" s="11"/>
      <c r="AH614" s="11"/>
      <c r="AI614" s="11"/>
      <c r="AJ614" s="11"/>
      <c r="AK614" s="11"/>
    </row>
    <row r="615" spans="1:37" ht="15.45" customHeight="1" x14ac:dyDescent="0.25">
      <c r="A615" s="31" t="s">
        <v>1652</v>
      </c>
      <c r="C615" s="37" t="s">
        <v>2172</v>
      </c>
      <c r="E615" s="37" t="s">
        <v>2827</v>
      </c>
      <c r="F615" s="24" t="s">
        <v>1474</v>
      </c>
      <c r="G615" s="25"/>
      <c r="P615" s="37" t="s">
        <v>29</v>
      </c>
      <c r="Q615" s="37" t="s">
        <v>1998</v>
      </c>
      <c r="R615" s="37" t="s">
        <v>1792</v>
      </c>
      <c r="S615" s="10" t="s">
        <v>2433</v>
      </c>
      <c r="T615" s="11"/>
      <c r="U615" s="21">
        <v>1</v>
      </c>
      <c r="V615" s="21">
        <v>1</v>
      </c>
      <c r="W615" s="73">
        <f t="shared" si="26"/>
        <v>24</v>
      </c>
      <c r="X615" s="80">
        <f t="shared" si="27"/>
        <v>1180</v>
      </c>
      <c r="Y615" s="82" t="s">
        <v>3584</v>
      </c>
      <c r="AF615" s="11"/>
      <c r="AG615" s="11"/>
      <c r="AH615" s="11"/>
      <c r="AI615" s="11"/>
      <c r="AJ615" s="11"/>
      <c r="AK615" s="11"/>
    </row>
    <row r="616" spans="1:37" ht="15.45" customHeight="1" x14ac:dyDescent="0.25">
      <c r="A616" s="31" t="s">
        <v>1652</v>
      </c>
      <c r="C616" s="37" t="s">
        <v>2172</v>
      </c>
      <c r="E616" s="37" t="s">
        <v>2827</v>
      </c>
      <c r="F616" s="24" t="s">
        <v>1474</v>
      </c>
      <c r="G616" s="25"/>
      <c r="P616" s="37" t="s">
        <v>131</v>
      </c>
      <c r="Q616" s="37" t="s">
        <v>1998</v>
      </c>
      <c r="R616" s="37" t="s">
        <v>1792</v>
      </c>
      <c r="S616" s="10" t="s">
        <v>2433</v>
      </c>
      <c r="T616" s="11"/>
      <c r="U616" s="21">
        <v>1</v>
      </c>
      <c r="V616" s="21">
        <v>1</v>
      </c>
      <c r="W616" s="73">
        <f t="shared" si="26"/>
        <v>25</v>
      </c>
      <c r="X616" s="80">
        <f t="shared" si="27"/>
        <v>1181</v>
      </c>
      <c r="Y616" s="82" t="s">
        <v>3584</v>
      </c>
      <c r="AF616" s="11"/>
      <c r="AG616" s="11"/>
      <c r="AH616" s="11"/>
      <c r="AI616" s="11"/>
      <c r="AJ616" s="11"/>
      <c r="AK616" s="11"/>
    </row>
    <row r="617" spans="1:37" ht="15.45" customHeight="1" x14ac:dyDescent="0.25">
      <c r="A617" s="31" t="s">
        <v>1753</v>
      </c>
      <c r="C617" s="37" t="s">
        <v>2172</v>
      </c>
      <c r="E617" s="37" t="s">
        <v>2827</v>
      </c>
      <c r="F617" s="24" t="s">
        <v>1474</v>
      </c>
      <c r="G617" s="25"/>
      <c r="P617" s="37" t="s">
        <v>131</v>
      </c>
      <c r="Q617" s="37" t="s">
        <v>1998</v>
      </c>
      <c r="R617" s="37" t="s">
        <v>1792</v>
      </c>
      <c r="S617" s="10" t="s">
        <v>2433</v>
      </c>
      <c r="T617" s="11"/>
      <c r="U617" s="21">
        <v>1</v>
      </c>
      <c r="V617" s="21">
        <v>1</v>
      </c>
      <c r="W617" s="73">
        <f t="shared" si="26"/>
        <v>26</v>
      </c>
      <c r="X617" s="80">
        <f t="shared" si="27"/>
        <v>1182</v>
      </c>
      <c r="Y617" s="82" t="s">
        <v>3584</v>
      </c>
      <c r="AF617" s="11"/>
      <c r="AG617" s="11"/>
      <c r="AH617" s="11"/>
      <c r="AI617" s="11"/>
      <c r="AJ617" s="11"/>
      <c r="AK617" s="11"/>
    </row>
    <row r="618" spans="1:37" ht="15.45" customHeight="1" x14ac:dyDescent="0.25">
      <c r="A618" s="31" t="s">
        <v>1846</v>
      </c>
      <c r="C618" s="37" t="s">
        <v>2172</v>
      </c>
      <c r="E618" s="37" t="s">
        <v>2827</v>
      </c>
      <c r="F618" s="24" t="s">
        <v>1474</v>
      </c>
      <c r="G618" s="25"/>
      <c r="P618" s="37" t="s">
        <v>203</v>
      </c>
      <c r="Q618" s="37" t="s">
        <v>1998</v>
      </c>
      <c r="R618" s="37" t="s">
        <v>1792</v>
      </c>
      <c r="S618" s="10" t="s">
        <v>2433</v>
      </c>
      <c r="T618" s="11"/>
      <c r="U618" s="21">
        <v>1</v>
      </c>
      <c r="V618" s="21">
        <v>1</v>
      </c>
      <c r="W618" s="73">
        <f t="shared" si="26"/>
        <v>27</v>
      </c>
      <c r="X618" s="80">
        <f t="shared" si="27"/>
        <v>1183</v>
      </c>
      <c r="Y618" s="82" t="s">
        <v>3584</v>
      </c>
      <c r="AF618" s="11"/>
      <c r="AG618" s="11"/>
      <c r="AH618" s="11"/>
      <c r="AI618" s="11"/>
      <c r="AJ618" s="11"/>
      <c r="AK618" s="11"/>
    </row>
    <row r="619" spans="1:37" ht="15.45" customHeight="1" x14ac:dyDescent="0.25">
      <c r="A619" s="31" t="s">
        <v>1944</v>
      </c>
      <c r="C619" s="37" t="s">
        <v>2172</v>
      </c>
      <c r="E619" s="37" t="s">
        <v>2827</v>
      </c>
      <c r="F619" s="24" t="s">
        <v>1474</v>
      </c>
      <c r="G619" s="25"/>
      <c r="P619" s="37" t="s">
        <v>132</v>
      </c>
      <c r="Q619" s="37" t="s">
        <v>1998</v>
      </c>
      <c r="R619" s="37" t="s">
        <v>1792</v>
      </c>
      <c r="S619" s="10" t="s">
        <v>2433</v>
      </c>
      <c r="T619" s="11"/>
      <c r="U619" s="21">
        <v>1</v>
      </c>
      <c r="V619" s="21">
        <v>1</v>
      </c>
      <c r="W619" s="73">
        <f t="shared" si="26"/>
        <v>28</v>
      </c>
      <c r="X619" s="80">
        <f t="shared" si="27"/>
        <v>1184</v>
      </c>
      <c r="Y619" s="82" t="s">
        <v>3584</v>
      </c>
      <c r="AF619" s="11"/>
      <c r="AG619" s="11"/>
      <c r="AH619" s="11"/>
      <c r="AI619" s="11"/>
      <c r="AJ619" s="11"/>
      <c r="AK619" s="11"/>
    </row>
    <row r="620" spans="1:37" ht="15.45" customHeight="1" x14ac:dyDescent="0.25">
      <c r="A620" s="31" t="s">
        <v>1947</v>
      </c>
      <c r="C620" s="37" t="s">
        <v>2172</v>
      </c>
      <c r="E620" s="37" t="s">
        <v>2827</v>
      </c>
      <c r="F620" s="24" t="s">
        <v>1474</v>
      </c>
      <c r="G620" s="25"/>
      <c r="O620" s="37" t="s">
        <v>133</v>
      </c>
      <c r="Q620" s="37" t="s">
        <v>1998</v>
      </c>
      <c r="R620" s="37" t="s">
        <v>1792</v>
      </c>
      <c r="S620" s="10" t="s">
        <v>2433</v>
      </c>
      <c r="T620" s="11"/>
      <c r="U620" s="21">
        <v>1</v>
      </c>
      <c r="V620" s="21">
        <v>1</v>
      </c>
      <c r="W620" s="73">
        <f t="shared" si="26"/>
        <v>29</v>
      </c>
      <c r="X620" s="80">
        <f t="shared" si="27"/>
        <v>1185</v>
      </c>
      <c r="Y620" s="82" t="s">
        <v>3584</v>
      </c>
      <c r="AF620" s="11"/>
      <c r="AG620" s="11"/>
      <c r="AH620" s="11"/>
      <c r="AI620" s="11"/>
      <c r="AJ620" s="11"/>
      <c r="AK620" s="11"/>
    </row>
    <row r="621" spans="1:37" ht="15.45" customHeight="1" x14ac:dyDescent="0.25">
      <c r="A621" s="31" t="s">
        <v>1812</v>
      </c>
      <c r="C621" s="37" t="s">
        <v>2172</v>
      </c>
      <c r="E621" s="37" t="s">
        <v>2827</v>
      </c>
      <c r="F621" s="24" t="s">
        <v>1474</v>
      </c>
      <c r="G621" s="25"/>
      <c r="P621" s="37" t="s">
        <v>134</v>
      </c>
      <c r="R621" s="37" t="s">
        <v>1792</v>
      </c>
      <c r="S621" s="10" t="s">
        <v>2433</v>
      </c>
      <c r="T621" s="11"/>
      <c r="U621" s="21">
        <v>1</v>
      </c>
      <c r="V621" s="21">
        <v>1</v>
      </c>
      <c r="W621" s="73">
        <f t="shared" si="26"/>
        <v>30</v>
      </c>
      <c r="X621" s="80">
        <f t="shared" si="27"/>
        <v>1186</v>
      </c>
      <c r="Y621" s="82" t="s">
        <v>3584</v>
      </c>
      <c r="AF621" s="11"/>
      <c r="AG621" s="11"/>
      <c r="AH621" s="11"/>
      <c r="AI621" s="11"/>
      <c r="AJ621" s="11"/>
      <c r="AK621" s="11"/>
    </row>
    <row r="622" spans="1:37" ht="15.45" customHeight="1" x14ac:dyDescent="0.25">
      <c r="A622" s="31" t="s">
        <v>1813</v>
      </c>
      <c r="C622" s="37" t="s">
        <v>2172</v>
      </c>
      <c r="E622" s="37" t="s">
        <v>2827</v>
      </c>
      <c r="F622" s="24" t="s">
        <v>1474</v>
      </c>
      <c r="G622" s="25"/>
      <c r="R622" s="37" t="s">
        <v>1792</v>
      </c>
      <c r="S622" s="10" t="s">
        <v>2433</v>
      </c>
      <c r="T622" s="11"/>
      <c r="U622" s="21">
        <v>2</v>
      </c>
      <c r="V622" s="21">
        <v>2</v>
      </c>
      <c r="W622" s="73">
        <f t="shared" si="26"/>
        <v>32</v>
      </c>
      <c r="X622" s="80">
        <f t="shared" si="27"/>
        <v>1188</v>
      </c>
      <c r="Y622" s="82" t="s">
        <v>3584</v>
      </c>
      <c r="AF622" s="11"/>
      <c r="AG622" s="11"/>
      <c r="AH622" s="11"/>
      <c r="AI622" s="11"/>
      <c r="AJ622" s="11"/>
      <c r="AK622" s="11"/>
    </row>
    <row r="623" spans="1:37" ht="15.45" customHeight="1" x14ac:dyDescent="0.25">
      <c r="A623" s="31" t="s">
        <v>1814</v>
      </c>
      <c r="C623" s="37" t="s">
        <v>2172</v>
      </c>
      <c r="E623" s="37" t="s">
        <v>2827</v>
      </c>
      <c r="F623" s="24" t="s">
        <v>1474</v>
      </c>
      <c r="G623" s="25"/>
      <c r="P623" s="37" t="s">
        <v>135</v>
      </c>
      <c r="R623" s="37" t="s">
        <v>1792</v>
      </c>
      <c r="S623" s="10" t="s">
        <v>2433</v>
      </c>
      <c r="T623" s="11"/>
      <c r="U623" s="21">
        <v>1</v>
      </c>
      <c r="V623" s="21">
        <v>1</v>
      </c>
      <c r="W623" s="73">
        <f t="shared" si="26"/>
        <v>33</v>
      </c>
      <c r="X623" s="80">
        <f t="shared" si="27"/>
        <v>1189</v>
      </c>
      <c r="Y623" s="82" t="s">
        <v>3584</v>
      </c>
      <c r="AF623" s="11"/>
      <c r="AG623" s="11"/>
      <c r="AH623" s="11"/>
      <c r="AI623" s="11"/>
      <c r="AJ623" s="11"/>
      <c r="AK623" s="11"/>
    </row>
    <row r="624" spans="1:37" ht="15.45" customHeight="1" x14ac:dyDescent="0.25">
      <c r="A624" s="31" t="s">
        <v>1793</v>
      </c>
      <c r="C624" s="37" t="s">
        <v>2172</v>
      </c>
      <c r="E624" s="37" t="s">
        <v>2827</v>
      </c>
      <c r="F624" s="24" t="s">
        <v>1474</v>
      </c>
      <c r="G624" s="25"/>
      <c r="P624" s="37" t="s">
        <v>136</v>
      </c>
      <c r="R624" s="37" t="s">
        <v>1792</v>
      </c>
      <c r="S624" s="10" t="s">
        <v>2433</v>
      </c>
      <c r="T624" s="11"/>
      <c r="U624" s="21">
        <v>1</v>
      </c>
      <c r="V624" s="21">
        <v>1</v>
      </c>
      <c r="W624" s="73">
        <f t="shared" si="26"/>
        <v>34</v>
      </c>
      <c r="X624" s="80">
        <f t="shared" si="27"/>
        <v>1190</v>
      </c>
      <c r="Y624" s="82" t="s">
        <v>3584</v>
      </c>
      <c r="AF624" s="11"/>
      <c r="AG624" s="11"/>
      <c r="AH624" s="11"/>
      <c r="AI624" s="11"/>
      <c r="AJ624" s="11"/>
      <c r="AK624" s="11"/>
    </row>
    <row r="625" spans="1:37" ht="15.45" customHeight="1" x14ac:dyDescent="0.25">
      <c r="A625" s="31" t="s">
        <v>1539</v>
      </c>
      <c r="C625" s="37" t="s">
        <v>2172</v>
      </c>
      <c r="E625" s="37" t="s">
        <v>2827</v>
      </c>
      <c r="F625" s="24" t="s">
        <v>1474</v>
      </c>
      <c r="G625" s="25"/>
      <c r="P625" s="37" t="s">
        <v>137</v>
      </c>
      <c r="R625" s="37" t="s">
        <v>1792</v>
      </c>
      <c r="S625" s="10" t="s">
        <v>2433</v>
      </c>
      <c r="T625" s="11"/>
      <c r="U625" s="21">
        <v>1</v>
      </c>
      <c r="V625" s="21">
        <v>1</v>
      </c>
      <c r="W625" s="73">
        <f t="shared" si="26"/>
        <v>35</v>
      </c>
      <c r="X625" s="80">
        <f t="shared" si="27"/>
        <v>1191</v>
      </c>
      <c r="Y625" s="82" t="s">
        <v>3584</v>
      </c>
      <c r="AF625" s="11"/>
      <c r="AG625" s="11"/>
      <c r="AH625" s="11"/>
      <c r="AI625" s="11"/>
      <c r="AJ625" s="11"/>
      <c r="AK625" s="11"/>
    </row>
    <row r="626" spans="1:37" ht="15.45" customHeight="1" x14ac:dyDescent="0.25">
      <c r="A626" s="31" t="s">
        <v>1543</v>
      </c>
      <c r="C626" s="37" t="s">
        <v>2172</v>
      </c>
      <c r="E626" s="37" t="s">
        <v>2827</v>
      </c>
      <c r="F626" s="24" t="s">
        <v>1474</v>
      </c>
      <c r="G626" s="25"/>
      <c r="P626" s="37" t="s">
        <v>203</v>
      </c>
      <c r="R626" s="37" t="s">
        <v>1792</v>
      </c>
      <c r="S626" s="10" t="s">
        <v>2433</v>
      </c>
      <c r="T626" s="11"/>
      <c r="U626" s="21">
        <v>1</v>
      </c>
      <c r="V626" s="21">
        <v>1</v>
      </c>
      <c r="W626" s="73">
        <f t="shared" si="26"/>
        <v>36</v>
      </c>
      <c r="X626" s="80">
        <f t="shared" si="27"/>
        <v>1192</v>
      </c>
      <c r="Y626" s="82" t="s">
        <v>3584</v>
      </c>
      <c r="AF626" s="11"/>
      <c r="AG626" s="11"/>
      <c r="AH626" s="11"/>
      <c r="AI626" s="11"/>
      <c r="AJ626" s="11"/>
      <c r="AK626" s="11"/>
    </row>
    <row r="627" spans="1:37" ht="15.45" customHeight="1" x14ac:dyDescent="0.25">
      <c r="A627" s="31" t="s">
        <v>1913</v>
      </c>
      <c r="C627" s="37" t="s">
        <v>2172</v>
      </c>
      <c r="E627" s="37" t="s">
        <v>2827</v>
      </c>
      <c r="F627" s="24" t="s">
        <v>1474</v>
      </c>
      <c r="G627" s="25"/>
      <c r="P627" s="37" t="s">
        <v>138</v>
      </c>
      <c r="R627" s="37" t="s">
        <v>1792</v>
      </c>
      <c r="S627" s="10" t="s">
        <v>2433</v>
      </c>
      <c r="T627" s="11"/>
      <c r="U627" s="21">
        <v>1</v>
      </c>
      <c r="V627" s="21">
        <v>1</v>
      </c>
      <c r="W627" s="73">
        <f t="shared" si="26"/>
        <v>37</v>
      </c>
      <c r="X627" s="80">
        <f t="shared" si="27"/>
        <v>1193</v>
      </c>
      <c r="Y627" s="82" t="s">
        <v>3584</v>
      </c>
      <c r="AF627" s="11"/>
      <c r="AG627" s="11"/>
      <c r="AH627" s="11"/>
      <c r="AI627" s="11"/>
      <c r="AJ627" s="11"/>
      <c r="AK627" s="11"/>
    </row>
    <row r="628" spans="1:37" ht="15.45" customHeight="1" x14ac:dyDescent="0.25">
      <c r="A628" s="31" t="s">
        <v>1914</v>
      </c>
      <c r="C628" s="37" t="s">
        <v>2172</v>
      </c>
      <c r="E628" s="37" t="s">
        <v>2827</v>
      </c>
      <c r="F628" s="24" t="s">
        <v>1474</v>
      </c>
      <c r="G628" s="25"/>
      <c r="R628" s="37" t="s">
        <v>1792</v>
      </c>
      <c r="S628" s="10" t="s">
        <v>2433</v>
      </c>
      <c r="T628" s="11"/>
      <c r="U628" s="21">
        <v>1</v>
      </c>
      <c r="V628" s="21">
        <v>1</v>
      </c>
      <c r="W628" s="73">
        <f t="shared" si="26"/>
        <v>38</v>
      </c>
      <c r="X628" s="80">
        <f t="shared" si="27"/>
        <v>1194</v>
      </c>
      <c r="Y628" s="82" t="s">
        <v>3584</v>
      </c>
      <c r="AF628" s="11"/>
      <c r="AG628" s="11"/>
      <c r="AH628" s="11"/>
      <c r="AI628" s="11"/>
      <c r="AJ628" s="11"/>
      <c r="AK628" s="11"/>
    </row>
    <row r="629" spans="1:37" ht="15.45" customHeight="1" x14ac:dyDescent="0.25">
      <c r="A629" s="31" t="s">
        <v>1636</v>
      </c>
      <c r="C629" s="37" t="s">
        <v>2172</v>
      </c>
      <c r="E629" s="37" t="s">
        <v>2827</v>
      </c>
      <c r="F629" s="24" t="s">
        <v>1474</v>
      </c>
      <c r="G629" s="25"/>
      <c r="P629" s="37" t="s">
        <v>132</v>
      </c>
      <c r="R629" s="37" t="s">
        <v>1792</v>
      </c>
      <c r="S629" s="10" t="s">
        <v>2433</v>
      </c>
      <c r="T629" s="11"/>
      <c r="U629" s="21">
        <v>1</v>
      </c>
      <c r="V629" s="21">
        <v>1</v>
      </c>
      <c r="W629" s="73">
        <f t="shared" si="26"/>
        <v>39</v>
      </c>
      <c r="X629" s="80">
        <f t="shared" si="27"/>
        <v>1195</v>
      </c>
      <c r="Y629" s="82" t="s">
        <v>3584</v>
      </c>
      <c r="AF629" s="11"/>
      <c r="AG629" s="11"/>
      <c r="AH629" s="11"/>
      <c r="AI629" s="11"/>
      <c r="AJ629" s="11"/>
      <c r="AK629" s="11"/>
    </row>
    <row r="630" spans="1:37" ht="15.45" customHeight="1" x14ac:dyDescent="0.25">
      <c r="A630" s="31" t="s">
        <v>3146</v>
      </c>
      <c r="B630" s="24" t="s">
        <v>3145</v>
      </c>
      <c r="C630" s="37" t="s">
        <v>2172</v>
      </c>
      <c r="E630" s="37" t="s">
        <v>2827</v>
      </c>
      <c r="F630" s="24" t="s">
        <v>1474</v>
      </c>
      <c r="G630" s="25"/>
      <c r="P630" s="37" t="s">
        <v>139</v>
      </c>
      <c r="R630" s="37" t="s">
        <v>1792</v>
      </c>
      <c r="S630" s="10" t="s">
        <v>2433</v>
      </c>
      <c r="T630" s="11"/>
      <c r="U630" s="21">
        <v>1</v>
      </c>
      <c r="V630" s="21">
        <v>1</v>
      </c>
      <c r="W630" s="73">
        <f t="shared" si="26"/>
        <v>40</v>
      </c>
      <c r="X630" s="80">
        <f t="shared" si="27"/>
        <v>1196</v>
      </c>
      <c r="Y630" s="82" t="s">
        <v>3584</v>
      </c>
      <c r="AF630" s="11"/>
      <c r="AG630" s="11"/>
      <c r="AH630" s="11"/>
      <c r="AI630" s="11"/>
      <c r="AJ630" s="11"/>
      <c r="AK630" s="11"/>
    </row>
    <row r="631" spans="1:37" ht="15.45" customHeight="1" x14ac:dyDescent="0.25">
      <c r="A631" s="31" t="s">
        <v>5711</v>
      </c>
      <c r="C631" s="37" t="s">
        <v>2172</v>
      </c>
      <c r="E631" s="37" t="s">
        <v>2827</v>
      </c>
      <c r="G631" s="25"/>
      <c r="H631" s="201" t="s">
        <v>5710</v>
      </c>
      <c r="J631" s="214" t="s">
        <v>5305</v>
      </c>
      <c r="O631" s="37" t="s">
        <v>5708</v>
      </c>
      <c r="P631" s="37" t="s">
        <v>546</v>
      </c>
      <c r="Q631" s="37" t="s">
        <v>3506</v>
      </c>
      <c r="R631" s="37" t="s">
        <v>1792</v>
      </c>
      <c r="S631" s="10" t="s">
        <v>3436</v>
      </c>
      <c r="T631" s="11"/>
      <c r="U631" s="21">
        <v>1</v>
      </c>
      <c r="V631" s="21">
        <v>1</v>
      </c>
      <c r="W631" s="73">
        <f t="shared" si="26"/>
        <v>41</v>
      </c>
      <c r="X631" s="80">
        <f t="shared" si="27"/>
        <v>1197</v>
      </c>
      <c r="Y631" s="82" t="s">
        <v>3591</v>
      </c>
      <c r="Z631" s="24" t="s">
        <v>2885</v>
      </c>
      <c r="AB631" s="177">
        <v>44336</v>
      </c>
      <c r="AC631" s="84" t="s">
        <v>5308</v>
      </c>
      <c r="AF631" s="11"/>
      <c r="AG631" s="11"/>
      <c r="AH631" s="11"/>
      <c r="AI631" s="11"/>
      <c r="AJ631" s="11"/>
      <c r="AK631" s="11"/>
    </row>
    <row r="632" spans="1:37" ht="15.45" customHeight="1" x14ac:dyDescent="0.25">
      <c r="A632" s="31" t="s">
        <v>2073</v>
      </c>
      <c r="C632" s="37" t="s">
        <v>2172</v>
      </c>
      <c r="E632" s="37" t="s">
        <v>2827</v>
      </c>
      <c r="F632" s="24" t="s">
        <v>1474</v>
      </c>
      <c r="G632" s="25"/>
      <c r="S632" s="10" t="s">
        <v>2433</v>
      </c>
      <c r="T632" s="11"/>
      <c r="U632" s="21">
        <v>1</v>
      </c>
      <c r="V632" s="21">
        <v>1</v>
      </c>
      <c r="W632" s="73">
        <f t="shared" si="26"/>
        <v>42</v>
      </c>
      <c r="X632" s="80">
        <f t="shared" si="27"/>
        <v>1198</v>
      </c>
      <c r="Y632" s="82" t="s">
        <v>3584</v>
      </c>
      <c r="AF632" s="11"/>
      <c r="AG632" s="11"/>
      <c r="AH632" s="11"/>
      <c r="AI632" s="11"/>
      <c r="AJ632" s="11"/>
      <c r="AK632" s="11"/>
    </row>
    <row r="633" spans="1:37" s="51" customFormat="1" ht="15.45" customHeight="1" x14ac:dyDescent="0.25">
      <c r="A633" s="45" t="s">
        <v>3655</v>
      </c>
      <c r="B633" s="50"/>
      <c r="C633" s="49"/>
      <c r="D633" s="49"/>
      <c r="E633" s="49"/>
      <c r="F633" s="50"/>
      <c r="G633" s="50"/>
      <c r="H633" s="46"/>
      <c r="I633" s="109"/>
      <c r="J633" s="212"/>
      <c r="K633" s="56"/>
      <c r="L633" s="100"/>
      <c r="M633" s="100"/>
      <c r="N633" s="49"/>
      <c r="O633" s="49"/>
      <c r="P633" s="49"/>
      <c r="Q633" s="49"/>
      <c r="R633" s="49"/>
      <c r="S633" s="10"/>
      <c r="T633" s="47"/>
      <c r="U633" s="53"/>
      <c r="V633" s="53"/>
      <c r="W633" s="74"/>
      <c r="X633" s="81"/>
      <c r="Y633" s="132"/>
      <c r="Z633" s="50"/>
      <c r="AA633" s="173"/>
      <c r="AB633" s="173"/>
      <c r="AC633" s="137"/>
      <c r="AD633" s="137"/>
      <c r="AE633" s="83"/>
      <c r="AF633" s="47"/>
      <c r="AG633" s="47"/>
      <c r="AH633" s="47"/>
      <c r="AI633" s="47"/>
      <c r="AJ633" s="47"/>
      <c r="AK633" s="47"/>
    </row>
    <row r="634" spans="1:37" ht="15.45" customHeight="1" x14ac:dyDescent="0.25">
      <c r="A634" s="29" t="s">
        <v>924</v>
      </c>
      <c r="B634" s="24" t="s">
        <v>3156</v>
      </c>
      <c r="C634" s="37" t="s">
        <v>1368</v>
      </c>
      <c r="E634" s="37" t="s">
        <v>2926</v>
      </c>
      <c r="F634" s="24" t="s">
        <v>5442</v>
      </c>
      <c r="H634" s="4"/>
      <c r="P634" s="37" t="s">
        <v>1843</v>
      </c>
      <c r="S634" s="10" t="s">
        <v>2433</v>
      </c>
      <c r="U634" s="22">
        <v>1</v>
      </c>
      <c r="V634" s="22">
        <v>1</v>
      </c>
      <c r="W634" s="73">
        <f>V634</f>
        <v>1</v>
      </c>
      <c r="X634" s="80">
        <f>V634+X632</f>
        <v>1199</v>
      </c>
      <c r="Y634" s="82" t="s">
        <v>3584</v>
      </c>
    </row>
    <row r="635" spans="1:37" ht="15.45" customHeight="1" x14ac:dyDescent="0.25">
      <c r="A635" s="29" t="s">
        <v>3160</v>
      </c>
      <c r="B635" s="24" t="s">
        <v>3161</v>
      </c>
      <c r="C635" s="37" t="s">
        <v>3168</v>
      </c>
      <c r="E635" s="37" t="s">
        <v>2926</v>
      </c>
      <c r="F635" s="24" t="s">
        <v>5442</v>
      </c>
      <c r="H635" s="38" t="s">
        <v>3157</v>
      </c>
      <c r="P635" s="37" t="s">
        <v>1844</v>
      </c>
      <c r="S635" s="10" t="s">
        <v>2433</v>
      </c>
      <c r="U635" s="22">
        <v>1</v>
      </c>
      <c r="V635" s="22">
        <v>1</v>
      </c>
      <c r="W635" s="73">
        <f>W1230+V635</f>
        <v>3</v>
      </c>
      <c r="X635" s="80">
        <f t="shared" ref="X635:X644" si="28">V635+X634</f>
        <v>1200</v>
      </c>
      <c r="Y635" s="82" t="s">
        <v>3584</v>
      </c>
    </row>
    <row r="636" spans="1:37" ht="15.45" customHeight="1" x14ac:dyDescent="0.25">
      <c r="A636" s="29" t="s">
        <v>1583</v>
      </c>
      <c r="B636" s="24" t="s">
        <v>3162</v>
      </c>
      <c r="C636" s="37" t="s">
        <v>1584</v>
      </c>
      <c r="E636" s="37" t="s">
        <v>2926</v>
      </c>
      <c r="F636" s="24" t="s">
        <v>5442</v>
      </c>
      <c r="H636" s="38" t="s">
        <v>3157</v>
      </c>
      <c r="P636" s="37" t="s">
        <v>1844</v>
      </c>
      <c r="S636" s="10" t="s">
        <v>2433</v>
      </c>
      <c r="U636" s="22">
        <v>1</v>
      </c>
      <c r="V636" s="22">
        <v>1</v>
      </c>
      <c r="W636" s="73">
        <f>W1231+V636</f>
        <v>4</v>
      </c>
      <c r="X636" s="80">
        <f t="shared" si="28"/>
        <v>1201</v>
      </c>
      <c r="Y636" s="82" t="s">
        <v>3584</v>
      </c>
    </row>
    <row r="637" spans="1:37" ht="15.45" customHeight="1" x14ac:dyDescent="0.25">
      <c r="A637" s="29" t="s">
        <v>735</v>
      </c>
      <c r="B637" s="24" t="s">
        <v>3163</v>
      </c>
      <c r="C637" s="37" t="s">
        <v>1368</v>
      </c>
      <c r="E637" s="37" t="s">
        <v>2926</v>
      </c>
      <c r="F637" s="24" t="s">
        <v>5442</v>
      </c>
      <c r="P637" s="37" t="s">
        <v>1936</v>
      </c>
      <c r="S637" s="10" t="s">
        <v>2433</v>
      </c>
      <c r="U637" s="22">
        <v>1</v>
      </c>
      <c r="V637" s="22">
        <v>1</v>
      </c>
      <c r="W637" s="73">
        <f>W1232+V637</f>
        <v>5</v>
      </c>
      <c r="X637" s="80">
        <f t="shared" si="28"/>
        <v>1202</v>
      </c>
      <c r="Y637" s="82" t="s">
        <v>3584</v>
      </c>
    </row>
    <row r="638" spans="1:37" ht="15.45" customHeight="1" x14ac:dyDescent="0.25">
      <c r="A638" s="29" t="s">
        <v>3171</v>
      </c>
      <c r="B638" s="24" t="s">
        <v>3167</v>
      </c>
      <c r="C638" s="37" t="s">
        <v>1368</v>
      </c>
      <c r="E638" s="37" t="s">
        <v>2926</v>
      </c>
      <c r="F638" s="24" t="s">
        <v>5442</v>
      </c>
      <c r="P638" s="37" t="s">
        <v>1642</v>
      </c>
      <c r="S638" s="10" t="s">
        <v>2433</v>
      </c>
      <c r="U638" s="21">
        <v>1</v>
      </c>
      <c r="V638" s="21">
        <v>1</v>
      </c>
      <c r="W638" s="73">
        <f t="shared" ref="W638:W644" si="29">W637+V638</f>
        <v>6</v>
      </c>
      <c r="X638" s="80">
        <f t="shared" si="28"/>
        <v>1203</v>
      </c>
      <c r="Y638" s="82" t="s">
        <v>3584</v>
      </c>
    </row>
    <row r="639" spans="1:37" ht="15.45" customHeight="1" x14ac:dyDescent="0.25">
      <c r="A639" s="29" t="s">
        <v>3164</v>
      </c>
      <c r="B639" s="24" t="s">
        <v>3165</v>
      </c>
      <c r="C639" s="37" t="s">
        <v>1368</v>
      </c>
      <c r="E639" s="37" t="s">
        <v>2926</v>
      </c>
      <c r="F639" s="24" t="s">
        <v>5442</v>
      </c>
      <c r="J639" s="214" t="s">
        <v>6013</v>
      </c>
      <c r="P639" s="37" t="s">
        <v>1603</v>
      </c>
      <c r="S639" s="10" t="s">
        <v>2433</v>
      </c>
      <c r="U639" s="21">
        <v>1</v>
      </c>
      <c r="V639" s="21">
        <v>1</v>
      </c>
      <c r="W639" s="73">
        <f t="shared" si="29"/>
        <v>7</v>
      </c>
      <c r="X639" s="80">
        <f t="shared" si="28"/>
        <v>1204</v>
      </c>
      <c r="Y639" s="82" t="s">
        <v>3591</v>
      </c>
      <c r="Z639" s="24" t="s">
        <v>2885</v>
      </c>
      <c r="AB639" s="177">
        <v>43166</v>
      </c>
      <c r="AC639" s="84" t="s">
        <v>2885</v>
      </c>
    </row>
    <row r="640" spans="1:37" ht="15.45" customHeight="1" x14ac:dyDescent="0.25">
      <c r="A640" s="29" t="s">
        <v>3134</v>
      </c>
      <c r="B640" s="24" t="s">
        <v>3133</v>
      </c>
      <c r="C640" s="37" t="s">
        <v>1368</v>
      </c>
      <c r="E640" s="37" t="s">
        <v>2926</v>
      </c>
      <c r="F640" s="24" t="s">
        <v>5442</v>
      </c>
      <c r="H640" s="38" t="s">
        <v>5150</v>
      </c>
      <c r="I640" s="111" t="s">
        <v>3135</v>
      </c>
      <c r="J640" s="214" t="s">
        <v>5159</v>
      </c>
      <c r="K640" s="10" t="s">
        <v>5164</v>
      </c>
      <c r="P640" s="37" t="s">
        <v>1977</v>
      </c>
      <c r="S640" s="10" t="s">
        <v>2433</v>
      </c>
      <c r="U640" s="21">
        <v>1</v>
      </c>
      <c r="V640" s="21">
        <v>1</v>
      </c>
      <c r="W640" s="73">
        <f t="shared" si="29"/>
        <v>8</v>
      </c>
      <c r="X640" s="80">
        <f t="shared" si="28"/>
        <v>1205</v>
      </c>
      <c r="Y640" s="82" t="s">
        <v>3584</v>
      </c>
    </row>
    <row r="641" spans="1:37" ht="15.45" customHeight="1" x14ac:dyDescent="0.25">
      <c r="A641" s="29" t="s">
        <v>3752</v>
      </c>
      <c r="C641" s="37" t="s">
        <v>2292</v>
      </c>
      <c r="E641" s="37" t="s">
        <v>2926</v>
      </c>
      <c r="F641" s="24" t="s">
        <v>5442</v>
      </c>
      <c r="H641" s="38" t="s">
        <v>3753</v>
      </c>
      <c r="J641" s="214" t="s">
        <v>3754</v>
      </c>
      <c r="K641" s="10" t="s">
        <v>3750</v>
      </c>
      <c r="S641" s="10" t="s">
        <v>3412</v>
      </c>
      <c r="U641" s="21">
        <v>1</v>
      </c>
      <c r="V641" s="21">
        <v>1</v>
      </c>
      <c r="W641" s="73">
        <f t="shared" si="29"/>
        <v>9</v>
      </c>
      <c r="X641" s="80">
        <f t="shared" si="28"/>
        <v>1206</v>
      </c>
      <c r="Y641" s="82" t="s">
        <v>3584</v>
      </c>
      <c r="AB641" s="177">
        <v>43195</v>
      </c>
      <c r="AC641" s="84" t="s">
        <v>2885</v>
      </c>
    </row>
    <row r="642" spans="1:37" ht="15.45" customHeight="1" x14ac:dyDescent="0.25">
      <c r="A642" s="29" t="s">
        <v>1983</v>
      </c>
      <c r="B642" s="24" t="s">
        <v>3161</v>
      </c>
      <c r="C642" s="37" t="s">
        <v>3168</v>
      </c>
      <c r="E642" s="37" t="s">
        <v>2926</v>
      </c>
      <c r="F642" s="24" t="s">
        <v>5442</v>
      </c>
      <c r="H642" s="38" t="s">
        <v>3157</v>
      </c>
      <c r="P642" s="37" t="s">
        <v>1844</v>
      </c>
      <c r="S642" s="10" t="s">
        <v>2433</v>
      </c>
      <c r="U642" s="21">
        <v>1</v>
      </c>
      <c r="V642" s="21">
        <v>1</v>
      </c>
      <c r="W642" s="73">
        <f t="shared" si="29"/>
        <v>10</v>
      </c>
      <c r="X642" s="80">
        <f t="shared" si="28"/>
        <v>1207</v>
      </c>
      <c r="Y642" s="82" t="s">
        <v>3584</v>
      </c>
    </row>
    <row r="643" spans="1:37" ht="15.45" customHeight="1" x14ac:dyDescent="0.25">
      <c r="A643" s="29" t="s">
        <v>3169</v>
      </c>
      <c r="C643" s="37" t="s">
        <v>1368</v>
      </c>
      <c r="E643" s="37" t="s">
        <v>2926</v>
      </c>
      <c r="F643" s="24" t="s">
        <v>5442</v>
      </c>
      <c r="P643" s="37" t="s">
        <v>2037</v>
      </c>
      <c r="S643" s="10" t="s">
        <v>2433</v>
      </c>
      <c r="U643" s="21">
        <v>1</v>
      </c>
      <c r="V643" s="21">
        <v>1</v>
      </c>
      <c r="W643" s="73">
        <f t="shared" si="29"/>
        <v>11</v>
      </c>
      <c r="X643" s="80">
        <f t="shared" si="28"/>
        <v>1208</v>
      </c>
      <c r="Y643" s="82" t="s">
        <v>3584</v>
      </c>
    </row>
    <row r="644" spans="1:37" ht="15.45" customHeight="1" x14ac:dyDescent="0.25">
      <c r="A644" s="29" t="s">
        <v>789</v>
      </c>
      <c r="B644" s="24" t="s">
        <v>3170</v>
      </c>
      <c r="C644" s="37" t="s">
        <v>1368</v>
      </c>
      <c r="E644" s="37" t="s">
        <v>2926</v>
      </c>
      <c r="F644" s="24" t="s">
        <v>5442</v>
      </c>
      <c r="H644" s="38" t="s">
        <v>3418</v>
      </c>
      <c r="P644" s="37" t="s">
        <v>1844</v>
      </c>
      <c r="S644" s="10" t="s">
        <v>2433</v>
      </c>
      <c r="U644" s="22">
        <v>1</v>
      </c>
      <c r="V644" s="22">
        <v>1</v>
      </c>
      <c r="W644" s="73">
        <f t="shared" si="29"/>
        <v>12</v>
      </c>
      <c r="X644" s="80">
        <f t="shared" si="28"/>
        <v>1209</v>
      </c>
      <c r="Y644" s="82" t="s">
        <v>3584</v>
      </c>
    </row>
    <row r="645" spans="1:37" s="51" customFormat="1" ht="15.45" customHeight="1" x14ac:dyDescent="0.25">
      <c r="A645" s="45" t="s">
        <v>1346</v>
      </c>
      <c r="B645" s="50"/>
      <c r="C645" s="49"/>
      <c r="D645" s="49"/>
      <c r="E645" s="49"/>
      <c r="F645" s="50"/>
      <c r="G645" s="50"/>
      <c r="H645" s="154" t="s">
        <v>5742</v>
      </c>
      <c r="I645" s="109"/>
      <c r="J645" s="212"/>
      <c r="K645" s="56"/>
      <c r="L645" s="100"/>
      <c r="M645" s="100"/>
      <c r="N645" s="49"/>
      <c r="O645" s="49"/>
      <c r="P645" s="49"/>
      <c r="Q645" s="49"/>
      <c r="R645" s="49"/>
      <c r="S645" s="47"/>
      <c r="T645" s="47"/>
      <c r="U645" s="53"/>
      <c r="V645" s="53"/>
      <c r="W645" s="74"/>
      <c r="X645" s="81"/>
      <c r="Y645" s="132"/>
      <c r="Z645" s="50"/>
      <c r="AA645" s="173"/>
      <c r="AB645" s="173"/>
      <c r="AC645" s="137"/>
      <c r="AD645" s="137"/>
      <c r="AE645" s="83"/>
      <c r="AF645" s="47"/>
      <c r="AG645" s="47"/>
      <c r="AH645" s="47"/>
      <c r="AI645" s="47"/>
      <c r="AJ645" s="47"/>
      <c r="AK645" s="47"/>
    </row>
    <row r="646" spans="1:37" ht="15.45" customHeight="1" x14ac:dyDescent="0.25">
      <c r="A646" s="29" t="s">
        <v>1274</v>
      </c>
      <c r="C646" s="37" t="s">
        <v>1188</v>
      </c>
      <c r="E646" s="37" t="s">
        <v>2832</v>
      </c>
      <c r="F646" s="24" t="s">
        <v>5443</v>
      </c>
      <c r="H646" s="38" t="s">
        <v>3801</v>
      </c>
      <c r="J646" s="214" t="s">
        <v>3802</v>
      </c>
      <c r="P646" s="37" t="s">
        <v>1463</v>
      </c>
      <c r="S646" s="10" t="s">
        <v>3412</v>
      </c>
      <c r="U646" s="21">
        <v>1</v>
      </c>
      <c r="V646" s="21">
        <v>1</v>
      </c>
      <c r="W646" s="73">
        <v>1</v>
      </c>
      <c r="X646" s="80">
        <f>V646+X644</f>
        <v>1210</v>
      </c>
      <c r="Y646" s="82" t="s">
        <v>3584</v>
      </c>
    </row>
    <row r="647" spans="1:37" ht="15.45" customHeight="1" x14ac:dyDescent="0.25">
      <c r="A647" s="29" t="s">
        <v>810</v>
      </c>
      <c r="C647" s="37" t="s">
        <v>1188</v>
      </c>
      <c r="E647" s="37" t="s">
        <v>2832</v>
      </c>
      <c r="F647" s="24" t="s">
        <v>5443</v>
      </c>
      <c r="J647" s="214" t="s">
        <v>3690</v>
      </c>
      <c r="K647" s="10" t="s">
        <v>3685</v>
      </c>
      <c r="P647" s="37" t="s">
        <v>1736</v>
      </c>
      <c r="S647" s="10" t="s">
        <v>3412</v>
      </c>
      <c r="U647" s="21">
        <v>1</v>
      </c>
      <c r="V647" s="21">
        <v>1</v>
      </c>
      <c r="W647" s="73">
        <f t="shared" ref="W647:W710" si="30">W646+V647</f>
        <v>2</v>
      </c>
      <c r="X647" s="80">
        <f t="shared" ref="X647:X710" si="31">V647+X646</f>
        <v>1211</v>
      </c>
      <c r="Y647" s="82" t="s">
        <v>3584</v>
      </c>
    </row>
    <row r="648" spans="1:37" ht="15.45" customHeight="1" x14ac:dyDescent="0.25">
      <c r="A648" s="29" t="s">
        <v>3155</v>
      </c>
      <c r="B648" s="24" t="s">
        <v>3921</v>
      </c>
      <c r="C648" s="37" t="s">
        <v>1188</v>
      </c>
      <c r="E648" s="37" t="s">
        <v>2832</v>
      </c>
      <c r="F648" s="24" t="s">
        <v>5443</v>
      </c>
      <c r="J648" s="214" t="s">
        <v>3690</v>
      </c>
      <c r="K648" s="10" t="s">
        <v>3685</v>
      </c>
      <c r="P648" s="37" t="s">
        <v>1937</v>
      </c>
      <c r="S648" s="10" t="s">
        <v>3412</v>
      </c>
      <c r="U648" s="21">
        <v>1</v>
      </c>
      <c r="V648" s="21">
        <v>1</v>
      </c>
      <c r="W648" s="73">
        <f t="shared" si="30"/>
        <v>3</v>
      </c>
      <c r="X648" s="80">
        <f t="shared" si="31"/>
        <v>1212</v>
      </c>
      <c r="Y648" s="82" t="s">
        <v>3584</v>
      </c>
    </row>
    <row r="649" spans="1:37" ht="15.45" customHeight="1" x14ac:dyDescent="0.25">
      <c r="A649" s="29" t="s">
        <v>1285</v>
      </c>
      <c r="C649" s="37" t="s">
        <v>1188</v>
      </c>
      <c r="E649" s="37" t="s">
        <v>2832</v>
      </c>
      <c r="F649" s="24" t="s">
        <v>5443</v>
      </c>
      <c r="H649" s="38" t="s">
        <v>3922</v>
      </c>
      <c r="J649" s="214" t="s">
        <v>3690</v>
      </c>
      <c r="K649" s="10" t="s">
        <v>3685</v>
      </c>
      <c r="P649" s="37" t="s">
        <v>1735</v>
      </c>
      <c r="S649" s="10" t="s">
        <v>3412</v>
      </c>
      <c r="U649" s="21">
        <v>1</v>
      </c>
      <c r="V649" s="21">
        <v>2</v>
      </c>
      <c r="W649" s="73">
        <f t="shared" si="30"/>
        <v>5</v>
      </c>
      <c r="X649" s="80">
        <f t="shared" si="31"/>
        <v>1214</v>
      </c>
      <c r="Y649" s="82" t="s">
        <v>3584</v>
      </c>
    </row>
    <row r="650" spans="1:37" ht="15.45" customHeight="1" x14ac:dyDescent="0.25">
      <c r="A650" s="29" t="s">
        <v>1731</v>
      </c>
      <c r="C650" s="37" t="s">
        <v>1188</v>
      </c>
      <c r="E650" s="37" t="s">
        <v>2832</v>
      </c>
      <c r="F650" s="24" t="s">
        <v>5443</v>
      </c>
      <c r="J650" s="214" t="s">
        <v>3690</v>
      </c>
      <c r="K650" s="10" t="s">
        <v>3685</v>
      </c>
      <c r="P650" s="37" t="s">
        <v>1642</v>
      </c>
      <c r="S650" s="10" t="s">
        <v>3412</v>
      </c>
      <c r="U650" s="21">
        <v>1</v>
      </c>
      <c r="V650" s="21">
        <v>1</v>
      </c>
      <c r="W650" s="73">
        <f t="shared" si="30"/>
        <v>6</v>
      </c>
      <c r="X650" s="80">
        <f t="shared" si="31"/>
        <v>1215</v>
      </c>
      <c r="Y650" s="82" t="s">
        <v>3584</v>
      </c>
    </row>
    <row r="651" spans="1:37" ht="15.45" customHeight="1" x14ac:dyDescent="0.25">
      <c r="A651" s="31" t="s">
        <v>1254</v>
      </c>
      <c r="C651" s="37" t="s">
        <v>1188</v>
      </c>
      <c r="E651" s="37" t="s">
        <v>2832</v>
      </c>
      <c r="F651" s="24" t="s">
        <v>5443</v>
      </c>
      <c r="H651" s="39"/>
      <c r="J651" s="214" t="s">
        <v>3690</v>
      </c>
      <c r="K651" s="10" t="s">
        <v>3685</v>
      </c>
      <c r="P651" s="37" t="s">
        <v>1735</v>
      </c>
      <c r="S651" s="10" t="s">
        <v>3412</v>
      </c>
      <c r="T651" s="11"/>
      <c r="U651" s="21">
        <v>1</v>
      </c>
      <c r="V651" s="21">
        <v>1</v>
      </c>
      <c r="W651" s="73">
        <f t="shared" si="30"/>
        <v>7</v>
      </c>
      <c r="X651" s="80">
        <f t="shared" si="31"/>
        <v>1216</v>
      </c>
      <c r="Y651" s="82" t="s">
        <v>3584</v>
      </c>
      <c r="AF651" s="11"/>
      <c r="AG651" s="11"/>
      <c r="AH651" s="11"/>
      <c r="AI651" s="11"/>
      <c r="AJ651" s="11"/>
      <c r="AK651" s="11"/>
    </row>
    <row r="652" spans="1:37" ht="15.45" customHeight="1" x14ac:dyDescent="0.25">
      <c r="A652" s="29" t="s">
        <v>1730</v>
      </c>
      <c r="C652" s="37" t="s">
        <v>1188</v>
      </c>
      <c r="E652" s="37" t="s">
        <v>2832</v>
      </c>
      <c r="F652" s="24" t="s">
        <v>5443</v>
      </c>
      <c r="J652" s="214" t="s">
        <v>3690</v>
      </c>
      <c r="K652" s="10" t="s">
        <v>3685</v>
      </c>
      <c r="P652" s="37" t="s">
        <v>1737</v>
      </c>
      <c r="Q652" s="37" t="s">
        <v>1870</v>
      </c>
      <c r="S652" s="10" t="s">
        <v>3412</v>
      </c>
      <c r="U652" s="21">
        <v>1</v>
      </c>
      <c r="V652" s="21">
        <v>2</v>
      </c>
      <c r="W652" s="73">
        <f t="shared" si="30"/>
        <v>9</v>
      </c>
      <c r="X652" s="80">
        <f t="shared" si="31"/>
        <v>1218</v>
      </c>
      <c r="Y652" s="82" t="s">
        <v>3584</v>
      </c>
    </row>
    <row r="653" spans="1:37" ht="15.45" customHeight="1" x14ac:dyDescent="0.25">
      <c r="A653" s="29" t="s">
        <v>1280</v>
      </c>
      <c r="B653" s="24" t="s">
        <v>3929</v>
      </c>
      <c r="C653" s="37" t="s">
        <v>1188</v>
      </c>
      <c r="E653" s="37" t="s">
        <v>2832</v>
      </c>
      <c r="F653" s="24" t="s">
        <v>5443</v>
      </c>
      <c r="H653" s="38" t="s">
        <v>3930</v>
      </c>
      <c r="J653" s="214" t="s">
        <v>3690</v>
      </c>
      <c r="K653" s="10" t="s">
        <v>3685</v>
      </c>
      <c r="P653" s="37" t="s">
        <v>1909</v>
      </c>
      <c r="S653" s="10" t="s">
        <v>3412</v>
      </c>
      <c r="U653" s="21">
        <v>1</v>
      </c>
      <c r="V653" s="21">
        <v>1</v>
      </c>
      <c r="W653" s="73">
        <f t="shared" si="30"/>
        <v>10</v>
      </c>
      <c r="X653" s="80">
        <f t="shared" si="31"/>
        <v>1219</v>
      </c>
      <c r="Y653" s="82" t="s">
        <v>3584</v>
      </c>
    </row>
    <row r="654" spans="1:37" ht="15.45" customHeight="1" x14ac:dyDescent="0.25">
      <c r="A654" s="29" t="s">
        <v>3932</v>
      </c>
      <c r="B654" s="24" t="s">
        <v>3931</v>
      </c>
      <c r="C654" s="37" t="s">
        <v>1188</v>
      </c>
      <c r="E654" s="37" t="s">
        <v>2832</v>
      </c>
      <c r="F654" s="24" t="s">
        <v>5443</v>
      </c>
      <c r="H654" s="38" t="s">
        <v>3971</v>
      </c>
      <c r="J654" s="214" t="s">
        <v>3690</v>
      </c>
      <c r="K654" s="10" t="s">
        <v>3685</v>
      </c>
      <c r="P654" s="37" t="s">
        <v>1746</v>
      </c>
      <c r="S654" s="10" t="s">
        <v>3412</v>
      </c>
      <c r="U654" s="21">
        <v>1</v>
      </c>
      <c r="V654" s="21">
        <v>1</v>
      </c>
      <c r="W654" s="73">
        <f t="shared" si="30"/>
        <v>11</v>
      </c>
      <c r="X654" s="80">
        <f t="shared" si="31"/>
        <v>1220</v>
      </c>
      <c r="Y654" s="82" t="s">
        <v>3584</v>
      </c>
    </row>
    <row r="655" spans="1:37" ht="15.45" customHeight="1" x14ac:dyDescent="0.25">
      <c r="A655" s="29" t="s">
        <v>1492</v>
      </c>
      <c r="C655" s="37" t="s">
        <v>1188</v>
      </c>
      <c r="E655" s="37" t="s">
        <v>2832</v>
      </c>
      <c r="F655" s="24" t="s">
        <v>5443</v>
      </c>
      <c r="H655" s="38" t="s">
        <v>3933</v>
      </c>
      <c r="J655" s="214" t="s">
        <v>3690</v>
      </c>
      <c r="K655" s="10" t="s">
        <v>3685</v>
      </c>
      <c r="P655" s="37" t="s">
        <v>252</v>
      </c>
      <c r="S655" s="10" t="s">
        <v>3412</v>
      </c>
      <c r="U655" s="21">
        <v>1</v>
      </c>
      <c r="V655" s="21">
        <v>1</v>
      </c>
      <c r="W655" s="73">
        <f t="shared" si="30"/>
        <v>12</v>
      </c>
      <c r="X655" s="80">
        <f t="shared" si="31"/>
        <v>1221</v>
      </c>
      <c r="Y655" s="82" t="s">
        <v>3584</v>
      </c>
    </row>
    <row r="656" spans="1:37" ht="15.45" customHeight="1" x14ac:dyDescent="0.25">
      <c r="A656" s="29" t="s">
        <v>1399</v>
      </c>
      <c r="C656" s="37" t="s">
        <v>1188</v>
      </c>
      <c r="E656" s="37" t="s">
        <v>2832</v>
      </c>
      <c r="F656" s="24" t="s">
        <v>5443</v>
      </c>
      <c r="J656" s="214" t="s">
        <v>3690</v>
      </c>
      <c r="K656" s="10" t="s">
        <v>3685</v>
      </c>
      <c r="P656" s="37" t="s">
        <v>2077</v>
      </c>
      <c r="S656" s="10" t="s">
        <v>3412</v>
      </c>
      <c r="U656" s="21">
        <v>1</v>
      </c>
      <c r="V656" s="21">
        <v>4</v>
      </c>
      <c r="W656" s="73">
        <f t="shared" si="30"/>
        <v>16</v>
      </c>
      <c r="X656" s="80">
        <f t="shared" si="31"/>
        <v>1225</v>
      </c>
      <c r="Y656" s="82" t="s">
        <v>3584</v>
      </c>
    </row>
    <row r="657" spans="1:29" ht="15.45" customHeight="1" x14ac:dyDescent="0.25">
      <c r="A657" s="29" t="s">
        <v>3936</v>
      </c>
      <c r="B657" s="24" t="s">
        <v>3934</v>
      </c>
      <c r="C657" s="37" t="s">
        <v>1188</v>
      </c>
      <c r="E657" s="37" t="s">
        <v>2832</v>
      </c>
      <c r="F657" s="24" t="s">
        <v>5443</v>
      </c>
      <c r="H657" s="38" t="s">
        <v>3935</v>
      </c>
      <c r="J657" s="214" t="s">
        <v>3690</v>
      </c>
      <c r="K657" s="10" t="s">
        <v>3685</v>
      </c>
      <c r="P657" s="37" t="s">
        <v>417</v>
      </c>
      <c r="S657" s="10" t="s">
        <v>3412</v>
      </c>
      <c r="U657" s="21">
        <v>1</v>
      </c>
      <c r="V657" s="21">
        <v>1</v>
      </c>
      <c r="W657" s="73">
        <f t="shared" si="30"/>
        <v>17</v>
      </c>
      <c r="X657" s="80">
        <f t="shared" si="31"/>
        <v>1226</v>
      </c>
      <c r="Y657" s="82" t="s">
        <v>3584</v>
      </c>
    </row>
    <row r="658" spans="1:29" ht="15.45" customHeight="1" x14ac:dyDescent="0.25">
      <c r="A658" s="29" t="s">
        <v>3154</v>
      </c>
      <c r="C658" s="37" t="s">
        <v>1188</v>
      </c>
      <c r="E658" s="37" t="s">
        <v>2832</v>
      </c>
      <c r="F658" s="24" t="s">
        <v>5443</v>
      </c>
      <c r="J658" s="214" t="s">
        <v>3690</v>
      </c>
      <c r="K658" s="10" t="s">
        <v>3685</v>
      </c>
      <c r="P658" s="37" t="s">
        <v>1991</v>
      </c>
      <c r="S658" s="10" t="s">
        <v>3412</v>
      </c>
      <c r="U658" s="21">
        <v>1</v>
      </c>
      <c r="V658" s="21">
        <v>1</v>
      </c>
      <c r="W658" s="73">
        <f t="shared" si="30"/>
        <v>18</v>
      </c>
      <c r="X658" s="80">
        <f t="shared" si="31"/>
        <v>1227</v>
      </c>
      <c r="Y658" s="82" t="s">
        <v>3584</v>
      </c>
    </row>
    <row r="659" spans="1:29" ht="15.45" customHeight="1" x14ac:dyDescent="0.25">
      <c r="A659" s="29" t="s">
        <v>1650</v>
      </c>
      <c r="B659" s="24" t="s">
        <v>4500</v>
      </c>
      <c r="C659" s="37" t="s">
        <v>1188</v>
      </c>
      <c r="E659" s="37" t="s">
        <v>2832</v>
      </c>
      <c r="F659" s="24" t="s">
        <v>5443</v>
      </c>
      <c r="H659" s="38" t="s">
        <v>3937</v>
      </c>
      <c r="I659" s="124" t="s">
        <v>3972</v>
      </c>
      <c r="J659" s="214" t="s">
        <v>3690</v>
      </c>
      <c r="K659" s="10" t="s">
        <v>3685</v>
      </c>
      <c r="P659" s="37" t="s">
        <v>1603</v>
      </c>
      <c r="S659" s="10" t="s">
        <v>3412</v>
      </c>
      <c r="U659" s="21">
        <v>1</v>
      </c>
      <c r="V659" s="21">
        <v>2</v>
      </c>
      <c r="W659" s="73">
        <f t="shared" si="30"/>
        <v>20</v>
      </c>
      <c r="X659" s="80">
        <f t="shared" si="31"/>
        <v>1229</v>
      </c>
      <c r="Y659" s="82" t="s">
        <v>3584</v>
      </c>
    </row>
    <row r="660" spans="1:29" ht="15.45" customHeight="1" x14ac:dyDescent="0.25">
      <c r="A660" s="29" t="s">
        <v>1650</v>
      </c>
      <c r="B660" s="24" t="s">
        <v>4500</v>
      </c>
      <c r="C660" s="37" t="s">
        <v>1188</v>
      </c>
      <c r="E660" s="37" t="s">
        <v>2832</v>
      </c>
      <c r="F660" s="24" t="s">
        <v>5443</v>
      </c>
      <c r="H660" s="38" t="s">
        <v>3937</v>
      </c>
      <c r="J660" s="214" t="s">
        <v>3690</v>
      </c>
      <c r="K660" s="10" t="s">
        <v>3685</v>
      </c>
      <c r="P660" s="37" t="s">
        <v>1603</v>
      </c>
      <c r="S660" s="10" t="s">
        <v>3412</v>
      </c>
      <c r="U660" s="21">
        <v>1</v>
      </c>
      <c r="V660" s="21">
        <v>1</v>
      </c>
      <c r="W660" s="73">
        <f t="shared" si="30"/>
        <v>21</v>
      </c>
      <c r="X660" s="80">
        <f t="shared" si="31"/>
        <v>1230</v>
      </c>
      <c r="Y660" s="82" t="s">
        <v>3584</v>
      </c>
      <c r="AB660" s="177">
        <v>43147</v>
      </c>
      <c r="AC660" s="84" t="s">
        <v>2885</v>
      </c>
    </row>
    <row r="661" spans="1:29" ht="15.45" customHeight="1" x14ac:dyDescent="0.25">
      <c r="A661" s="29" t="s">
        <v>1417</v>
      </c>
      <c r="C661" s="37" t="s">
        <v>1188</v>
      </c>
      <c r="E661" s="37" t="s">
        <v>2832</v>
      </c>
      <c r="F661" s="24" t="s">
        <v>5443</v>
      </c>
      <c r="H661" s="38" t="s">
        <v>3938</v>
      </c>
      <c r="J661" s="214" t="s">
        <v>3690</v>
      </c>
      <c r="K661" s="10" t="s">
        <v>3685</v>
      </c>
      <c r="P661" s="37" t="s">
        <v>1792</v>
      </c>
      <c r="S661" s="10" t="s">
        <v>3412</v>
      </c>
      <c r="U661" s="21">
        <v>1</v>
      </c>
      <c r="V661" s="21">
        <v>1</v>
      </c>
      <c r="W661" s="73">
        <f>W660+V661</f>
        <v>22</v>
      </c>
      <c r="X661" s="80">
        <f t="shared" si="31"/>
        <v>1231</v>
      </c>
      <c r="Y661" s="82" t="s">
        <v>3584</v>
      </c>
    </row>
    <row r="662" spans="1:29" ht="15.45" customHeight="1" x14ac:dyDescent="0.25">
      <c r="A662" s="29" t="s">
        <v>1526</v>
      </c>
      <c r="C662" s="37" t="s">
        <v>1188</v>
      </c>
      <c r="E662" s="37" t="s">
        <v>2832</v>
      </c>
      <c r="F662" s="24" t="s">
        <v>5443</v>
      </c>
      <c r="H662" s="38" t="s">
        <v>3938</v>
      </c>
      <c r="J662" s="214" t="s">
        <v>3690</v>
      </c>
      <c r="K662" s="10" t="s">
        <v>3685</v>
      </c>
      <c r="P662" s="37" t="s">
        <v>1982</v>
      </c>
      <c r="S662" s="10" t="s">
        <v>3412</v>
      </c>
      <c r="U662" s="21">
        <v>1</v>
      </c>
      <c r="V662" s="21">
        <v>2</v>
      </c>
      <c r="W662" s="73">
        <f t="shared" si="30"/>
        <v>24</v>
      </c>
      <c r="X662" s="80">
        <f t="shared" si="31"/>
        <v>1233</v>
      </c>
      <c r="Y662" s="82" t="s">
        <v>3584</v>
      </c>
    </row>
    <row r="663" spans="1:29" ht="15.45" customHeight="1" x14ac:dyDescent="0.25">
      <c r="A663" s="29" t="s">
        <v>1524</v>
      </c>
      <c r="B663" s="24" t="s">
        <v>3919</v>
      </c>
      <c r="C663" s="37" t="s">
        <v>1188</v>
      </c>
      <c r="E663" s="37" t="s">
        <v>2832</v>
      </c>
      <c r="F663" s="24" t="s">
        <v>5443</v>
      </c>
      <c r="H663" s="38" t="s">
        <v>5310</v>
      </c>
      <c r="I663" s="111" t="s">
        <v>3920</v>
      </c>
      <c r="J663" s="214" t="s">
        <v>3690</v>
      </c>
      <c r="K663" s="10" t="s">
        <v>3685</v>
      </c>
      <c r="P663" s="37" t="s">
        <v>1981</v>
      </c>
      <c r="S663" s="10" t="s">
        <v>3412</v>
      </c>
      <c r="U663" s="21">
        <v>1</v>
      </c>
      <c r="V663" s="21">
        <v>2</v>
      </c>
      <c r="W663" s="73">
        <f t="shared" si="30"/>
        <v>26</v>
      </c>
      <c r="X663" s="80">
        <f t="shared" si="31"/>
        <v>1235</v>
      </c>
      <c r="Y663" s="82" t="s">
        <v>3584</v>
      </c>
    </row>
    <row r="664" spans="1:29" ht="15.45" customHeight="1" x14ac:dyDescent="0.25">
      <c r="A664" s="29" t="s">
        <v>1523</v>
      </c>
      <c r="C664" s="37" t="s">
        <v>1188</v>
      </c>
      <c r="E664" s="37" t="s">
        <v>2832</v>
      </c>
      <c r="F664" s="24" t="s">
        <v>5443</v>
      </c>
      <c r="H664" s="38" t="s">
        <v>3938</v>
      </c>
      <c r="J664" s="214" t="s">
        <v>3690</v>
      </c>
      <c r="K664" s="10" t="s">
        <v>3685</v>
      </c>
      <c r="P664" s="37" t="s">
        <v>1746</v>
      </c>
      <c r="S664" s="10" t="s">
        <v>3412</v>
      </c>
      <c r="U664" s="21">
        <v>1</v>
      </c>
      <c r="V664" s="21">
        <v>1</v>
      </c>
      <c r="W664" s="73">
        <f t="shared" si="30"/>
        <v>27</v>
      </c>
      <c r="X664" s="80">
        <f t="shared" si="31"/>
        <v>1236</v>
      </c>
      <c r="Y664" s="82" t="s">
        <v>3584</v>
      </c>
    </row>
    <row r="665" spans="1:29" ht="15.45" customHeight="1" x14ac:dyDescent="0.25">
      <c r="A665" s="29" t="s">
        <v>3153</v>
      </c>
      <c r="B665" s="24" t="s">
        <v>3939</v>
      </c>
      <c r="C665" s="37" t="s">
        <v>1188</v>
      </c>
      <c r="E665" s="37" t="s">
        <v>2832</v>
      </c>
      <c r="F665" s="24" t="s">
        <v>5443</v>
      </c>
      <c r="H665" s="38" t="s">
        <v>3940</v>
      </c>
      <c r="I665" s="111" t="s">
        <v>3941</v>
      </c>
      <c r="J665" s="214" t="s">
        <v>3690</v>
      </c>
      <c r="K665" s="10" t="s">
        <v>3685</v>
      </c>
      <c r="P665" s="37" t="s">
        <v>1792</v>
      </c>
      <c r="S665" s="10" t="s">
        <v>3412</v>
      </c>
      <c r="U665" s="21">
        <v>1</v>
      </c>
      <c r="V665" s="21">
        <v>2</v>
      </c>
      <c r="W665" s="73">
        <f t="shared" si="30"/>
        <v>29</v>
      </c>
      <c r="X665" s="80">
        <f t="shared" si="31"/>
        <v>1238</v>
      </c>
      <c r="Y665" s="82" t="s">
        <v>3584</v>
      </c>
    </row>
    <row r="666" spans="1:29" ht="15.45" customHeight="1" x14ac:dyDescent="0.25">
      <c r="A666" s="29" t="s">
        <v>1729</v>
      </c>
      <c r="B666" s="24" t="s">
        <v>3942</v>
      </c>
      <c r="C666" s="37" t="s">
        <v>1188</v>
      </c>
      <c r="E666" s="37" t="s">
        <v>2832</v>
      </c>
      <c r="F666" s="24" t="s">
        <v>5443</v>
      </c>
      <c r="H666" s="38" t="s">
        <v>3943</v>
      </c>
      <c r="J666" s="214" t="s">
        <v>3690</v>
      </c>
      <c r="K666" s="10" t="s">
        <v>3685</v>
      </c>
      <c r="P666" s="37" t="s">
        <v>1991</v>
      </c>
      <c r="S666" s="10" t="s">
        <v>3412</v>
      </c>
      <c r="U666" s="21">
        <v>1</v>
      </c>
      <c r="V666" s="21">
        <v>1</v>
      </c>
      <c r="W666" s="73">
        <f t="shared" si="30"/>
        <v>30</v>
      </c>
      <c r="X666" s="80">
        <f t="shared" si="31"/>
        <v>1239</v>
      </c>
      <c r="Y666" s="82" t="s">
        <v>3584</v>
      </c>
    </row>
    <row r="667" spans="1:29" ht="15.45" customHeight="1" x14ac:dyDescent="0.25">
      <c r="A667" s="29" t="s">
        <v>1260</v>
      </c>
      <c r="C667" s="37" t="s">
        <v>1188</v>
      </c>
      <c r="E667" s="37" t="s">
        <v>2832</v>
      </c>
      <c r="F667" s="24" t="s">
        <v>5443</v>
      </c>
      <c r="H667" s="38" t="s">
        <v>3944</v>
      </c>
      <c r="J667" s="214" t="s">
        <v>3690</v>
      </c>
      <c r="K667" s="10" t="s">
        <v>3685</v>
      </c>
      <c r="P667" s="37" t="s">
        <v>417</v>
      </c>
      <c r="S667" s="10" t="s">
        <v>3412</v>
      </c>
      <c r="U667" s="21">
        <v>1</v>
      </c>
      <c r="V667" s="21">
        <v>1</v>
      </c>
      <c r="W667" s="73">
        <f t="shared" si="30"/>
        <v>31</v>
      </c>
      <c r="X667" s="80">
        <f t="shared" si="31"/>
        <v>1240</v>
      </c>
      <c r="Y667" s="82" t="s">
        <v>3584</v>
      </c>
    </row>
    <row r="668" spans="1:29" ht="15.45" customHeight="1" x14ac:dyDescent="0.25">
      <c r="A668" s="29" t="s">
        <v>1522</v>
      </c>
      <c r="C668" s="37" t="s">
        <v>1188</v>
      </c>
      <c r="E668" s="37" t="s">
        <v>2832</v>
      </c>
      <c r="F668" s="24" t="s">
        <v>5443</v>
      </c>
      <c r="J668" s="214" t="s">
        <v>3690</v>
      </c>
      <c r="K668" s="10" t="s">
        <v>3685</v>
      </c>
      <c r="P668" s="37" t="s">
        <v>2074</v>
      </c>
      <c r="S668" s="10" t="s">
        <v>3412</v>
      </c>
      <c r="U668" s="21">
        <v>1</v>
      </c>
      <c r="V668" s="21">
        <v>1</v>
      </c>
      <c r="W668" s="73">
        <f t="shared" si="30"/>
        <v>32</v>
      </c>
      <c r="X668" s="80">
        <f t="shared" si="31"/>
        <v>1241</v>
      </c>
      <c r="Y668" s="82" t="s">
        <v>3584</v>
      </c>
    </row>
    <row r="669" spans="1:29" ht="15.45" customHeight="1" x14ac:dyDescent="0.25">
      <c r="A669" s="29" t="s">
        <v>1421</v>
      </c>
      <c r="C669" s="37" t="s">
        <v>1188</v>
      </c>
      <c r="E669" s="37" t="s">
        <v>2832</v>
      </c>
      <c r="F669" s="24" t="s">
        <v>5443</v>
      </c>
      <c r="J669" s="214" t="s">
        <v>3690</v>
      </c>
      <c r="K669" s="10" t="s">
        <v>3685</v>
      </c>
      <c r="P669" s="37" t="s">
        <v>1991</v>
      </c>
      <c r="S669" s="10" t="s">
        <v>3412</v>
      </c>
      <c r="U669" s="21">
        <v>1</v>
      </c>
      <c r="V669" s="21">
        <v>1</v>
      </c>
      <c r="W669" s="73">
        <f t="shared" si="30"/>
        <v>33</v>
      </c>
      <c r="X669" s="80">
        <f t="shared" si="31"/>
        <v>1242</v>
      </c>
      <c r="Y669" s="82" t="s">
        <v>3584</v>
      </c>
    </row>
    <row r="670" spans="1:29" ht="15.45" customHeight="1" x14ac:dyDescent="0.25">
      <c r="A670" s="29" t="s">
        <v>1521</v>
      </c>
      <c r="C670" s="37" t="s">
        <v>1188</v>
      </c>
      <c r="E670" s="37" t="s">
        <v>2832</v>
      </c>
      <c r="F670" s="24" t="s">
        <v>5443</v>
      </c>
      <c r="J670" s="214" t="s">
        <v>3690</v>
      </c>
      <c r="K670" s="10" t="s">
        <v>3685</v>
      </c>
      <c r="P670" s="37" t="s">
        <v>1736</v>
      </c>
      <c r="S670" s="10" t="s">
        <v>3412</v>
      </c>
      <c r="U670" s="21">
        <v>1</v>
      </c>
      <c r="V670" s="21">
        <v>1</v>
      </c>
      <c r="W670" s="73">
        <f t="shared" si="30"/>
        <v>34</v>
      </c>
      <c r="X670" s="80">
        <f t="shared" si="31"/>
        <v>1243</v>
      </c>
      <c r="Y670" s="82" t="s">
        <v>3584</v>
      </c>
    </row>
    <row r="671" spans="1:29" ht="15.45" customHeight="1" x14ac:dyDescent="0.25">
      <c r="A671" s="29" t="s">
        <v>1499</v>
      </c>
      <c r="C671" s="37" t="s">
        <v>1188</v>
      </c>
      <c r="E671" s="37" t="s">
        <v>2832</v>
      </c>
      <c r="F671" s="24" t="s">
        <v>5443</v>
      </c>
      <c r="H671" s="38" t="s">
        <v>3945</v>
      </c>
      <c r="J671" s="214" t="s">
        <v>3690</v>
      </c>
      <c r="K671" s="10" t="s">
        <v>3685</v>
      </c>
      <c r="P671" s="37" t="s">
        <v>1792</v>
      </c>
      <c r="S671" s="10" t="s">
        <v>3412</v>
      </c>
      <c r="U671" s="21">
        <v>1</v>
      </c>
      <c r="V671" s="21">
        <v>1</v>
      </c>
      <c r="W671" s="73">
        <f t="shared" si="30"/>
        <v>35</v>
      </c>
      <c r="X671" s="80">
        <f t="shared" si="31"/>
        <v>1244</v>
      </c>
      <c r="Y671" s="82" t="s">
        <v>3584</v>
      </c>
    </row>
    <row r="672" spans="1:29" ht="15.45" customHeight="1" x14ac:dyDescent="0.25">
      <c r="A672" s="29" t="s">
        <v>3946</v>
      </c>
      <c r="C672" s="37" t="s">
        <v>1188</v>
      </c>
      <c r="E672" s="37" t="s">
        <v>2832</v>
      </c>
      <c r="F672" s="24" t="s">
        <v>5443</v>
      </c>
      <c r="J672" s="214" t="s">
        <v>3690</v>
      </c>
      <c r="K672" s="10" t="s">
        <v>3685</v>
      </c>
      <c r="P672" s="37" t="s">
        <v>2075</v>
      </c>
      <c r="S672" s="10" t="s">
        <v>3412</v>
      </c>
      <c r="U672" s="21">
        <v>1</v>
      </c>
      <c r="V672" s="21">
        <v>1</v>
      </c>
      <c r="W672" s="73">
        <f t="shared" si="30"/>
        <v>36</v>
      </c>
      <c r="X672" s="80">
        <f t="shared" si="31"/>
        <v>1245</v>
      </c>
      <c r="Y672" s="82" t="s">
        <v>3584</v>
      </c>
    </row>
    <row r="673" spans="1:37" ht="15.45" customHeight="1" x14ac:dyDescent="0.25">
      <c r="A673" s="29" t="s">
        <v>3152</v>
      </c>
      <c r="C673" s="37" t="s">
        <v>1188</v>
      </c>
      <c r="E673" s="37" t="s">
        <v>2832</v>
      </c>
      <c r="F673" s="24" t="s">
        <v>5443</v>
      </c>
      <c r="J673" s="214" t="s">
        <v>3690</v>
      </c>
      <c r="K673" s="10" t="s">
        <v>3685</v>
      </c>
      <c r="P673" s="37" t="s">
        <v>1792</v>
      </c>
      <c r="S673" s="10" t="s">
        <v>3412</v>
      </c>
      <c r="U673" s="21">
        <v>1</v>
      </c>
      <c r="V673" s="21">
        <v>1</v>
      </c>
      <c r="W673" s="73">
        <f t="shared" si="30"/>
        <v>37</v>
      </c>
      <c r="X673" s="80">
        <f t="shared" si="31"/>
        <v>1246</v>
      </c>
      <c r="Y673" s="82" t="s">
        <v>3584</v>
      </c>
    </row>
    <row r="674" spans="1:37" ht="15.45" customHeight="1" x14ac:dyDescent="0.25">
      <c r="A674" s="29" t="s">
        <v>1491</v>
      </c>
      <c r="C674" s="37" t="s">
        <v>1188</v>
      </c>
      <c r="E674" s="37" t="s">
        <v>2832</v>
      </c>
      <c r="F674" s="24" t="s">
        <v>5443</v>
      </c>
      <c r="J674" s="214" t="s">
        <v>3690</v>
      </c>
      <c r="K674" s="10" t="s">
        <v>3685</v>
      </c>
      <c r="P674" s="37" t="s">
        <v>1792</v>
      </c>
      <c r="S674" s="10" t="s">
        <v>3412</v>
      </c>
      <c r="U674" s="21">
        <v>1</v>
      </c>
      <c r="V674" s="21">
        <v>1</v>
      </c>
      <c r="W674" s="73">
        <f t="shared" si="30"/>
        <v>38</v>
      </c>
      <c r="X674" s="80">
        <f t="shared" si="31"/>
        <v>1247</v>
      </c>
      <c r="Y674" s="82" t="s">
        <v>3584</v>
      </c>
    </row>
    <row r="675" spans="1:37" ht="15.45" customHeight="1" x14ac:dyDescent="0.25">
      <c r="A675" s="29" t="s">
        <v>3947</v>
      </c>
      <c r="B675" s="24" t="s">
        <v>3948</v>
      </c>
      <c r="C675" s="37" t="s">
        <v>1188</v>
      </c>
      <c r="E675" s="37" t="s">
        <v>2832</v>
      </c>
      <c r="F675" s="24" t="s">
        <v>5443</v>
      </c>
      <c r="H675" s="38" t="s">
        <v>3950</v>
      </c>
      <c r="I675" s="111" t="s">
        <v>3949</v>
      </c>
      <c r="J675" s="214" t="s">
        <v>3690</v>
      </c>
      <c r="K675" s="10" t="s">
        <v>3685</v>
      </c>
      <c r="P675" s="37" t="s">
        <v>2076</v>
      </c>
      <c r="Q675" s="37" t="s">
        <v>1644</v>
      </c>
      <c r="S675" s="10" t="s">
        <v>3412</v>
      </c>
      <c r="U675" s="21">
        <v>1</v>
      </c>
      <c r="V675" s="21">
        <v>1</v>
      </c>
      <c r="W675" s="73">
        <f t="shared" si="30"/>
        <v>39</v>
      </c>
      <c r="X675" s="80">
        <f t="shared" si="31"/>
        <v>1248</v>
      </c>
      <c r="Y675" s="82" t="s">
        <v>3584</v>
      </c>
    </row>
    <row r="676" spans="1:37" ht="15.45" customHeight="1" x14ac:dyDescent="0.25">
      <c r="A676" s="29" t="s">
        <v>1400</v>
      </c>
      <c r="B676" s="24" t="s">
        <v>3951</v>
      </c>
      <c r="C676" s="37" t="s">
        <v>1188</v>
      </c>
      <c r="E676" s="37" t="s">
        <v>2832</v>
      </c>
      <c r="F676" s="24" t="s">
        <v>5443</v>
      </c>
      <c r="H676" s="38" t="s">
        <v>3974</v>
      </c>
      <c r="I676" s="111" t="s">
        <v>3975</v>
      </c>
      <c r="J676" s="214" t="s">
        <v>3803</v>
      </c>
      <c r="P676" s="37" t="s">
        <v>1621</v>
      </c>
      <c r="S676" s="10" t="s">
        <v>3412</v>
      </c>
      <c r="U676" s="21">
        <v>1</v>
      </c>
      <c r="V676" s="21">
        <v>2</v>
      </c>
      <c r="W676" s="73">
        <f t="shared" si="30"/>
        <v>41</v>
      </c>
      <c r="X676" s="80">
        <f t="shared" si="31"/>
        <v>1250</v>
      </c>
      <c r="Y676" s="82" t="s">
        <v>3592</v>
      </c>
      <c r="Z676" s="24" t="s">
        <v>2884</v>
      </c>
    </row>
    <row r="677" spans="1:37" ht="15.45" customHeight="1" x14ac:dyDescent="0.25">
      <c r="A677" s="29" t="s">
        <v>1494</v>
      </c>
      <c r="B677" s="24" t="s">
        <v>3952</v>
      </c>
      <c r="C677" s="37" t="s">
        <v>1188</v>
      </c>
      <c r="E677" s="37" t="s">
        <v>2832</v>
      </c>
      <c r="F677" s="24" t="s">
        <v>5443</v>
      </c>
      <c r="H677" s="38" t="s">
        <v>3953</v>
      </c>
      <c r="I677" s="111" t="s">
        <v>3954</v>
      </c>
      <c r="J677" s="214" t="s">
        <v>3690</v>
      </c>
      <c r="K677" s="10" t="s">
        <v>3685</v>
      </c>
      <c r="P677" s="37" t="s">
        <v>1792</v>
      </c>
      <c r="S677" s="10" t="s">
        <v>3412</v>
      </c>
      <c r="U677" s="21">
        <v>1</v>
      </c>
      <c r="V677" s="21">
        <v>1</v>
      </c>
      <c r="W677" s="73">
        <f t="shared" si="30"/>
        <v>42</v>
      </c>
      <c r="X677" s="80">
        <f t="shared" si="31"/>
        <v>1251</v>
      </c>
      <c r="Y677" s="82" t="s">
        <v>3584</v>
      </c>
    </row>
    <row r="678" spans="1:37" ht="15.45" customHeight="1" x14ac:dyDescent="0.25">
      <c r="A678" s="29" t="s">
        <v>1610</v>
      </c>
      <c r="C678" s="37" t="s">
        <v>1188</v>
      </c>
      <c r="E678" s="37" t="s">
        <v>2832</v>
      </c>
      <c r="F678" s="24" t="s">
        <v>5443</v>
      </c>
      <c r="J678" s="214" t="s">
        <v>3690</v>
      </c>
      <c r="K678" s="10" t="s">
        <v>3685</v>
      </c>
      <c r="P678" s="37" t="s">
        <v>1792</v>
      </c>
      <c r="S678" s="10" t="s">
        <v>3412</v>
      </c>
      <c r="U678" s="21">
        <v>1</v>
      </c>
      <c r="V678" s="21">
        <v>3</v>
      </c>
      <c r="W678" s="73">
        <f t="shared" si="30"/>
        <v>45</v>
      </c>
      <c r="X678" s="80">
        <f t="shared" si="31"/>
        <v>1254</v>
      </c>
      <c r="Y678" s="82" t="s">
        <v>3584</v>
      </c>
    </row>
    <row r="679" spans="1:37" ht="15.45" customHeight="1" x14ac:dyDescent="0.25">
      <c r="A679" s="29" t="s">
        <v>1160</v>
      </c>
      <c r="C679" s="37" t="s">
        <v>1188</v>
      </c>
      <c r="E679" s="37" t="s">
        <v>2832</v>
      </c>
      <c r="F679" s="24" t="s">
        <v>5443</v>
      </c>
      <c r="J679" s="214" t="s">
        <v>3690</v>
      </c>
      <c r="K679" s="10" t="s">
        <v>3685</v>
      </c>
      <c r="P679" s="37" t="s">
        <v>1792</v>
      </c>
      <c r="S679" s="10" t="s">
        <v>3412</v>
      </c>
      <c r="U679" s="21">
        <v>1</v>
      </c>
      <c r="V679" s="21">
        <v>1</v>
      </c>
      <c r="W679" s="73">
        <f>W678+V679</f>
        <v>46</v>
      </c>
      <c r="X679" s="80">
        <f t="shared" si="31"/>
        <v>1255</v>
      </c>
      <c r="Y679" s="82" t="s">
        <v>3584</v>
      </c>
    </row>
    <row r="680" spans="1:37" ht="15.45" customHeight="1" x14ac:dyDescent="0.25">
      <c r="A680" s="29" t="s">
        <v>1275</v>
      </c>
      <c r="C680" s="37" t="s">
        <v>1188</v>
      </c>
      <c r="E680" s="37" t="s">
        <v>2832</v>
      </c>
      <c r="F680" s="24" t="s">
        <v>5443</v>
      </c>
      <c r="J680" s="214" t="s">
        <v>3690</v>
      </c>
      <c r="K680" s="10" t="s">
        <v>3685</v>
      </c>
      <c r="P680" s="37" t="s">
        <v>1933</v>
      </c>
      <c r="S680" s="10" t="s">
        <v>3412</v>
      </c>
      <c r="U680" s="21">
        <v>1</v>
      </c>
      <c r="V680" s="21">
        <v>1</v>
      </c>
      <c r="W680" s="73">
        <f t="shared" si="30"/>
        <v>47</v>
      </c>
      <c r="X680" s="80">
        <f t="shared" si="31"/>
        <v>1256</v>
      </c>
      <c r="Y680" s="82" t="s">
        <v>3584</v>
      </c>
    </row>
    <row r="681" spans="1:37" ht="15.45" customHeight="1" x14ac:dyDescent="0.25">
      <c r="A681" s="29" t="s">
        <v>3151</v>
      </c>
      <c r="B681" s="24" t="s">
        <v>3956</v>
      </c>
      <c r="C681" s="37" t="s">
        <v>1188</v>
      </c>
      <c r="E681" s="37" t="s">
        <v>2832</v>
      </c>
      <c r="F681" s="24" t="s">
        <v>5443</v>
      </c>
      <c r="H681" s="124" t="s">
        <v>3955</v>
      </c>
      <c r="J681" s="214" t="s">
        <v>3690</v>
      </c>
      <c r="K681" s="10" t="s">
        <v>3685</v>
      </c>
      <c r="P681" s="37" t="s">
        <v>1792</v>
      </c>
      <c r="S681" s="10" t="s">
        <v>3412</v>
      </c>
      <c r="U681" s="21">
        <v>1</v>
      </c>
      <c r="V681" s="21">
        <v>1</v>
      </c>
      <c r="W681" s="73">
        <f t="shared" si="30"/>
        <v>48</v>
      </c>
      <c r="X681" s="80">
        <f t="shared" si="31"/>
        <v>1257</v>
      </c>
      <c r="Y681" s="82" t="s">
        <v>3584</v>
      </c>
    </row>
    <row r="682" spans="1:37" ht="15.45" customHeight="1" x14ac:dyDescent="0.25">
      <c r="A682" s="29" t="s">
        <v>798</v>
      </c>
      <c r="C682" s="37" t="s">
        <v>1188</v>
      </c>
      <c r="E682" s="37" t="s">
        <v>2832</v>
      </c>
      <c r="F682" s="24" t="s">
        <v>5443</v>
      </c>
      <c r="J682" s="214" t="s">
        <v>3690</v>
      </c>
      <c r="K682" s="10" t="s">
        <v>3685</v>
      </c>
      <c r="P682" s="37" t="s">
        <v>1736</v>
      </c>
      <c r="S682" s="10" t="s">
        <v>3412</v>
      </c>
      <c r="U682" s="21">
        <v>1</v>
      </c>
      <c r="V682" s="21">
        <v>1</v>
      </c>
      <c r="W682" s="73">
        <f t="shared" si="30"/>
        <v>49</v>
      </c>
      <c r="X682" s="80">
        <f t="shared" si="31"/>
        <v>1258</v>
      </c>
      <c r="Y682" s="82" t="s">
        <v>3584</v>
      </c>
    </row>
    <row r="683" spans="1:37" ht="15.45" customHeight="1" x14ac:dyDescent="0.25">
      <c r="A683" s="29" t="s">
        <v>1190</v>
      </c>
      <c r="B683" s="24" t="s">
        <v>3959</v>
      </c>
      <c r="C683" s="37" t="s">
        <v>1188</v>
      </c>
      <c r="E683" s="37" t="s">
        <v>2832</v>
      </c>
      <c r="F683" s="24" t="s">
        <v>5443</v>
      </c>
      <c r="H683" s="38" t="s">
        <v>3957</v>
      </c>
      <c r="I683" s="155" t="s">
        <v>3958</v>
      </c>
      <c r="J683" s="214" t="s">
        <v>3690</v>
      </c>
      <c r="K683" s="10" t="s">
        <v>3685</v>
      </c>
      <c r="P683" s="37" t="s">
        <v>1792</v>
      </c>
      <c r="S683" s="10" t="s">
        <v>3412</v>
      </c>
      <c r="U683" s="21">
        <v>1</v>
      </c>
      <c r="V683" s="21">
        <v>1</v>
      </c>
      <c r="W683" s="73">
        <f t="shared" si="30"/>
        <v>50</v>
      </c>
      <c r="X683" s="80">
        <f t="shared" si="31"/>
        <v>1259</v>
      </c>
      <c r="Y683" s="82" t="s">
        <v>3584</v>
      </c>
    </row>
    <row r="684" spans="1:37" ht="15.45" customHeight="1" x14ac:dyDescent="0.25">
      <c r="A684" s="29" t="s">
        <v>7016</v>
      </c>
      <c r="C684" s="37" t="s">
        <v>1188</v>
      </c>
      <c r="E684" s="37" t="s">
        <v>2832</v>
      </c>
      <c r="F684" s="24" t="s">
        <v>5443</v>
      </c>
      <c r="J684" s="214" t="s">
        <v>3690</v>
      </c>
      <c r="K684" s="10" t="s">
        <v>3685</v>
      </c>
      <c r="P684" s="37" t="s">
        <v>2074</v>
      </c>
      <c r="S684" s="10" t="s">
        <v>3412</v>
      </c>
      <c r="U684" s="21">
        <v>1</v>
      </c>
      <c r="V684" s="21">
        <v>1</v>
      </c>
      <c r="W684" s="73">
        <f t="shared" si="30"/>
        <v>51</v>
      </c>
      <c r="X684" s="80">
        <f t="shared" si="31"/>
        <v>1260</v>
      </c>
      <c r="Y684" s="82" t="s">
        <v>3584</v>
      </c>
    </row>
    <row r="685" spans="1:37" ht="15.45" customHeight="1" x14ac:dyDescent="0.25">
      <c r="A685" s="32" t="s">
        <v>1168</v>
      </c>
      <c r="C685" s="37" t="s">
        <v>1188</v>
      </c>
      <c r="E685" s="37" t="s">
        <v>2832</v>
      </c>
      <c r="F685" s="24" t="s">
        <v>5443</v>
      </c>
      <c r="H685" s="40"/>
      <c r="I685" s="113"/>
      <c r="J685" s="214" t="s">
        <v>3803</v>
      </c>
      <c r="P685" s="37" t="s">
        <v>1893</v>
      </c>
      <c r="S685" s="10" t="s">
        <v>3412</v>
      </c>
      <c r="T685" s="12"/>
      <c r="U685" s="21">
        <v>1</v>
      </c>
      <c r="V685" s="21">
        <v>1</v>
      </c>
      <c r="W685" s="73">
        <f t="shared" si="30"/>
        <v>52</v>
      </c>
      <c r="X685" s="80">
        <f t="shared" si="31"/>
        <v>1261</v>
      </c>
      <c r="Y685" s="82" t="s">
        <v>3592</v>
      </c>
      <c r="Z685" s="24" t="s">
        <v>2884</v>
      </c>
      <c r="AF685" s="12"/>
      <c r="AG685" s="12"/>
      <c r="AH685" s="12"/>
      <c r="AI685" s="12"/>
      <c r="AJ685" s="12"/>
      <c r="AK685" s="12"/>
    </row>
    <row r="686" spans="1:37" ht="15.45" customHeight="1" x14ac:dyDescent="0.25">
      <c r="A686" s="32" t="s">
        <v>3960</v>
      </c>
      <c r="C686" s="37" t="s">
        <v>1188</v>
      </c>
      <c r="E686" s="37" t="s">
        <v>2832</v>
      </c>
      <c r="F686" s="24" t="s">
        <v>5443</v>
      </c>
      <c r="H686" s="40"/>
      <c r="I686" s="113"/>
      <c r="J686" s="214" t="s">
        <v>3690</v>
      </c>
      <c r="K686" s="10" t="s">
        <v>3685</v>
      </c>
      <c r="P686" s="37" t="s">
        <v>417</v>
      </c>
      <c r="S686" s="10" t="s">
        <v>3412</v>
      </c>
      <c r="T686" s="12"/>
      <c r="U686" s="21">
        <v>1</v>
      </c>
      <c r="V686" s="21">
        <v>1</v>
      </c>
      <c r="W686" s="73">
        <f t="shared" si="30"/>
        <v>53</v>
      </c>
      <c r="X686" s="80">
        <f t="shared" si="31"/>
        <v>1262</v>
      </c>
      <c r="Y686" s="82" t="s">
        <v>3584</v>
      </c>
      <c r="AF686" s="12"/>
      <c r="AG686" s="12"/>
      <c r="AH686" s="12"/>
      <c r="AI686" s="12"/>
      <c r="AJ686" s="12"/>
      <c r="AK686" s="12"/>
    </row>
    <row r="687" spans="1:37" ht="15.45" customHeight="1" x14ac:dyDescent="0.25">
      <c r="A687" s="29" t="s">
        <v>1265</v>
      </c>
      <c r="C687" s="37" t="s">
        <v>1188</v>
      </c>
      <c r="E687" s="37" t="s">
        <v>2832</v>
      </c>
      <c r="F687" s="24" t="s">
        <v>5443</v>
      </c>
      <c r="J687" s="214" t="s">
        <v>3690</v>
      </c>
      <c r="K687" s="10" t="s">
        <v>3685</v>
      </c>
      <c r="P687" s="37" t="s">
        <v>2074</v>
      </c>
      <c r="S687" s="10" t="s">
        <v>3412</v>
      </c>
      <c r="U687" s="21">
        <v>1</v>
      </c>
      <c r="V687" s="21">
        <v>1</v>
      </c>
      <c r="W687" s="73">
        <f t="shared" si="30"/>
        <v>54</v>
      </c>
      <c r="X687" s="80">
        <f t="shared" si="31"/>
        <v>1263</v>
      </c>
      <c r="Y687" s="82" t="s">
        <v>3584</v>
      </c>
    </row>
    <row r="688" spans="1:37" ht="15.45" customHeight="1" x14ac:dyDescent="0.25">
      <c r="A688" s="29" t="s">
        <v>1493</v>
      </c>
      <c r="C688" s="37" t="s">
        <v>1188</v>
      </c>
      <c r="E688" s="37" t="s">
        <v>2832</v>
      </c>
      <c r="F688" s="24" t="s">
        <v>5443</v>
      </c>
      <c r="J688" s="214" t="s">
        <v>3690</v>
      </c>
      <c r="K688" s="10" t="s">
        <v>3685</v>
      </c>
      <c r="P688" s="37" t="s">
        <v>2074</v>
      </c>
      <c r="S688" s="10" t="s">
        <v>3412</v>
      </c>
      <c r="U688" s="21">
        <v>1</v>
      </c>
      <c r="V688" s="21">
        <v>1</v>
      </c>
      <c r="W688" s="73">
        <f t="shared" si="30"/>
        <v>55</v>
      </c>
      <c r="X688" s="80">
        <f t="shared" si="31"/>
        <v>1264</v>
      </c>
      <c r="Y688" s="82" t="s">
        <v>3584</v>
      </c>
    </row>
    <row r="689" spans="1:37" ht="15.45" customHeight="1" x14ac:dyDescent="0.25">
      <c r="A689" s="29" t="s">
        <v>1283</v>
      </c>
      <c r="C689" s="37" t="s">
        <v>1188</v>
      </c>
      <c r="E689" s="37" t="s">
        <v>2832</v>
      </c>
      <c r="F689" s="24" t="s">
        <v>5443</v>
      </c>
      <c r="J689" s="214" t="s">
        <v>3690</v>
      </c>
      <c r="K689" s="10" t="s">
        <v>3685</v>
      </c>
      <c r="P689" s="37" t="s">
        <v>1737</v>
      </c>
      <c r="Q689" s="37" t="s">
        <v>1870</v>
      </c>
      <c r="S689" s="10" t="s">
        <v>3412</v>
      </c>
      <c r="U689" s="21">
        <v>1</v>
      </c>
      <c r="V689" s="21">
        <v>5</v>
      </c>
      <c r="W689" s="73">
        <f t="shared" si="30"/>
        <v>60</v>
      </c>
      <c r="X689" s="80">
        <f t="shared" si="31"/>
        <v>1269</v>
      </c>
      <c r="Y689" s="82" t="s">
        <v>3584</v>
      </c>
    </row>
    <row r="690" spans="1:37" ht="15.45" customHeight="1" x14ac:dyDescent="0.25">
      <c r="A690" s="29" t="s">
        <v>3961</v>
      </c>
      <c r="B690" s="24" t="s">
        <v>3962</v>
      </c>
      <c r="C690" s="37" t="s">
        <v>1188</v>
      </c>
      <c r="E690" s="37" t="s">
        <v>2832</v>
      </c>
      <c r="F690" s="24" t="s">
        <v>5443</v>
      </c>
      <c r="H690" s="38" t="s">
        <v>3963</v>
      </c>
      <c r="J690" s="214" t="s">
        <v>3690</v>
      </c>
      <c r="K690" s="10" t="s">
        <v>3685</v>
      </c>
      <c r="P690" s="37" t="s">
        <v>1603</v>
      </c>
      <c r="S690" s="10" t="s">
        <v>3412</v>
      </c>
      <c r="U690" s="21">
        <v>1</v>
      </c>
      <c r="V690" s="21">
        <v>2</v>
      </c>
      <c r="W690" s="73">
        <f t="shared" si="30"/>
        <v>62</v>
      </c>
      <c r="X690" s="80">
        <f t="shared" si="31"/>
        <v>1271</v>
      </c>
      <c r="Y690" s="82" t="s">
        <v>3584</v>
      </c>
    </row>
    <row r="691" spans="1:37" ht="15.45" customHeight="1" x14ac:dyDescent="0.25">
      <c r="A691" s="29" t="s">
        <v>1758</v>
      </c>
      <c r="B691" s="24" t="s">
        <v>3965</v>
      </c>
      <c r="C691" s="37" t="s">
        <v>1188</v>
      </c>
      <c r="E691" s="37" t="s">
        <v>2832</v>
      </c>
      <c r="F691" s="24" t="s">
        <v>5443</v>
      </c>
      <c r="H691" s="38" t="s">
        <v>3964</v>
      </c>
      <c r="I691" s="111" t="s">
        <v>3954</v>
      </c>
      <c r="J691" s="214" t="s">
        <v>3690</v>
      </c>
      <c r="K691" s="10" t="s">
        <v>3685</v>
      </c>
      <c r="P691" s="37" t="s">
        <v>1792</v>
      </c>
      <c r="S691" s="10" t="s">
        <v>3412</v>
      </c>
      <c r="U691" s="21">
        <v>1</v>
      </c>
      <c r="V691" s="21">
        <v>1</v>
      </c>
      <c r="W691" s="73">
        <f t="shared" si="30"/>
        <v>63</v>
      </c>
      <c r="X691" s="80">
        <f t="shared" si="31"/>
        <v>1272</v>
      </c>
      <c r="Y691" s="82" t="s">
        <v>3584</v>
      </c>
    </row>
    <row r="692" spans="1:37" ht="15.45" customHeight="1" x14ac:dyDescent="0.25">
      <c r="A692" s="29" t="s">
        <v>3147</v>
      </c>
      <c r="B692" s="24" t="s">
        <v>3966</v>
      </c>
      <c r="C692" s="37" t="s">
        <v>1188</v>
      </c>
      <c r="E692" s="37" t="s">
        <v>2832</v>
      </c>
      <c r="F692" s="24" t="s">
        <v>5443</v>
      </c>
      <c r="J692" s="214" t="s">
        <v>3690</v>
      </c>
      <c r="K692" s="10" t="s">
        <v>3685</v>
      </c>
      <c r="P692" s="37" t="s">
        <v>2074</v>
      </c>
      <c r="S692" s="10" t="s">
        <v>3412</v>
      </c>
      <c r="U692" s="21">
        <v>1</v>
      </c>
      <c r="V692" s="21">
        <v>2</v>
      </c>
      <c r="W692" s="73">
        <f t="shared" si="30"/>
        <v>65</v>
      </c>
      <c r="X692" s="80">
        <f t="shared" si="31"/>
        <v>1274</v>
      </c>
      <c r="Y692" s="82" t="s">
        <v>3584</v>
      </c>
    </row>
    <row r="693" spans="1:37" ht="15.45" customHeight="1" x14ac:dyDescent="0.25">
      <c r="A693" s="29" t="s">
        <v>3148</v>
      </c>
      <c r="B693" s="24" t="s">
        <v>3966</v>
      </c>
      <c r="C693" s="37" t="s">
        <v>1188</v>
      </c>
      <c r="E693" s="37" t="s">
        <v>2832</v>
      </c>
      <c r="F693" s="24" t="s">
        <v>5443</v>
      </c>
      <c r="J693" s="214" t="s">
        <v>3690</v>
      </c>
      <c r="K693" s="10" t="s">
        <v>3685</v>
      </c>
      <c r="P693" s="37" t="s">
        <v>1736</v>
      </c>
      <c r="S693" s="10" t="s">
        <v>3412</v>
      </c>
      <c r="U693" s="21">
        <v>1</v>
      </c>
      <c r="V693" s="21">
        <v>1</v>
      </c>
      <c r="W693" s="73">
        <f t="shared" si="30"/>
        <v>66</v>
      </c>
      <c r="X693" s="80">
        <f t="shared" si="31"/>
        <v>1275</v>
      </c>
      <c r="Y693" s="82" t="s">
        <v>3584</v>
      </c>
    </row>
    <row r="694" spans="1:37" ht="15.45" customHeight="1" x14ac:dyDescent="0.25">
      <c r="A694" s="29" t="s">
        <v>1152</v>
      </c>
      <c r="B694" s="24" t="s">
        <v>3966</v>
      </c>
      <c r="C694" s="37" t="s">
        <v>1188</v>
      </c>
      <c r="E694" s="37" t="s">
        <v>2832</v>
      </c>
      <c r="F694" s="24" t="s">
        <v>5443</v>
      </c>
      <c r="J694" s="214" t="s">
        <v>3690</v>
      </c>
      <c r="K694" s="10" t="s">
        <v>3685</v>
      </c>
      <c r="P694" s="37" t="s">
        <v>2074</v>
      </c>
      <c r="S694" s="10" t="s">
        <v>3412</v>
      </c>
      <c r="U694" s="21">
        <v>1</v>
      </c>
      <c r="V694" s="21">
        <v>1</v>
      </c>
      <c r="W694" s="73">
        <f t="shared" si="30"/>
        <v>67</v>
      </c>
      <c r="X694" s="80">
        <f t="shared" si="31"/>
        <v>1276</v>
      </c>
      <c r="Y694" s="82" t="s">
        <v>3584</v>
      </c>
    </row>
    <row r="695" spans="1:37" ht="15.45" customHeight="1" x14ac:dyDescent="0.25">
      <c r="A695" s="29" t="s">
        <v>1416</v>
      </c>
      <c r="B695" s="24" t="s">
        <v>3966</v>
      </c>
      <c r="C695" s="37" t="s">
        <v>1188</v>
      </c>
      <c r="E695" s="37" t="s">
        <v>2832</v>
      </c>
      <c r="F695" s="24" t="s">
        <v>5443</v>
      </c>
      <c r="J695" s="214" t="s">
        <v>3690</v>
      </c>
      <c r="K695" s="10" t="s">
        <v>3685</v>
      </c>
      <c r="P695" s="37" t="s">
        <v>1642</v>
      </c>
      <c r="S695" s="10" t="s">
        <v>3412</v>
      </c>
      <c r="U695" s="21">
        <v>1</v>
      </c>
      <c r="V695" s="21">
        <v>1</v>
      </c>
      <c r="W695" s="73">
        <f t="shared" si="30"/>
        <v>68</v>
      </c>
      <c r="X695" s="80">
        <f t="shared" si="31"/>
        <v>1277</v>
      </c>
      <c r="Y695" s="82" t="s">
        <v>3584</v>
      </c>
    </row>
    <row r="696" spans="1:37" ht="15.45" customHeight="1" x14ac:dyDescent="0.25">
      <c r="A696" s="29" t="s">
        <v>1415</v>
      </c>
      <c r="B696" s="24" t="s">
        <v>3966</v>
      </c>
      <c r="C696" s="37" t="s">
        <v>1188</v>
      </c>
      <c r="E696" s="37" t="s">
        <v>2832</v>
      </c>
      <c r="F696" s="24" t="s">
        <v>5443</v>
      </c>
      <c r="J696" s="214" t="s">
        <v>3690</v>
      </c>
      <c r="K696" s="10" t="s">
        <v>3685</v>
      </c>
      <c r="P696" s="37" t="s">
        <v>1642</v>
      </c>
      <c r="S696" s="10" t="s">
        <v>3412</v>
      </c>
      <c r="U696" s="21">
        <v>1</v>
      </c>
      <c r="V696" s="21">
        <v>1</v>
      </c>
      <c r="W696" s="73">
        <f t="shared" si="30"/>
        <v>69</v>
      </c>
      <c r="X696" s="80">
        <f t="shared" si="31"/>
        <v>1278</v>
      </c>
      <c r="Y696" s="82" t="s">
        <v>3584</v>
      </c>
    </row>
    <row r="697" spans="1:37" ht="15.45" customHeight="1" x14ac:dyDescent="0.25">
      <c r="A697" s="29" t="s">
        <v>1052</v>
      </c>
      <c r="C697" s="37" t="s">
        <v>1188</v>
      </c>
      <c r="E697" s="37" t="s">
        <v>2832</v>
      </c>
      <c r="F697" s="24" t="s">
        <v>5443</v>
      </c>
      <c r="J697" s="214" t="s">
        <v>3690</v>
      </c>
      <c r="K697" s="10" t="s">
        <v>3685</v>
      </c>
      <c r="P697" s="37" t="s">
        <v>252</v>
      </c>
      <c r="S697" s="10" t="s">
        <v>3412</v>
      </c>
      <c r="U697" s="21">
        <v>1</v>
      </c>
      <c r="V697" s="21">
        <v>1</v>
      </c>
      <c r="W697" s="73">
        <f t="shared" si="30"/>
        <v>70</v>
      </c>
      <c r="X697" s="80">
        <f t="shared" si="31"/>
        <v>1279</v>
      </c>
      <c r="Y697" s="82" t="s">
        <v>3584</v>
      </c>
    </row>
    <row r="698" spans="1:37" ht="15.45" customHeight="1" x14ac:dyDescent="0.25">
      <c r="A698" s="29" t="s">
        <v>1635</v>
      </c>
      <c r="C698" s="37" t="s">
        <v>1188</v>
      </c>
      <c r="E698" s="37" t="s">
        <v>2832</v>
      </c>
      <c r="F698" s="24" t="s">
        <v>5443</v>
      </c>
      <c r="J698" s="214" t="s">
        <v>3690</v>
      </c>
      <c r="K698" s="10" t="s">
        <v>3685</v>
      </c>
      <c r="P698" s="37" t="s">
        <v>1747</v>
      </c>
      <c r="S698" s="10" t="s">
        <v>3412</v>
      </c>
      <c r="U698" s="21">
        <v>1</v>
      </c>
      <c r="V698" s="21">
        <v>1</v>
      </c>
      <c r="W698" s="73">
        <f t="shared" si="30"/>
        <v>71</v>
      </c>
      <c r="X698" s="80">
        <f t="shared" si="31"/>
        <v>1280</v>
      </c>
      <c r="Y698" s="82" t="s">
        <v>3584</v>
      </c>
    </row>
    <row r="699" spans="1:37" ht="15.45" customHeight="1" x14ac:dyDescent="0.25">
      <c r="A699" s="29" t="s">
        <v>1634</v>
      </c>
      <c r="C699" s="37" t="s">
        <v>1188</v>
      </c>
      <c r="E699" s="37" t="s">
        <v>2832</v>
      </c>
      <c r="F699" s="24" t="s">
        <v>5443</v>
      </c>
      <c r="J699" s="214" t="s">
        <v>3690</v>
      </c>
      <c r="K699" s="10" t="s">
        <v>3685</v>
      </c>
      <c r="P699" s="37" t="s">
        <v>1748</v>
      </c>
      <c r="S699" s="10" t="s">
        <v>3412</v>
      </c>
      <c r="U699" s="21">
        <v>1</v>
      </c>
      <c r="V699" s="21">
        <v>1</v>
      </c>
      <c r="W699" s="73">
        <f t="shared" si="30"/>
        <v>72</v>
      </c>
      <c r="X699" s="80">
        <f t="shared" si="31"/>
        <v>1281</v>
      </c>
      <c r="Y699" s="82" t="s">
        <v>3584</v>
      </c>
    </row>
    <row r="700" spans="1:37" ht="15.45" customHeight="1" x14ac:dyDescent="0.25">
      <c r="A700" s="29" t="s">
        <v>1649</v>
      </c>
      <c r="C700" s="37" t="s">
        <v>1188</v>
      </c>
      <c r="E700" s="37" t="s">
        <v>2832</v>
      </c>
      <c r="F700" s="24" t="s">
        <v>5443</v>
      </c>
      <c r="J700" s="214" t="s">
        <v>3690</v>
      </c>
      <c r="K700" s="10" t="s">
        <v>3685</v>
      </c>
      <c r="P700" s="37" t="s">
        <v>1737</v>
      </c>
      <c r="S700" s="10" t="s">
        <v>3412</v>
      </c>
      <c r="U700" s="21">
        <v>1</v>
      </c>
      <c r="V700" s="21">
        <v>2</v>
      </c>
      <c r="W700" s="73">
        <f t="shared" si="30"/>
        <v>74</v>
      </c>
      <c r="X700" s="80">
        <f t="shared" si="31"/>
        <v>1283</v>
      </c>
      <c r="Y700" s="82" t="s">
        <v>3584</v>
      </c>
    </row>
    <row r="701" spans="1:37" ht="15.45" customHeight="1" x14ac:dyDescent="0.25">
      <c r="A701" s="29" t="s">
        <v>3968</v>
      </c>
      <c r="B701" s="24" t="s">
        <v>3969</v>
      </c>
      <c r="C701" s="37" t="s">
        <v>1188</v>
      </c>
      <c r="E701" s="37" t="s">
        <v>2832</v>
      </c>
      <c r="F701" s="24" t="s">
        <v>5443</v>
      </c>
      <c r="H701" s="124" t="s">
        <v>3985</v>
      </c>
      <c r="I701" s="111" t="s">
        <v>3954</v>
      </c>
      <c r="J701" s="214" t="s">
        <v>3690</v>
      </c>
      <c r="K701" s="10" t="s">
        <v>3685</v>
      </c>
      <c r="P701" s="37" t="s">
        <v>1982</v>
      </c>
      <c r="S701" s="10" t="s">
        <v>3412</v>
      </c>
      <c r="U701" s="21">
        <v>1</v>
      </c>
      <c r="V701" s="21">
        <v>1</v>
      </c>
      <c r="W701" s="73">
        <f t="shared" si="30"/>
        <v>75</v>
      </c>
      <c r="X701" s="80">
        <f t="shared" si="31"/>
        <v>1284</v>
      </c>
      <c r="Y701" s="82" t="s">
        <v>3584</v>
      </c>
    </row>
    <row r="702" spans="1:37" ht="15.45" customHeight="1" x14ac:dyDescent="0.25">
      <c r="A702" s="29" t="s">
        <v>1222</v>
      </c>
      <c r="B702" s="24" t="s">
        <v>3984</v>
      </c>
      <c r="C702" s="37" t="s">
        <v>1188</v>
      </c>
      <c r="E702" s="37" t="s">
        <v>2832</v>
      </c>
      <c r="F702" s="24" t="s">
        <v>5443</v>
      </c>
      <c r="H702" s="38" t="s">
        <v>3986</v>
      </c>
      <c r="J702" s="214" t="s">
        <v>3690</v>
      </c>
      <c r="K702" s="10" t="s">
        <v>3685</v>
      </c>
      <c r="P702" s="37" t="s">
        <v>1603</v>
      </c>
      <c r="S702" s="10" t="s">
        <v>3412</v>
      </c>
      <c r="U702" s="21">
        <v>1</v>
      </c>
      <c r="V702" s="21">
        <v>1</v>
      </c>
      <c r="W702" s="73">
        <f t="shared" si="30"/>
        <v>76</v>
      </c>
      <c r="X702" s="80">
        <f t="shared" si="31"/>
        <v>1285</v>
      </c>
      <c r="Y702" s="82" t="s">
        <v>3584</v>
      </c>
    </row>
    <row r="703" spans="1:37" ht="15.45" customHeight="1" x14ac:dyDescent="0.25">
      <c r="A703" s="29" t="s">
        <v>1354</v>
      </c>
      <c r="B703" s="24" t="s">
        <v>3984</v>
      </c>
      <c r="C703" s="37" t="s">
        <v>1188</v>
      </c>
      <c r="E703" s="37" t="s">
        <v>2832</v>
      </c>
      <c r="F703" s="24" t="s">
        <v>5443</v>
      </c>
      <c r="H703" s="38" t="s">
        <v>3988</v>
      </c>
      <c r="J703" s="214" t="s">
        <v>3690</v>
      </c>
      <c r="K703" s="10" t="s">
        <v>3685</v>
      </c>
      <c r="P703" s="37" t="s">
        <v>1603</v>
      </c>
      <c r="S703" s="10" t="s">
        <v>3412</v>
      </c>
      <c r="U703" s="21">
        <v>1</v>
      </c>
      <c r="V703" s="21">
        <v>1</v>
      </c>
      <c r="W703" s="73">
        <f t="shared" si="30"/>
        <v>77</v>
      </c>
      <c r="X703" s="80">
        <f t="shared" si="31"/>
        <v>1286</v>
      </c>
      <c r="Y703" s="82" t="s">
        <v>3584</v>
      </c>
    </row>
    <row r="704" spans="1:37" ht="15.45" customHeight="1" x14ac:dyDescent="0.25">
      <c r="A704" s="31" t="s">
        <v>1221</v>
      </c>
      <c r="B704" s="24" t="s">
        <v>3984</v>
      </c>
      <c r="C704" s="37" t="s">
        <v>1188</v>
      </c>
      <c r="E704" s="37" t="s">
        <v>2832</v>
      </c>
      <c r="F704" s="24" t="s">
        <v>5443</v>
      </c>
      <c r="H704" s="38" t="s">
        <v>3987</v>
      </c>
      <c r="J704" s="214" t="s">
        <v>3690</v>
      </c>
      <c r="K704" s="10" t="s">
        <v>3685</v>
      </c>
      <c r="P704" s="37" t="s">
        <v>1603</v>
      </c>
      <c r="S704" s="10" t="s">
        <v>3412</v>
      </c>
      <c r="T704" s="11"/>
      <c r="U704" s="21">
        <v>1</v>
      </c>
      <c r="V704" s="21">
        <v>1</v>
      </c>
      <c r="W704" s="73">
        <f t="shared" si="30"/>
        <v>78</v>
      </c>
      <c r="X704" s="80">
        <f t="shared" si="31"/>
        <v>1287</v>
      </c>
      <c r="Y704" s="82" t="s">
        <v>3584</v>
      </c>
      <c r="AF704" s="11"/>
      <c r="AG704" s="11"/>
      <c r="AH704" s="11"/>
      <c r="AI704" s="11"/>
      <c r="AJ704" s="11"/>
      <c r="AK704" s="11"/>
    </row>
    <row r="705" spans="1:26" ht="15.45" customHeight="1" x14ac:dyDescent="0.25">
      <c r="A705" s="29" t="s">
        <v>1467</v>
      </c>
      <c r="B705" s="24" t="s">
        <v>3990</v>
      </c>
      <c r="C705" s="37" t="s">
        <v>1188</v>
      </c>
      <c r="E705" s="37" t="s">
        <v>2832</v>
      </c>
      <c r="F705" s="24" t="s">
        <v>5443</v>
      </c>
      <c r="H705" s="38" t="s">
        <v>3989</v>
      </c>
      <c r="I705" s="111" t="s">
        <v>3991</v>
      </c>
      <c r="J705" s="214" t="s">
        <v>3690</v>
      </c>
      <c r="K705" s="10" t="s">
        <v>3685</v>
      </c>
      <c r="P705" s="37" t="s">
        <v>1603</v>
      </c>
      <c r="S705" s="10" t="s">
        <v>3412</v>
      </c>
      <c r="U705" s="21">
        <v>1</v>
      </c>
      <c r="V705" s="21">
        <v>1</v>
      </c>
      <c r="W705" s="73">
        <f t="shared" si="30"/>
        <v>79</v>
      </c>
      <c r="X705" s="80">
        <f t="shared" si="31"/>
        <v>1288</v>
      </c>
      <c r="Y705" s="82" t="s">
        <v>3584</v>
      </c>
    </row>
    <row r="706" spans="1:26" ht="15.45" customHeight="1" x14ac:dyDescent="0.25">
      <c r="A706" s="29" t="s">
        <v>3149</v>
      </c>
      <c r="C706" s="37" t="s">
        <v>1188</v>
      </c>
      <c r="E706" s="37" t="s">
        <v>2832</v>
      </c>
      <c r="F706" s="24" t="s">
        <v>5443</v>
      </c>
      <c r="J706" s="214" t="s">
        <v>3690</v>
      </c>
      <c r="K706" s="10" t="s">
        <v>3685</v>
      </c>
      <c r="P706" s="37" t="s">
        <v>1991</v>
      </c>
      <c r="S706" s="10" t="s">
        <v>3412</v>
      </c>
      <c r="U706" s="21">
        <v>1</v>
      </c>
      <c r="V706" s="21">
        <v>1</v>
      </c>
      <c r="W706" s="73">
        <f t="shared" si="30"/>
        <v>80</v>
      </c>
      <c r="X706" s="80">
        <f t="shared" si="31"/>
        <v>1289</v>
      </c>
      <c r="Y706" s="82" t="s">
        <v>3584</v>
      </c>
    </row>
    <row r="707" spans="1:26" ht="15.45" customHeight="1" x14ac:dyDescent="0.25">
      <c r="A707" s="29" t="s">
        <v>1128</v>
      </c>
      <c r="C707" s="37" t="s">
        <v>1188</v>
      </c>
      <c r="E707" s="37" t="s">
        <v>2832</v>
      </c>
      <c r="F707" s="24" t="s">
        <v>5443</v>
      </c>
      <c r="J707" s="214" t="s">
        <v>3690</v>
      </c>
      <c r="K707" s="10" t="s">
        <v>3685</v>
      </c>
      <c r="P707" s="37" t="s">
        <v>1736</v>
      </c>
      <c r="S707" s="10" t="s">
        <v>3412</v>
      </c>
      <c r="U707" s="21">
        <v>1</v>
      </c>
      <c r="V707" s="21">
        <v>1</v>
      </c>
      <c r="W707" s="73">
        <f t="shared" si="30"/>
        <v>81</v>
      </c>
      <c r="X707" s="80">
        <f t="shared" si="31"/>
        <v>1290</v>
      </c>
      <c r="Y707" s="82" t="s">
        <v>3584</v>
      </c>
    </row>
    <row r="708" spans="1:26" ht="15.45" customHeight="1" x14ac:dyDescent="0.25">
      <c r="A708" s="29" t="s">
        <v>3992</v>
      </c>
      <c r="C708" s="37" t="s">
        <v>1188</v>
      </c>
      <c r="E708" s="37" t="s">
        <v>2832</v>
      </c>
      <c r="F708" s="24" t="s">
        <v>5443</v>
      </c>
      <c r="H708" s="38" t="s">
        <v>3993</v>
      </c>
      <c r="J708" s="214" t="s">
        <v>3690</v>
      </c>
      <c r="K708" s="10" t="s">
        <v>3685</v>
      </c>
      <c r="P708" s="37" t="s">
        <v>417</v>
      </c>
      <c r="S708" s="10" t="s">
        <v>3412</v>
      </c>
      <c r="U708" s="21">
        <v>1</v>
      </c>
      <c r="V708" s="21">
        <v>1</v>
      </c>
      <c r="W708" s="73">
        <f t="shared" si="30"/>
        <v>82</v>
      </c>
      <c r="X708" s="80">
        <f t="shared" si="31"/>
        <v>1291</v>
      </c>
      <c r="Y708" s="82" t="s">
        <v>3584</v>
      </c>
    </row>
    <row r="709" spans="1:26" ht="15.45" customHeight="1" x14ac:dyDescent="0.25">
      <c r="A709" s="29" t="s">
        <v>1208</v>
      </c>
      <c r="C709" s="37" t="s">
        <v>1188</v>
      </c>
      <c r="E709" s="37" t="s">
        <v>2832</v>
      </c>
      <c r="F709" s="24" t="s">
        <v>5443</v>
      </c>
      <c r="H709" s="38" t="s">
        <v>3994</v>
      </c>
      <c r="J709" s="214" t="s">
        <v>3690</v>
      </c>
      <c r="K709" s="10" t="s">
        <v>3685</v>
      </c>
      <c r="P709" s="37" t="s">
        <v>364</v>
      </c>
      <c r="S709" s="10" t="s">
        <v>3412</v>
      </c>
      <c r="U709" s="21">
        <v>1</v>
      </c>
      <c r="V709" s="21">
        <v>1</v>
      </c>
      <c r="W709" s="73">
        <f t="shared" si="30"/>
        <v>83</v>
      </c>
      <c r="X709" s="80">
        <f t="shared" si="31"/>
        <v>1292</v>
      </c>
      <c r="Y709" s="82" t="s">
        <v>3584</v>
      </c>
    </row>
    <row r="710" spans="1:26" ht="15.45" customHeight="1" x14ac:dyDescent="0.25">
      <c r="A710" s="29" t="s">
        <v>3150</v>
      </c>
      <c r="C710" s="37" t="s">
        <v>1188</v>
      </c>
      <c r="E710" s="37" t="s">
        <v>2832</v>
      </c>
      <c r="F710" s="24" t="s">
        <v>5443</v>
      </c>
      <c r="J710" s="214" t="s">
        <v>3690</v>
      </c>
      <c r="K710" s="10" t="s">
        <v>3685</v>
      </c>
      <c r="P710" s="37" t="s">
        <v>1642</v>
      </c>
      <c r="S710" s="10" t="s">
        <v>3412</v>
      </c>
      <c r="U710" s="21">
        <v>1</v>
      </c>
      <c r="V710" s="21">
        <v>1</v>
      </c>
      <c r="W710" s="73">
        <f t="shared" si="30"/>
        <v>84</v>
      </c>
      <c r="X710" s="80">
        <f t="shared" si="31"/>
        <v>1293</v>
      </c>
      <c r="Y710" s="82" t="s">
        <v>3584</v>
      </c>
    </row>
    <row r="711" spans="1:26" ht="15.45" customHeight="1" x14ac:dyDescent="0.25">
      <c r="A711" s="29" t="s">
        <v>1331</v>
      </c>
      <c r="C711" s="37" t="s">
        <v>1188</v>
      </c>
      <c r="E711" s="37" t="s">
        <v>2832</v>
      </c>
      <c r="F711" s="24" t="s">
        <v>5443</v>
      </c>
      <c r="H711" s="38" t="s">
        <v>6723</v>
      </c>
      <c r="J711" s="214" t="s">
        <v>3690</v>
      </c>
      <c r="K711" s="10" t="s">
        <v>3685</v>
      </c>
      <c r="P711" s="37" t="s">
        <v>1642</v>
      </c>
      <c r="S711" s="10" t="s">
        <v>3412</v>
      </c>
      <c r="U711" s="21">
        <v>1</v>
      </c>
      <c r="V711" s="21">
        <v>1</v>
      </c>
      <c r="W711" s="73">
        <f t="shared" ref="W711:W774" si="32">W710+V711</f>
        <v>85</v>
      </c>
      <c r="X711" s="80">
        <f t="shared" ref="X711:X774" si="33">V711+X710</f>
        <v>1294</v>
      </c>
      <c r="Y711" s="82" t="s">
        <v>3584</v>
      </c>
    </row>
    <row r="712" spans="1:26" ht="15.45" customHeight="1" x14ac:dyDescent="0.25">
      <c r="A712" s="29" t="s">
        <v>1685</v>
      </c>
      <c r="B712" s="24" t="s">
        <v>3995</v>
      </c>
      <c r="C712" s="37" t="s">
        <v>1188</v>
      </c>
      <c r="E712" s="37" t="s">
        <v>2832</v>
      </c>
      <c r="F712" s="24" t="s">
        <v>5443</v>
      </c>
      <c r="H712" s="38" t="s">
        <v>6721</v>
      </c>
      <c r="J712" s="214" t="s">
        <v>3690</v>
      </c>
      <c r="K712" s="10" t="s">
        <v>3685</v>
      </c>
      <c r="P712" s="37" t="s">
        <v>1603</v>
      </c>
      <c r="S712" s="10" t="s">
        <v>3412</v>
      </c>
      <c r="U712" s="21">
        <v>1</v>
      </c>
      <c r="V712" s="21">
        <v>3</v>
      </c>
      <c r="W712" s="73">
        <f t="shared" si="32"/>
        <v>88</v>
      </c>
      <c r="X712" s="80">
        <f t="shared" si="33"/>
        <v>1297</v>
      </c>
      <c r="Y712" s="82" t="s">
        <v>3584</v>
      </c>
    </row>
    <row r="713" spans="1:26" ht="15.45" customHeight="1" x14ac:dyDescent="0.25">
      <c r="A713" s="29" t="s">
        <v>4012</v>
      </c>
      <c r="B713" s="24" t="s">
        <v>3996</v>
      </c>
      <c r="C713" s="37" t="s">
        <v>1188</v>
      </c>
      <c r="E713" s="37" t="s">
        <v>2832</v>
      </c>
      <c r="F713" s="24" t="s">
        <v>5443</v>
      </c>
      <c r="H713" s="38" t="s">
        <v>3997</v>
      </c>
      <c r="P713" s="37" t="s">
        <v>1949</v>
      </c>
      <c r="S713" s="10" t="s">
        <v>3412</v>
      </c>
      <c r="U713" s="21">
        <v>1</v>
      </c>
      <c r="V713" s="21">
        <v>2</v>
      </c>
      <c r="W713" s="73">
        <f t="shared" si="32"/>
        <v>90</v>
      </c>
      <c r="X713" s="80">
        <f t="shared" si="33"/>
        <v>1299</v>
      </c>
      <c r="Y713" s="82" t="s">
        <v>3592</v>
      </c>
      <c r="Z713" s="24" t="s">
        <v>2884</v>
      </c>
    </row>
    <row r="714" spans="1:26" ht="15.45" customHeight="1" x14ac:dyDescent="0.25">
      <c r="A714" s="29" t="s">
        <v>1659</v>
      </c>
      <c r="B714" s="24" t="s">
        <v>3999</v>
      </c>
      <c r="C714" s="37" t="s">
        <v>1188</v>
      </c>
      <c r="E714" s="37" t="s">
        <v>2832</v>
      </c>
      <c r="F714" s="24" t="s">
        <v>5443</v>
      </c>
      <c r="H714" s="38" t="s">
        <v>3998</v>
      </c>
      <c r="J714" s="214" t="s">
        <v>3690</v>
      </c>
      <c r="K714" s="10" t="s">
        <v>3685</v>
      </c>
      <c r="P714" s="37" t="s">
        <v>1748</v>
      </c>
      <c r="S714" s="10" t="s">
        <v>3412</v>
      </c>
      <c r="U714" s="21">
        <v>1</v>
      </c>
      <c r="V714" s="21">
        <v>1</v>
      </c>
      <c r="W714" s="73">
        <f t="shared" si="32"/>
        <v>91</v>
      </c>
      <c r="X714" s="80">
        <f t="shared" si="33"/>
        <v>1300</v>
      </c>
      <c r="Y714" s="82" t="s">
        <v>3584</v>
      </c>
    </row>
    <row r="715" spans="1:26" ht="15.45" customHeight="1" x14ac:dyDescent="0.25">
      <c r="A715" s="29" t="s">
        <v>4001</v>
      </c>
      <c r="B715" s="24" t="s">
        <v>3999</v>
      </c>
      <c r="C715" s="37" t="s">
        <v>1188</v>
      </c>
      <c r="E715" s="37" t="s">
        <v>2832</v>
      </c>
      <c r="F715" s="24" t="s">
        <v>5443</v>
      </c>
      <c r="H715" s="38" t="s">
        <v>4000</v>
      </c>
      <c r="J715" s="214" t="s">
        <v>3690</v>
      </c>
      <c r="K715" s="10" t="s">
        <v>3685</v>
      </c>
      <c r="P715" s="37" t="s">
        <v>1982</v>
      </c>
      <c r="S715" s="10" t="s">
        <v>3412</v>
      </c>
      <c r="U715" s="21">
        <v>1</v>
      </c>
      <c r="V715" s="21">
        <v>1</v>
      </c>
      <c r="W715" s="73">
        <f t="shared" si="32"/>
        <v>92</v>
      </c>
      <c r="X715" s="80">
        <f t="shared" si="33"/>
        <v>1301</v>
      </c>
      <c r="Y715" s="82" t="s">
        <v>3584</v>
      </c>
    </row>
    <row r="716" spans="1:26" ht="15.45" customHeight="1" x14ac:dyDescent="0.25">
      <c r="A716" s="29" t="s">
        <v>1126</v>
      </c>
      <c r="B716" s="24" t="s">
        <v>4002</v>
      </c>
      <c r="C716" s="37" t="s">
        <v>1188</v>
      </c>
      <c r="E716" s="37" t="s">
        <v>2832</v>
      </c>
      <c r="F716" s="24" t="s">
        <v>5443</v>
      </c>
      <c r="H716" s="38" t="s">
        <v>4003</v>
      </c>
      <c r="J716" s="214" t="s">
        <v>3803</v>
      </c>
      <c r="P716" s="37" t="s">
        <v>1893</v>
      </c>
      <c r="S716" s="10" t="s">
        <v>3412</v>
      </c>
      <c r="U716" s="21">
        <v>1</v>
      </c>
      <c r="V716" s="21">
        <v>1</v>
      </c>
      <c r="W716" s="73">
        <f t="shared" si="32"/>
        <v>93</v>
      </c>
      <c r="X716" s="80">
        <f t="shared" si="33"/>
        <v>1302</v>
      </c>
      <c r="Y716" s="82" t="s">
        <v>3592</v>
      </c>
      <c r="Z716" s="24" t="s">
        <v>2884</v>
      </c>
    </row>
    <row r="717" spans="1:26" ht="15.45" customHeight="1" x14ac:dyDescent="0.25">
      <c r="A717" s="29" t="s">
        <v>1448</v>
      </c>
      <c r="B717" s="24" t="s">
        <v>3999</v>
      </c>
      <c r="C717" s="37" t="s">
        <v>1188</v>
      </c>
      <c r="E717" s="37" t="s">
        <v>2832</v>
      </c>
      <c r="F717" s="24" t="s">
        <v>5443</v>
      </c>
      <c r="H717" s="38" t="s">
        <v>4004</v>
      </c>
      <c r="J717" s="214" t="s">
        <v>3690</v>
      </c>
      <c r="K717" s="10" t="s">
        <v>3685</v>
      </c>
      <c r="P717" s="37" t="s">
        <v>1982</v>
      </c>
      <c r="S717" s="10" t="s">
        <v>3412</v>
      </c>
      <c r="U717" s="21">
        <v>1</v>
      </c>
      <c r="V717" s="21">
        <v>1</v>
      </c>
      <c r="W717" s="73">
        <f t="shared" si="32"/>
        <v>94</v>
      </c>
      <c r="X717" s="80">
        <f t="shared" si="33"/>
        <v>1303</v>
      </c>
      <c r="Y717" s="82" t="s">
        <v>3584</v>
      </c>
    </row>
    <row r="718" spans="1:26" ht="15.45" customHeight="1" x14ac:dyDescent="0.25">
      <c r="A718" s="29" t="s">
        <v>1894</v>
      </c>
      <c r="B718" s="24" t="s">
        <v>4005</v>
      </c>
      <c r="C718" s="37" t="s">
        <v>1188</v>
      </c>
      <c r="E718" s="37" t="s">
        <v>2832</v>
      </c>
      <c r="F718" s="24" t="s">
        <v>5443</v>
      </c>
      <c r="H718" s="38" t="s">
        <v>4006</v>
      </c>
      <c r="I718" s="111" t="s">
        <v>3954</v>
      </c>
      <c r="J718" s="214" t="s">
        <v>3803</v>
      </c>
      <c r="P718" s="37" t="s">
        <v>365</v>
      </c>
      <c r="S718" s="10" t="s">
        <v>3412</v>
      </c>
      <c r="U718" s="21">
        <v>1</v>
      </c>
      <c r="V718" s="21">
        <v>1</v>
      </c>
      <c r="W718" s="73">
        <f t="shared" si="32"/>
        <v>95</v>
      </c>
      <c r="X718" s="80">
        <f t="shared" si="33"/>
        <v>1304</v>
      </c>
      <c r="Y718" s="82" t="s">
        <v>3592</v>
      </c>
      <c r="Z718" s="24" t="s">
        <v>2884</v>
      </c>
    </row>
    <row r="719" spans="1:26" ht="15.45" customHeight="1" x14ac:dyDescent="0.25">
      <c r="A719" s="29" t="s">
        <v>923</v>
      </c>
      <c r="B719" s="24" t="s">
        <v>4007</v>
      </c>
      <c r="C719" s="37" t="s">
        <v>1188</v>
      </c>
      <c r="E719" s="37" t="s">
        <v>2832</v>
      </c>
      <c r="F719" s="24" t="s">
        <v>5443</v>
      </c>
      <c r="H719" s="38" t="s">
        <v>4008</v>
      </c>
      <c r="I719" s="111" t="s">
        <v>3954</v>
      </c>
      <c r="J719" s="214" t="s">
        <v>3690</v>
      </c>
      <c r="K719" s="10" t="s">
        <v>3685</v>
      </c>
      <c r="P719" s="37" t="s">
        <v>2075</v>
      </c>
      <c r="S719" s="10" t="s">
        <v>3412</v>
      </c>
      <c r="U719" s="21">
        <v>1</v>
      </c>
      <c r="V719" s="21">
        <v>1</v>
      </c>
      <c r="W719" s="73">
        <f t="shared" si="32"/>
        <v>96</v>
      </c>
      <c r="X719" s="80">
        <f t="shared" si="33"/>
        <v>1305</v>
      </c>
      <c r="Y719" s="82" t="s">
        <v>3584</v>
      </c>
    </row>
    <row r="720" spans="1:26" ht="15.45" customHeight="1" x14ac:dyDescent="0.25">
      <c r="A720" s="29" t="s">
        <v>4009</v>
      </c>
      <c r="C720" s="37" t="s">
        <v>1188</v>
      </c>
      <c r="E720" s="37" t="s">
        <v>2832</v>
      </c>
      <c r="F720" s="24" t="s">
        <v>5443</v>
      </c>
      <c r="H720" s="38" t="s">
        <v>3997</v>
      </c>
      <c r="J720" s="214" t="s">
        <v>3690</v>
      </c>
      <c r="K720" s="10" t="s">
        <v>3685</v>
      </c>
      <c r="P720" s="37" t="s">
        <v>364</v>
      </c>
      <c r="S720" s="10" t="s">
        <v>3412</v>
      </c>
      <c r="U720" s="21">
        <v>1</v>
      </c>
      <c r="V720" s="21">
        <v>1</v>
      </c>
      <c r="W720" s="73">
        <f t="shared" si="32"/>
        <v>97</v>
      </c>
      <c r="X720" s="80">
        <f t="shared" si="33"/>
        <v>1306</v>
      </c>
      <c r="Y720" s="82" t="s">
        <v>3584</v>
      </c>
    </row>
    <row r="721" spans="1:26" ht="15.45" customHeight="1" x14ac:dyDescent="0.25">
      <c r="A721" s="29" t="s">
        <v>4010</v>
      </c>
      <c r="C721" s="37" t="s">
        <v>1188</v>
      </c>
      <c r="E721" s="37" t="s">
        <v>2832</v>
      </c>
      <c r="F721" s="24" t="s">
        <v>5443</v>
      </c>
      <c r="J721" s="214" t="s">
        <v>3690</v>
      </c>
      <c r="K721" s="10" t="s">
        <v>3685</v>
      </c>
      <c r="P721" s="37" t="s">
        <v>1792</v>
      </c>
      <c r="S721" s="10" t="s">
        <v>3412</v>
      </c>
      <c r="U721" s="21">
        <v>1</v>
      </c>
      <c r="V721" s="21">
        <v>1</v>
      </c>
      <c r="W721" s="73">
        <f t="shared" si="32"/>
        <v>98</v>
      </c>
      <c r="X721" s="80">
        <f t="shared" si="33"/>
        <v>1307</v>
      </c>
      <c r="Y721" s="82" t="s">
        <v>3584</v>
      </c>
    </row>
    <row r="722" spans="1:26" ht="15.45" customHeight="1" x14ac:dyDescent="0.25">
      <c r="A722" s="29" t="s">
        <v>4011</v>
      </c>
      <c r="B722" s="24" t="s">
        <v>4013</v>
      </c>
      <c r="C722" s="37" t="s">
        <v>1188</v>
      </c>
      <c r="E722" s="37" t="s">
        <v>2832</v>
      </c>
      <c r="F722" s="24" t="s">
        <v>5443</v>
      </c>
      <c r="H722" s="38" t="s">
        <v>4014</v>
      </c>
      <c r="J722" s="214" t="s">
        <v>3690</v>
      </c>
      <c r="K722" s="10" t="s">
        <v>3685</v>
      </c>
      <c r="P722" s="37" t="s">
        <v>196</v>
      </c>
      <c r="S722" s="10" t="s">
        <v>3412</v>
      </c>
      <c r="U722" s="21">
        <v>1</v>
      </c>
      <c r="V722" s="21">
        <v>1</v>
      </c>
      <c r="W722" s="73">
        <f t="shared" si="32"/>
        <v>99</v>
      </c>
      <c r="X722" s="80">
        <f t="shared" si="33"/>
        <v>1308</v>
      </c>
      <c r="Y722" s="82" t="s">
        <v>3584</v>
      </c>
    </row>
    <row r="723" spans="1:26" ht="15.45" customHeight="1" x14ac:dyDescent="0.25">
      <c r="A723" s="29" t="s">
        <v>4012</v>
      </c>
      <c r="B723" s="24" t="s">
        <v>3996</v>
      </c>
      <c r="C723" s="37" t="s">
        <v>1188</v>
      </c>
      <c r="E723" s="37" t="s">
        <v>2832</v>
      </c>
      <c r="F723" s="24" t="s">
        <v>5443</v>
      </c>
      <c r="H723" s="38" t="s">
        <v>3997</v>
      </c>
      <c r="J723" s="214" t="s">
        <v>3690</v>
      </c>
      <c r="K723" s="10" t="s">
        <v>3685</v>
      </c>
      <c r="P723" s="37" t="s">
        <v>1792</v>
      </c>
      <c r="S723" s="10" t="s">
        <v>3412</v>
      </c>
      <c r="U723" s="21">
        <v>1</v>
      </c>
      <c r="V723" s="21">
        <v>1</v>
      </c>
      <c r="W723" s="73">
        <f t="shared" si="32"/>
        <v>100</v>
      </c>
      <c r="X723" s="80">
        <f t="shared" si="33"/>
        <v>1309</v>
      </c>
      <c r="Y723" s="82" t="s">
        <v>3584</v>
      </c>
    </row>
    <row r="724" spans="1:26" ht="15.45" customHeight="1" x14ac:dyDescent="0.25">
      <c r="A724" s="29" t="s">
        <v>1345</v>
      </c>
      <c r="C724" s="37" t="s">
        <v>1188</v>
      </c>
      <c r="E724" s="37" t="s">
        <v>2832</v>
      </c>
      <c r="F724" s="24" t="s">
        <v>5443</v>
      </c>
      <c r="J724" s="214" t="s">
        <v>3690</v>
      </c>
      <c r="K724" s="10" t="s">
        <v>3685</v>
      </c>
      <c r="P724" s="37" t="s">
        <v>366</v>
      </c>
      <c r="S724" s="10" t="s">
        <v>3412</v>
      </c>
      <c r="U724" s="21">
        <v>1</v>
      </c>
      <c r="V724" s="21">
        <v>1</v>
      </c>
      <c r="W724" s="73">
        <f t="shared" si="32"/>
        <v>101</v>
      </c>
      <c r="X724" s="80">
        <f t="shared" si="33"/>
        <v>1310</v>
      </c>
      <c r="Y724" s="82" t="s">
        <v>3584</v>
      </c>
    </row>
    <row r="725" spans="1:26" ht="15.45" customHeight="1" x14ac:dyDescent="0.25">
      <c r="A725" s="29" t="s">
        <v>4015</v>
      </c>
      <c r="B725" s="24" t="s">
        <v>4016</v>
      </c>
      <c r="C725" s="37" t="s">
        <v>1188</v>
      </c>
      <c r="E725" s="37" t="s">
        <v>2832</v>
      </c>
      <c r="F725" s="24" t="s">
        <v>5443</v>
      </c>
      <c r="H725" s="38" t="s">
        <v>4017</v>
      </c>
      <c r="J725" s="214" t="s">
        <v>3690</v>
      </c>
      <c r="K725" s="10" t="s">
        <v>3685</v>
      </c>
      <c r="P725" s="37" t="s">
        <v>1603</v>
      </c>
      <c r="S725" s="10" t="s">
        <v>3412</v>
      </c>
      <c r="U725" s="21">
        <v>1</v>
      </c>
      <c r="V725" s="21">
        <v>2</v>
      </c>
      <c r="W725" s="73">
        <f t="shared" si="32"/>
        <v>103</v>
      </c>
      <c r="X725" s="80">
        <f t="shared" si="33"/>
        <v>1312</v>
      </c>
      <c r="Y725" s="82" t="s">
        <v>3584</v>
      </c>
    </row>
    <row r="726" spans="1:26" ht="15.45" customHeight="1" x14ac:dyDescent="0.25">
      <c r="A726" s="29" t="s">
        <v>1688</v>
      </c>
      <c r="B726" s="24" t="s">
        <v>3923</v>
      </c>
      <c r="C726" s="37" t="s">
        <v>1188</v>
      </c>
      <c r="E726" s="37" t="s">
        <v>2832</v>
      </c>
      <c r="F726" s="24" t="s">
        <v>5443</v>
      </c>
      <c r="H726" s="124" t="s">
        <v>3927</v>
      </c>
      <c r="I726" s="111" t="s">
        <v>3924</v>
      </c>
      <c r="J726" s="214" t="s">
        <v>3803</v>
      </c>
      <c r="P726" s="37" t="s">
        <v>1893</v>
      </c>
      <c r="S726" s="10" t="s">
        <v>3412</v>
      </c>
      <c r="U726" s="21">
        <v>1</v>
      </c>
      <c r="V726" s="21">
        <v>4</v>
      </c>
      <c r="W726" s="73">
        <f t="shared" si="32"/>
        <v>107</v>
      </c>
      <c r="X726" s="80">
        <f t="shared" si="33"/>
        <v>1316</v>
      </c>
      <c r="Y726" s="82" t="s">
        <v>3592</v>
      </c>
      <c r="Z726" s="24" t="s">
        <v>2884</v>
      </c>
    </row>
    <row r="727" spans="1:26" ht="15.45" customHeight="1" x14ac:dyDescent="0.25">
      <c r="A727" s="29" t="s">
        <v>3925</v>
      </c>
      <c r="B727" s="24" t="s">
        <v>3926</v>
      </c>
      <c r="C727" s="37" t="s">
        <v>1188</v>
      </c>
      <c r="E727" s="37" t="s">
        <v>2832</v>
      </c>
      <c r="F727" s="24" t="s">
        <v>5443</v>
      </c>
      <c r="H727" s="38" t="s">
        <v>3928</v>
      </c>
      <c r="I727" s="111" t="s">
        <v>3924</v>
      </c>
      <c r="J727" s="214" t="s">
        <v>3690</v>
      </c>
      <c r="K727" s="10" t="s">
        <v>3685</v>
      </c>
      <c r="P727" s="37" t="s">
        <v>1792</v>
      </c>
      <c r="S727" s="10" t="s">
        <v>3412</v>
      </c>
      <c r="U727" s="21">
        <v>1</v>
      </c>
      <c r="V727" s="21">
        <v>1</v>
      </c>
      <c r="W727" s="73">
        <f t="shared" si="32"/>
        <v>108</v>
      </c>
      <c r="X727" s="80">
        <f t="shared" si="33"/>
        <v>1317</v>
      </c>
      <c r="Y727" s="82" t="s">
        <v>3584</v>
      </c>
    </row>
    <row r="728" spans="1:26" ht="15.45" customHeight="1" x14ac:dyDescent="0.25">
      <c r="A728" s="29" t="s">
        <v>970</v>
      </c>
      <c r="B728" s="24" t="s">
        <v>3926</v>
      </c>
      <c r="C728" s="37" t="s">
        <v>1188</v>
      </c>
      <c r="E728" s="37" t="s">
        <v>2832</v>
      </c>
      <c r="F728" s="24" t="s">
        <v>5443</v>
      </c>
      <c r="H728" s="38" t="s">
        <v>3928</v>
      </c>
      <c r="I728" s="111" t="s">
        <v>3924</v>
      </c>
      <c r="J728" s="214" t="s">
        <v>3803</v>
      </c>
      <c r="P728" s="37" t="s">
        <v>1715</v>
      </c>
      <c r="S728" s="10" t="s">
        <v>3412</v>
      </c>
      <c r="U728" s="21">
        <v>1</v>
      </c>
      <c r="V728" s="21">
        <v>5</v>
      </c>
      <c r="W728" s="73">
        <f t="shared" si="32"/>
        <v>113</v>
      </c>
      <c r="X728" s="80">
        <f t="shared" si="33"/>
        <v>1322</v>
      </c>
      <c r="Y728" s="82" t="s">
        <v>3592</v>
      </c>
      <c r="Z728" s="24" t="s">
        <v>2884</v>
      </c>
    </row>
    <row r="729" spans="1:26" ht="15.45" customHeight="1" x14ac:dyDescent="0.25">
      <c r="A729" s="29" t="s">
        <v>1356</v>
      </c>
      <c r="C729" s="37" t="s">
        <v>1188</v>
      </c>
      <c r="E729" s="37" t="s">
        <v>2832</v>
      </c>
      <c r="F729" s="24" t="s">
        <v>5443</v>
      </c>
      <c r="H729" s="38" t="s">
        <v>4018</v>
      </c>
      <c r="I729" s="111" t="s">
        <v>4019</v>
      </c>
      <c r="J729" s="214" t="s">
        <v>3690</v>
      </c>
      <c r="K729" s="10" t="s">
        <v>3685</v>
      </c>
      <c r="P729" s="37" t="s">
        <v>366</v>
      </c>
      <c r="S729" s="10" t="s">
        <v>3412</v>
      </c>
      <c r="U729" s="21">
        <v>1</v>
      </c>
      <c r="V729" s="21">
        <v>1</v>
      </c>
      <c r="W729" s="73">
        <f t="shared" si="32"/>
        <v>114</v>
      </c>
      <c r="X729" s="80">
        <f t="shared" si="33"/>
        <v>1323</v>
      </c>
      <c r="Y729" s="82" t="s">
        <v>3584</v>
      </c>
    </row>
    <row r="730" spans="1:26" ht="15.45" customHeight="1" x14ac:dyDescent="0.25">
      <c r="A730" s="29" t="s">
        <v>1029</v>
      </c>
      <c r="C730" s="37" t="s">
        <v>1188</v>
      </c>
      <c r="E730" s="37" t="s">
        <v>2832</v>
      </c>
      <c r="F730" s="24" t="s">
        <v>5443</v>
      </c>
      <c r="H730" s="38" t="s">
        <v>4020</v>
      </c>
      <c r="J730" s="214" t="s">
        <v>3690</v>
      </c>
      <c r="K730" s="10" t="s">
        <v>3685</v>
      </c>
      <c r="P730" s="37" t="s">
        <v>1603</v>
      </c>
      <c r="S730" s="10" t="s">
        <v>3412</v>
      </c>
      <c r="U730" s="21">
        <v>1</v>
      </c>
      <c r="V730" s="21">
        <v>2</v>
      </c>
      <c r="W730" s="73">
        <f t="shared" si="32"/>
        <v>116</v>
      </c>
      <c r="X730" s="80">
        <f t="shared" si="33"/>
        <v>1325</v>
      </c>
      <c r="Y730" s="82" t="s">
        <v>3584</v>
      </c>
    </row>
    <row r="731" spans="1:26" ht="15.45" customHeight="1" x14ac:dyDescent="0.25">
      <c r="A731" s="29" t="s">
        <v>4021</v>
      </c>
      <c r="B731" s="24" t="s">
        <v>4022</v>
      </c>
      <c r="C731" s="37" t="s">
        <v>1188</v>
      </c>
      <c r="E731" s="37" t="s">
        <v>2832</v>
      </c>
      <c r="F731" s="24" t="s">
        <v>5443</v>
      </c>
      <c r="H731" s="38" t="s">
        <v>4024</v>
      </c>
      <c r="I731" s="111" t="s">
        <v>4023</v>
      </c>
      <c r="J731" s="214" t="s">
        <v>3690</v>
      </c>
      <c r="K731" s="10" t="s">
        <v>3685</v>
      </c>
      <c r="P731" s="37" t="s">
        <v>1603</v>
      </c>
      <c r="S731" s="10" t="s">
        <v>3412</v>
      </c>
      <c r="U731" s="21">
        <v>1</v>
      </c>
      <c r="V731" s="21">
        <v>1</v>
      </c>
      <c r="W731" s="73">
        <f t="shared" si="32"/>
        <v>117</v>
      </c>
      <c r="X731" s="80">
        <f t="shared" si="33"/>
        <v>1326</v>
      </c>
      <c r="Y731" s="82" t="s">
        <v>3584</v>
      </c>
    </row>
    <row r="732" spans="1:26" ht="15.45" customHeight="1" x14ac:dyDescent="0.25">
      <c r="A732" s="29" t="s">
        <v>1037</v>
      </c>
      <c r="B732" s="24" t="s">
        <v>4025</v>
      </c>
      <c r="C732" s="37" t="s">
        <v>1188</v>
      </c>
      <c r="E732" s="37" t="s">
        <v>2832</v>
      </c>
      <c r="F732" s="24" t="s">
        <v>5443</v>
      </c>
      <c r="H732" s="38" t="s">
        <v>4026</v>
      </c>
      <c r="J732" s="214" t="s">
        <v>3690</v>
      </c>
      <c r="K732" s="10" t="s">
        <v>3685</v>
      </c>
      <c r="P732" s="37" t="s">
        <v>1736</v>
      </c>
      <c r="S732" s="10" t="s">
        <v>3412</v>
      </c>
      <c r="U732" s="21">
        <v>1</v>
      </c>
      <c r="V732" s="21">
        <v>1</v>
      </c>
      <c r="W732" s="73">
        <f t="shared" si="32"/>
        <v>118</v>
      </c>
      <c r="X732" s="80">
        <f t="shared" si="33"/>
        <v>1327</v>
      </c>
      <c r="Y732" s="82" t="s">
        <v>3584</v>
      </c>
    </row>
    <row r="733" spans="1:26" ht="15.45" customHeight="1" x14ac:dyDescent="0.25">
      <c r="A733" s="29" t="s">
        <v>7017</v>
      </c>
      <c r="C733" s="37" t="s">
        <v>1188</v>
      </c>
      <c r="E733" s="37" t="s">
        <v>2832</v>
      </c>
      <c r="F733" s="24" t="s">
        <v>5443</v>
      </c>
      <c r="H733" s="38" t="s">
        <v>4027</v>
      </c>
      <c r="J733" s="214" t="s">
        <v>3690</v>
      </c>
      <c r="K733" s="10" t="s">
        <v>3685</v>
      </c>
      <c r="P733" s="37" t="s">
        <v>1603</v>
      </c>
      <c r="S733" s="10" t="s">
        <v>3412</v>
      </c>
      <c r="U733" s="21">
        <v>1</v>
      </c>
      <c r="V733" s="21">
        <v>1</v>
      </c>
      <c r="W733" s="73">
        <f t="shared" si="32"/>
        <v>119</v>
      </c>
      <c r="X733" s="80">
        <f t="shared" si="33"/>
        <v>1328</v>
      </c>
      <c r="Y733" s="82" t="s">
        <v>3584</v>
      </c>
    </row>
    <row r="734" spans="1:26" ht="15.45" customHeight="1" x14ac:dyDescent="0.25">
      <c r="A734" s="29" t="s">
        <v>270</v>
      </c>
      <c r="C734" s="37" t="s">
        <v>1188</v>
      </c>
      <c r="E734" s="37" t="s">
        <v>2832</v>
      </c>
      <c r="F734" s="24" t="s">
        <v>5443</v>
      </c>
      <c r="H734" s="38" t="s">
        <v>4028</v>
      </c>
      <c r="J734" s="214" t="s">
        <v>3690</v>
      </c>
      <c r="K734" s="10" t="s">
        <v>3685</v>
      </c>
      <c r="P734" s="37" t="s">
        <v>271</v>
      </c>
      <c r="S734" s="10" t="s">
        <v>3412</v>
      </c>
      <c r="U734" s="21">
        <v>1</v>
      </c>
      <c r="V734" s="21">
        <v>1</v>
      </c>
      <c r="W734" s="73">
        <f t="shared" si="32"/>
        <v>120</v>
      </c>
      <c r="X734" s="80">
        <f t="shared" si="33"/>
        <v>1329</v>
      </c>
      <c r="Y734" s="82" t="s">
        <v>3584</v>
      </c>
    </row>
    <row r="735" spans="1:26" ht="15.45" customHeight="1" x14ac:dyDescent="0.25">
      <c r="A735" s="29" t="s">
        <v>853</v>
      </c>
      <c r="C735" s="37" t="s">
        <v>1188</v>
      </c>
      <c r="E735" s="37" t="s">
        <v>2832</v>
      </c>
      <c r="F735" s="24" t="s">
        <v>5443</v>
      </c>
      <c r="J735" s="214" t="s">
        <v>3690</v>
      </c>
      <c r="K735" s="10" t="s">
        <v>3685</v>
      </c>
      <c r="P735" s="37" t="s">
        <v>363</v>
      </c>
      <c r="S735" s="10" t="s">
        <v>3412</v>
      </c>
      <c r="U735" s="21">
        <v>1</v>
      </c>
      <c r="V735" s="21">
        <v>1</v>
      </c>
      <c r="W735" s="73">
        <f t="shared" si="32"/>
        <v>121</v>
      </c>
      <c r="X735" s="80">
        <f t="shared" si="33"/>
        <v>1330</v>
      </c>
      <c r="Y735" s="82" t="s">
        <v>3584</v>
      </c>
    </row>
    <row r="736" spans="1:26" ht="15.45" customHeight="1" x14ac:dyDescent="0.25">
      <c r="A736" s="29" t="s">
        <v>1984</v>
      </c>
      <c r="B736" s="24" t="s">
        <v>4029</v>
      </c>
      <c r="C736" s="37" t="s">
        <v>1188</v>
      </c>
      <c r="E736" s="37" t="s">
        <v>2832</v>
      </c>
      <c r="F736" s="24" t="s">
        <v>5443</v>
      </c>
      <c r="H736" s="38" t="s">
        <v>4031</v>
      </c>
      <c r="I736" s="111" t="s">
        <v>4030</v>
      </c>
      <c r="J736" s="214" t="s">
        <v>3803</v>
      </c>
      <c r="P736" s="37" t="s">
        <v>1893</v>
      </c>
      <c r="S736" s="10" t="s">
        <v>3412</v>
      </c>
      <c r="U736" s="21">
        <v>1</v>
      </c>
      <c r="V736" s="21">
        <v>2</v>
      </c>
      <c r="W736" s="73">
        <f t="shared" si="32"/>
        <v>123</v>
      </c>
      <c r="X736" s="80">
        <f t="shared" si="33"/>
        <v>1332</v>
      </c>
      <c r="Y736" s="82" t="s">
        <v>3592</v>
      </c>
      <c r="Z736" s="24" t="s">
        <v>2884</v>
      </c>
    </row>
    <row r="737" spans="1:26" ht="15.45" customHeight="1" x14ac:dyDescent="0.25">
      <c r="A737" s="29" t="s">
        <v>1488</v>
      </c>
      <c r="B737" s="24" t="s">
        <v>4032</v>
      </c>
      <c r="C737" s="37" t="s">
        <v>1188</v>
      </c>
      <c r="E737" s="37" t="s">
        <v>2832</v>
      </c>
      <c r="F737" s="24" t="s">
        <v>5443</v>
      </c>
      <c r="H737" s="38" t="s">
        <v>4033</v>
      </c>
      <c r="J737" s="214" t="s">
        <v>3690</v>
      </c>
      <c r="K737" s="10" t="s">
        <v>3685</v>
      </c>
      <c r="P737" s="37" t="s">
        <v>1642</v>
      </c>
      <c r="S737" s="10" t="s">
        <v>3412</v>
      </c>
      <c r="U737" s="21">
        <v>1</v>
      </c>
      <c r="V737" s="21">
        <v>1</v>
      </c>
      <c r="W737" s="73">
        <f t="shared" si="32"/>
        <v>124</v>
      </c>
      <c r="X737" s="80">
        <f t="shared" si="33"/>
        <v>1333</v>
      </c>
      <c r="Y737" s="82" t="s">
        <v>3584</v>
      </c>
    </row>
    <row r="738" spans="1:26" ht="15.45" customHeight="1" x14ac:dyDescent="0.25">
      <c r="A738" s="29" t="s">
        <v>1417</v>
      </c>
      <c r="C738" s="37" t="s">
        <v>1188</v>
      </c>
      <c r="E738" s="37" t="s">
        <v>2832</v>
      </c>
      <c r="F738" s="24" t="s">
        <v>5443</v>
      </c>
      <c r="H738" s="38" t="s">
        <v>6725</v>
      </c>
      <c r="J738" s="214" t="s">
        <v>3690</v>
      </c>
      <c r="K738" s="10" t="s">
        <v>3685</v>
      </c>
      <c r="P738" s="37" t="s">
        <v>1792</v>
      </c>
      <c r="S738" s="10" t="s">
        <v>3412</v>
      </c>
      <c r="U738" s="21">
        <v>1</v>
      </c>
      <c r="V738" s="21">
        <v>1</v>
      </c>
      <c r="W738" s="73">
        <f t="shared" si="32"/>
        <v>125</v>
      </c>
      <c r="X738" s="80">
        <f t="shared" si="33"/>
        <v>1334</v>
      </c>
      <c r="Y738" s="82" t="s">
        <v>3584</v>
      </c>
    </row>
    <row r="739" spans="1:26" ht="15.45" customHeight="1" x14ac:dyDescent="0.25">
      <c r="A739" s="29" t="s">
        <v>2030</v>
      </c>
      <c r="C739" s="37" t="s">
        <v>2031</v>
      </c>
      <c r="E739" s="37" t="s">
        <v>2832</v>
      </c>
      <c r="F739" s="24" t="s">
        <v>5443</v>
      </c>
      <c r="J739" s="214" t="s">
        <v>3803</v>
      </c>
      <c r="P739" s="37" t="s">
        <v>2032</v>
      </c>
      <c r="S739" s="10" t="s">
        <v>3412</v>
      </c>
      <c r="U739" s="21">
        <v>3</v>
      </c>
      <c r="V739" s="21">
        <v>6</v>
      </c>
      <c r="W739" s="73">
        <f t="shared" si="32"/>
        <v>131</v>
      </c>
      <c r="X739" s="80">
        <f t="shared" si="33"/>
        <v>1340</v>
      </c>
      <c r="Y739" s="82" t="s">
        <v>3592</v>
      </c>
      <c r="Z739" s="24" t="s">
        <v>2884</v>
      </c>
    </row>
    <row r="740" spans="1:26" ht="15.45" customHeight="1" x14ac:dyDescent="0.25">
      <c r="A740" s="29" t="s">
        <v>1379</v>
      </c>
      <c r="C740" s="37" t="s">
        <v>1188</v>
      </c>
      <c r="E740" s="37" t="s">
        <v>2832</v>
      </c>
      <c r="F740" s="24" t="s">
        <v>5443</v>
      </c>
      <c r="J740" s="214" t="s">
        <v>3803</v>
      </c>
      <c r="P740" s="37" t="s">
        <v>1893</v>
      </c>
      <c r="S740" s="10" t="s">
        <v>3412</v>
      </c>
      <c r="U740" s="21">
        <v>1</v>
      </c>
      <c r="V740" s="21">
        <v>2</v>
      </c>
      <c r="W740" s="73">
        <f t="shared" si="32"/>
        <v>133</v>
      </c>
      <c r="X740" s="80">
        <f t="shared" si="33"/>
        <v>1342</v>
      </c>
      <c r="Y740" s="82" t="s">
        <v>3592</v>
      </c>
      <c r="Z740" s="24" t="s">
        <v>2884</v>
      </c>
    </row>
    <row r="741" spans="1:26" ht="15.45" customHeight="1" x14ac:dyDescent="0.25">
      <c r="A741" s="29" t="s">
        <v>3419</v>
      </c>
      <c r="C741" s="37" t="s">
        <v>1188</v>
      </c>
      <c r="E741" s="37" t="s">
        <v>2832</v>
      </c>
      <c r="F741" s="24" t="s">
        <v>5443</v>
      </c>
      <c r="J741" s="214" t="s">
        <v>3690</v>
      </c>
      <c r="K741" s="10" t="s">
        <v>3685</v>
      </c>
      <c r="P741" s="37" t="s">
        <v>1792</v>
      </c>
      <c r="S741" s="10" t="s">
        <v>3412</v>
      </c>
      <c r="U741" s="21">
        <v>1</v>
      </c>
      <c r="V741" s="21">
        <v>2</v>
      </c>
      <c r="W741" s="73">
        <f t="shared" si="32"/>
        <v>135</v>
      </c>
      <c r="X741" s="80">
        <f t="shared" si="33"/>
        <v>1344</v>
      </c>
      <c r="Y741" s="82" t="s">
        <v>3584</v>
      </c>
    </row>
    <row r="742" spans="1:26" ht="15.45" customHeight="1" x14ac:dyDescent="0.25">
      <c r="A742" s="29" t="s">
        <v>1032</v>
      </c>
      <c r="C742" s="37" t="s">
        <v>1188</v>
      </c>
      <c r="E742" s="37" t="s">
        <v>2832</v>
      </c>
      <c r="F742" s="24" t="s">
        <v>5443</v>
      </c>
      <c r="J742" s="214" t="s">
        <v>3690</v>
      </c>
      <c r="K742" s="10" t="s">
        <v>3685</v>
      </c>
      <c r="P742" s="37" t="s">
        <v>1603</v>
      </c>
      <c r="S742" s="10" t="s">
        <v>3412</v>
      </c>
      <c r="U742" s="21">
        <v>1</v>
      </c>
      <c r="V742" s="21">
        <v>1</v>
      </c>
      <c r="W742" s="73">
        <f t="shared" si="32"/>
        <v>136</v>
      </c>
      <c r="X742" s="80">
        <f t="shared" si="33"/>
        <v>1345</v>
      </c>
      <c r="Y742" s="82" t="s">
        <v>3584</v>
      </c>
    </row>
    <row r="743" spans="1:26" ht="15.45" customHeight="1" x14ac:dyDescent="0.25">
      <c r="A743" s="29" t="s">
        <v>70</v>
      </c>
      <c r="C743" s="37" t="s">
        <v>1188</v>
      </c>
      <c r="E743" s="37" t="s">
        <v>2832</v>
      </c>
      <c r="F743" s="24" t="s">
        <v>5443</v>
      </c>
      <c r="J743" s="214" t="s">
        <v>3690</v>
      </c>
      <c r="K743" s="10" t="s">
        <v>3685</v>
      </c>
      <c r="P743" s="37" t="s">
        <v>1642</v>
      </c>
      <c r="S743" s="10" t="s">
        <v>3412</v>
      </c>
      <c r="U743" s="21">
        <v>1</v>
      </c>
      <c r="V743" s="21">
        <v>1</v>
      </c>
      <c r="W743" s="73">
        <f t="shared" si="32"/>
        <v>137</v>
      </c>
      <c r="X743" s="80">
        <f t="shared" si="33"/>
        <v>1346</v>
      </c>
      <c r="Y743" s="82" t="s">
        <v>3584</v>
      </c>
    </row>
    <row r="744" spans="1:26" ht="15.45" customHeight="1" x14ac:dyDescent="0.25">
      <c r="A744" s="29" t="s">
        <v>1342</v>
      </c>
      <c r="C744" s="37" t="s">
        <v>1188</v>
      </c>
      <c r="E744" s="37" t="s">
        <v>2832</v>
      </c>
      <c r="F744" s="24" t="s">
        <v>5443</v>
      </c>
      <c r="J744" s="214" t="s">
        <v>3690</v>
      </c>
      <c r="K744" s="10" t="s">
        <v>3685</v>
      </c>
      <c r="P744" s="37" t="s">
        <v>1603</v>
      </c>
      <c r="S744" s="10" t="s">
        <v>3412</v>
      </c>
      <c r="U744" s="21">
        <v>1</v>
      </c>
      <c r="V744" s="21">
        <v>2</v>
      </c>
      <c r="W744" s="73">
        <f t="shared" si="32"/>
        <v>139</v>
      </c>
      <c r="X744" s="80">
        <f t="shared" si="33"/>
        <v>1348</v>
      </c>
      <c r="Y744" s="82" t="s">
        <v>3584</v>
      </c>
    </row>
    <row r="745" spans="1:26" ht="15.45" customHeight="1" x14ac:dyDescent="0.25">
      <c r="A745" s="29" t="s">
        <v>1580</v>
      </c>
      <c r="C745" s="37" t="s">
        <v>1188</v>
      </c>
      <c r="E745" s="37" t="s">
        <v>2832</v>
      </c>
      <c r="F745" s="24" t="s">
        <v>5443</v>
      </c>
      <c r="J745" s="214" t="s">
        <v>3690</v>
      </c>
      <c r="K745" s="10" t="s">
        <v>3685</v>
      </c>
      <c r="P745" s="37" t="s">
        <v>1837</v>
      </c>
      <c r="S745" s="10" t="s">
        <v>3412</v>
      </c>
      <c r="U745" s="21">
        <v>1</v>
      </c>
      <c r="V745" s="21">
        <v>1</v>
      </c>
      <c r="W745" s="73">
        <f t="shared" si="32"/>
        <v>140</v>
      </c>
      <c r="X745" s="80">
        <f t="shared" si="33"/>
        <v>1349</v>
      </c>
      <c r="Y745" s="82" t="s">
        <v>3584</v>
      </c>
    </row>
    <row r="746" spans="1:26" ht="15.45" customHeight="1" x14ac:dyDescent="0.25">
      <c r="A746" s="29" t="s">
        <v>1471</v>
      </c>
      <c r="C746" s="37" t="s">
        <v>1188</v>
      </c>
      <c r="E746" s="37" t="s">
        <v>2832</v>
      </c>
      <c r="F746" s="24" t="s">
        <v>5443</v>
      </c>
      <c r="J746" s="214" t="s">
        <v>3690</v>
      </c>
      <c r="K746" s="10" t="s">
        <v>3685</v>
      </c>
      <c r="P746" s="37" t="s">
        <v>1603</v>
      </c>
      <c r="S746" s="10" t="s">
        <v>3412</v>
      </c>
      <c r="U746" s="21">
        <v>1</v>
      </c>
      <c r="V746" s="21">
        <v>1</v>
      </c>
      <c r="W746" s="73">
        <f t="shared" si="32"/>
        <v>141</v>
      </c>
      <c r="X746" s="80">
        <f t="shared" si="33"/>
        <v>1350</v>
      </c>
      <c r="Y746" s="82" t="s">
        <v>3584</v>
      </c>
    </row>
    <row r="747" spans="1:26" ht="15.45" customHeight="1" x14ac:dyDescent="0.25">
      <c r="A747" s="29" t="s">
        <v>1567</v>
      </c>
      <c r="C747" s="37" t="s">
        <v>1188</v>
      </c>
      <c r="E747" s="37" t="s">
        <v>2832</v>
      </c>
      <c r="F747" s="24" t="s">
        <v>5443</v>
      </c>
      <c r="J747" s="214" t="s">
        <v>3690</v>
      </c>
      <c r="K747" s="10" t="s">
        <v>3685</v>
      </c>
      <c r="P747" s="37" t="s">
        <v>1642</v>
      </c>
      <c r="S747" s="10" t="s">
        <v>3412</v>
      </c>
      <c r="U747" s="21">
        <v>1</v>
      </c>
      <c r="V747" s="21">
        <v>1</v>
      </c>
      <c r="W747" s="73">
        <f t="shared" si="32"/>
        <v>142</v>
      </c>
      <c r="X747" s="80">
        <f t="shared" si="33"/>
        <v>1351</v>
      </c>
      <c r="Y747" s="82" t="s">
        <v>3584</v>
      </c>
    </row>
    <row r="748" spans="1:26" ht="15.45" customHeight="1" x14ac:dyDescent="0.25">
      <c r="A748" s="29" t="s">
        <v>1100</v>
      </c>
      <c r="C748" s="37" t="s">
        <v>1188</v>
      </c>
      <c r="E748" s="37" t="s">
        <v>2832</v>
      </c>
      <c r="F748" s="24" t="s">
        <v>5443</v>
      </c>
      <c r="J748" s="214" t="s">
        <v>3690</v>
      </c>
      <c r="K748" s="10" t="s">
        <v>3685</v>
      </c>
      <c r="P748" s="37" t="s">
        <v>1792</v>
      </c>
      <c r="S748" s="10" t="s">
        <v>3412</v>
      </c>
      <c r="U748" s="21">
        <v>1</v>
      </c>
      <c r="V748" s="21">
        <v>1</v>
      </c>
      <c r="W748" s="73">
        <f t="shared" si="32"/>
        <v>143</v>
      </c>
      <c r="X748" s="80">
        <f t="shared" si="33"/>
        <v>1352</v>
      </c>
      <c r="Y748" s="82" t="s">
        <v>3584</v>
      </c>
    </row>
    <row r="749" spans="1:26" ht="15.45" customHeight="1" x14ac:dyDescent="0.25">
      <c r="A749" s="29" t="s">
        <v>1344</v>
      </c>
      <c r="C749" s="37" t="s">
        <v>1188</v>
      </c>
      <c r="E749" s="37" t="s">
        <v>2832</v>
      </c>
      <c r="F749" s="24" t="s">
        <v>5443</v>
      </c>
      <c r="J749" s="214" t="s">
        <v>3690</v>
      </c>
      <c r="K749" s="10" t="s">
        <v>3685</v>
      </c>
      <c r="P749" s="37" t="s">
        <v>1642</v>
      </c>
      <c r="S749" s="10" t="s">
        <v>3412</v>
      </c>
      <c r="U749" s="21">
        <v>1</v>
      </c>
      <c r="V749" s="21">
        <v>1</v>
      </c>
      <c r="W749" s="73">
        <f t="shared" si="32"/>
        <v>144</v>
      </c>
      <c r="X749" s="80">
        <f t="shared" si="33"/>
        <v>1353</v>
      </c>
      <c r="Y749" s="82" t="s">
        <v>3584</v>
      </c>
    </row>
    <row r="750" spans="1:26" ht="15.45" customHeight="1" x14ac:dyDescent="0.25">
      <c r="A750" s="29" t="s">
        <v>3420</v>
      </c>
      <c r="C750" s="37" t="s">
        <v>1188</v>
      </c>
      <c r="E750" s="37" t="s">
        <v>2832</v>
      </c>
      <c r="F750" s="24" t="s">
        <v>5443</v>
      </c>
      <c r="J750" s="214" t="s">
        <v>3690</v>
      </c>
      <c r="K750" s="10" t="s">
        <v>3685</v>
      </c>
      <c r="P750" s="37" t="s">
        <v>1723</v>
      </c>
      <c r="S750" s="10" t="s">
        <v>3412</v>
      </c>
      <c r="U750" s="21">
        <v>1</v>
      </c>
      <c r="V750" s="21">
        <v>1</v>
      </c>
      <c r="W750" s="73">
        <f t="shared" si="32"/>
        <v>145</v>
      </c>
      <c r="X750" s="80">
        <f t="shared" si="33"/>
        <v>1354</v>
      </c>
      <c r="Y750" s="82" t="s">
        <v>3584</v>
      </c>
    </row>
    <row r="751" spans="1:26" ht="15.45" customHeight="1" x14ac:dyDescent="0.25">
      <c r="A751" s="29" t="s">
        <v>3421</v>
      </c>
      <c r="C751" s="37" t="s">
        <v>1188</v>
      </c>
      <c r="E751" s="37" t="s">
        <v>2832</v>
      </c>
      <c r="F751" s="24" t="s">
        <v>5443</v>
      </c>
      <c r="J751" s="214" t="s">
        <v>3690</v>
      </c>
      <c r="K751" s="10" t="s">
        <v>3685</v>
      </c>
      <c r="P751" s="37" t="s">
        <v>1792</v>
      </c>
      <c r="S751" s="10" t="s">
        <v>3412</v>
      </c>
      <c r="U751" s="21">
        <v>1</v>
      </c>
      <c r="V751" s="21">
        <v>1</v>
      </c>
      <c r="W751" s="73">
        <f t="shared" si="32"/>
        <v>146</v>
      </c>
      <c r="X751" s="80">
        <f t="shared" si="33"/>
        <v>1355</v>
      </c>
      <c r="Y751" s="82" t="s">
        <v>3584</v>
      </c>
    </row>
    <row r="752" spans="1:26" ht="15.45" customHeight="1" x14ac:dyDescent="0.25">
      <c r="A752" s="29" t="s">
        <v>1581</v>
      </c>
      <c r="C752" s="37" t="s">
        <v>1188</v>
      </c>
      <c r="E752" s="37" t="s">
        <v>2832</v>
      </c>
      <c r="F752" s="24" t="s">
        <v>5443</v>
      </c>
      <c r="J752" s="214" t="s">
        <v>3690</v>
      </c>
      <c r="K752" s="10" t="s">
        <v>3685</v>
      </c>
      <c r="P752" s="37" t="s">
        <v>1603</v>
      </c>
      <c r="S752" s="10" t="s">
        <v>3412</v>
      </c>
      <c r="U752" s="21">
        <v>1</v>
      </c>
      <c r="V752" s="21">
        <v>2</v>
      </c>
      <c r="W752" s="73">
        <f t="shared" si="32"/>
        <v>148</v>
      </c>
      <c r="X752" s="80">
        <f t="shared" si="33"/>
        <v>1357</v>
      </c>
      <c r="Y752" s="82" t="s">
        <v>3584</v>
      </c>
    </row>
    <row r="753" spans="1:26" ht="15.45" customHeight="1" x14ac:dyDescent="0.25">
      <c r="A753" s="29" t="s">
        <v>3422</v>
      </c>
      <c r="C753" s="37" t="s">
        <v>1188</v>
      </c>
      <c r="E753" s="37" t="s">
        <v>2832</v>
      </c>
      <c r="F753" s="24" t="s">
        <v>5443</v>
      </c>
      <c r="J753" s="214" t="s">
        <v>3690</v>
      </c>
      <c r="K753" s="10" t="s">
        <v>3685</v>
      </c>
      <c r="P753" s="37" t="s">
        <v>363</v>
      </c>
      <c r="S753" s="10" t="s">
        <v>3412</v>
      </c>
      <c r="U753" s="21">
        <v>1</v>
      </c>
      <c r="V753" s="21">
        <v>1</v>
      </c>
      <c r="W753" s="73">
        <f t="shared" si="32"/>
        <v>149</v>
      </c>
      <c r="X753" s="80">
        <f t="shared" si="33"/>
        <v>1358</v>
      </c>
      <c r="Y753" s="82" t="s">
        <v>3584</v>
      </c>
    </row>
    <row r="754" spans="1:26" ht="15.45" customHeight="1" x14ac:dyDescent="0.25">
      <c r="A754" s="29" t="s">
        <v>3423</v>
      </c>
      <c r="C754" s="37" t="s">
        <v>1188</v>
      </c>
      <c r="E754" s="37" t="s">
        <v>2832</v>
      </c>
      <c r="F754" s="24" t="s">
        <v>5443</v>
      </c>
      <c r="J754" s="214" t="s">
        <v>3690</v>
      </c>
      <c r="K754" s="10" t="s">
        <v>3685</v>
      </c>
      <c r="P754" s="37" t="s">
        <v>1603</v>
      </c>
      <c r="S754" s="10" t="s">
        <v>3412</v>
      </c>
      <c r="U754" s="21">
        <v>1</v>
      </c>
      <c r="V754" s="21">
        <v>1</v>
      </c>
      <c r="W754" s="73">
        <f t="shared" si="32"/>
        <v>150</v>
      </c>
      <c r="X754" s="80">
        <f t="shared" si="33"/>
        <v>1359</v>
      </c>
      <c r="Y754" s="82" t="s">
        <v>3584</v>
      </c>
    </row>
    <row r="755" spans="1:26" ht="15.45" customHeight="1" x14ac:dyDescent="0.25">
      <c r="A755" s="29" t="s">
        <v>1573</v>
      </c>
      <c r="C755" s="37" t="s">
        <v>1188</v>
      </c>
      <c r="E755" s="37" t="s">
        <v>2832</v>
      </c>
      <c r="F755" s="24" t="s">
        <v>5443</v>
      </c>
      <c r="J755" s="214" t="s">
        <v>3690</v>
      </c>
      <c r="K755" s="10" t="s">
        <v>3685</v>
      </c>
      <c r="P755" s="37" t="s">
        <v>1603</v>
      </c>
      <c r="S755" s="10" t="s">
        <v>3412</v>
      </c>
      <c r="U755" s="21">
        <v>1</v>
      </c>
      <c r="V755" s="21">
        <v>6</v>
      </c>
      <c r="W755" s="73">
        <f t="shared" si="32"/>
        <v>156</v>
      </c>
      <c r="X755" s="80">
        <f t="shared" si="33"/>
        <v>1365</v>
      </c>
      <c r="Y755" s="82" t="s">
        <v>3584</v>
      </c>
    </row>
    <row r="756" spans="1:26" ht="15.45" customHeight="1" x14ac:dyDescent="0.25">
      <c r="A756" s="29" t="s">
        <v>930</v>
      </c>
      <c r="C756" s="37" t="s">
        <v>1188</v>
      </c>
      <c r="E756" s="37" t="s">
        <v>2832</v>
      </c>
      <c r="F756" s="24" t="s">
        <v>5443</v>
      </c>
      <c r="J756" s="214" t="s">
        <v>3803</v>
      </c>
      <c r="P756" s="37" t="s">
        <v>1622</v>
      </c>
      <c r="S756" s="10" t="s">
        <v>3412</v>
      </c>
      <c r="U756" s="21">
        <v>1</v>
      </c>
      <c r="V756" s="21">
        <v>1</v>
      </c>
      <c r="W756" s="73">
        <f t="shared" si="32"/>
        <v>157</v>
      </c>
      <c r="X756" s="80">
        <f t="shared" si="33"/>
        <v>1366</v>
      </c>
      <c r="Y756" s="82" t="s">
        <v>3592</v>
      </c>
      <c r="Z756" s="24" t="s">
        <v>2884</v>
      </c>
    </row>
    <row r="757" spans="1:26" ht="15.45" customHeight="1" x14ac:dyDescent="0.25">
      <c r="A757" s="29" t="s">
        <v>1367</v>
      </c>
      <c r="C757" s="37" t="s">
        <v>1188</v>
      </c>
      <c r="E757" s="37" t="s">
        <v>2832</v>
      </c>
      <c r="F757" s="24" t="s">
        <v>5443</v>
      </c>
      <c r="J757" s="214" t="s">
        <v>3803</v>
      </c>
      <c r="P757" s="37" t="s">
        <v>1893</v>
      </c>
      <c r="S757" s="10" t="s">
        <v>3412</v>
      </c>
      <c r="U757" s="21">
        <v>1</v>
      </c>
      <c r="V757" s="21">
        <v>1</v>
      </c>
      <c r="W757" s="73">
        <f t="shared" si="32"/>
        <v>158</v>
      </c>
      <c r="X757" s="80">
        <f t="shared" si="33"/>
        <v>1367</v>
      </c>
      <c r="Y757" s="82" t="s">
        <v>3592</v>
      </c>
      <c r="Z757" s="24" t="s">
        <v>2884</v>
      </c>
    </row>
    <row r="758" spans="1:26" ht="15.45" customHeight="1" x14ac:dyDescent="0.25">
      <c r="A758" s="29" t="s">
        <v>1135</v>
      </c>
      <c r="C758" s="37" t="s">
        <v>1188</v>
      </c>
      <c r="E758" s="37" t="s">
        <v>2832</v>
      </c>
      <c r="F758" s="24" t="s">
        <v>5443</v>
      </c>
      <c r="J758" s="214" t="s">
        <v>3690</v>
      </c>
      <c r="K758" s="10" t="s">
        <v>3685</v>
      </c>
      <c r="P758" s="37" t="s">
        <v>1909</v>
      </c>
      <c r="S758" s="10" t="s">
        <v>3412</v>
      </c>
      <c r="U758" s="21">
        <v>1</v>
      </c>
      <c r="V758" s="21">
        <v>1</v>
      </c>
      <c r="W758" s="73">
        <f t="shared" si="32"/>
        <v>159</v>
      </c>
      <c r="X758" s="80">
        <f t="shared" si="33"/>
        <v>1368</v>
      </c>
      <c r="Y758" s="82" t="s">
        <v>3584</v>
      </c>
    </row>
    <row r="759" spans="1:26" ht="15.45" customHeight="1" x14ac:dyDescent="0.25">
      <c r="A759" s="29" t="s">
        <v>1619</v>
      </c>
      <c r="C759" s="37" t="s">
        <v>1188</v>
      </c>
      <c r="E759" s="37" t="s">
        <v>2832</v>
      </c>
      <c r="F759" s="24" t="s">
        <v>5443</v>
      </c>
      <c r="J759" s="214" t="s">
        <v>3690</v>
      </c>
      <c r="K759" s="10" t="s">
        <v>3685</v>
      </c>
      <c r="P759" s="37" t="s">
        <v>1642</v>
      </c>
      <c r="S759" s="10" t="s">
        <v>3412</v>
      </c>
      <c r="U759" s="21">
        <v>1</v>
      </c>
      <c r="V759" s="21">
        <v>1</v>
      </c>
      <c r="W759" s="73">
        <f t="shared" si="32"/>
        <v>160</v>
      </c>
      <c r="X759" s="80">
        <f t="shared" si="33"/>
        <v>1369</v>
      </c>
      <c r="Y759" s="82" t="s">
        <v>3584</v>
      </c>
    </row>
    <row r="760" spans="1:26" ht="15.45" customHeight="1" x14ac:dyDescent="0.25">
      <c r="A760" s="29" t="s">
        <v>1202</v>
      </c>
      <c r="C760" s="37" t="s">
        <v>1188</v>
      </c>
      <c r="E760" s="37" t="s">
        <v>2832</v>
      </c>
      <c r="F760" s="24" t="s">
        <v>5443</v>
      </c>
      <c r="J760" s="214" t="s">
        <v>3690</v>
      </c>
      <c r="K760" s="10" t="s">
        <v>3685</v>
      </c>
      <c r="P760" s="37" t="s">
        <v>1603</v>
      </c>
      <c r="S760" s="10" t="s">
        <v>3412</v>
      </c>
      <c r="U760" s="21">
        <v>1</v>
      </c>
      <c r="V760" s="21">
        <v>1</v>
      </c>
      <c r="W760" s="73">
        <f t="shared" si="32"/>
        <v>161</v>
      </c>
      <c r="X760" s="80">
        <f t="shared" si="33"/>
        <v>1370</v>
      </c>
      <c r="Y760" s="82" t="s">
        <v>3584</v>
      </c>
    </row>
    <row r="761" spans="1:26" ht="15.45" customHeight="1" x14ac:dyDescent="0.25">
      <c r="A761" s="29" t="s">
        <v>1439</v>
      </c>
      <c r="C761" s="37" t="s">
        <v>1188</v>
      </c>
      <c r="E761" s="37" t="s">
        <v>2832</v>
      </c>
      <c r="F761" s="24" t="s">
        <v>5443</v>
      </c>
      <c r="J761" s="214" t="s">
        <v>3690</v>
      </c>
      <c r="K761" s="10" t="s">
        <v>3685</v>
      </c>
      <c r="P761" s="37" t="s">
        <v>1737</v>
      </c>
      <c r="S761" s="10" t="s">
        <v>3412</v>
      </c>
      <c r="U761" s="21">
        <v>1</v>
      </c>
      <c r="V761" s="21">
        <v>2</v>
      </c>
      <c r="W761" s="73">
        <f t="shared" si="32"/>
        <v>163</v>
      </c>
      <c r="X761" s="80">
        <f t="shared" si="33"/>
        <v>1372</v>
      </c>
      <c r="Y761" s="82" t="s">
        <v>3584</v>
      </c>
    </row>
    <row r="762" spans="1:26" ht="15.45" customHeight="1" x14ac:dyDescent="0.25">
      <c r="A762" s="29" t="s">
        <v>3424</v>
      </c>
      <c r="C762" s="37" t="s">
        <v>1188</v>
      </c>
      <c r="E762" s="37" t="s">
        <v>2832</v>
      </c>
      <c r="F762" s="24" t="s">
        <v>5443</v>
      </c>
      <c r="J762" s="214" t="s">
        <v>3690</v>
      </c>
      <c r="K762" s="10" t="s">
        <v>3685</v>
      </c>
      <c r="P762" s="37" t="s">
        <v>261</v>
      </c>
      <c r="S762" s="10" t="s">
        <v>3412</v>
      </c>
      <c r="U762" s="21">
        <v>1</v>
      </c>
      <c r="V762" s="21">
        <v>1</v>
      </c>
      <c r="W762" s="73">
        <f t="shared" si="32"/>
        <v>164</v>
      </c>
      <c r="X762" s="80">
        <f t="shared" si="33"/>
        <v>1373</v>
      </c>
      <c r="Y762" s="82" t="s">
        <v>3584</v>
      </c>
    </row>
    <row r="763" spans="1:26" ht="15.45" customHeight="1" x14ac:dyDescent="0.25">
      <c r="A763" s="29" t="s">
        <v>3425</v>
      </c>
      <c r="C763" s="37" t="s">
        <v>1188</v>
      </c>
      <c r="E763" s="37" t="s">
        <v>2832</v>
      </c>
      <c r="F763" s="24" t="s">
        <v>5443</v>
      </c>
      <c r="J763" s="214" t="s">
        <v>3690</v>
      </c>
      <c r="K763" s="10" t="s">
        <v>3685</v>
      </c>
      <c r="P763" s="37" t="s">
        <v>363</v>
      </c>
      <c r="S763" s="10" t="s">
        <v>3412</v>
      </c>
      <c r="U763" s="21">
        <v>1</v>
      </c>
      <c r="V763" s="21">
        <v>1</v>
      </c>
      <c r="W763" s="73">
        <f t="shared" si="32"/>
        <v>165</v>
      </c>
      <c r="X763" s="80">
        <f t="shared" si="33"/>
        <v>1374</v>
      </c>
      <c r="Y763" s="82" t="s">
        <v>3584</v>
      </c>
    </row>
    <row r="764" spans="1:26" ht="15.45" customHeight="1" x14ac:dyDescent="0.25">
      <c r="A764" s="29" t="s">
        <v>3426</v>
      </c>
      <c r="C764" s="37" t="s">
        <v>1188</v>
      </c>
      <c r="E764" s="37" t="s">
        <v>2832</v>
      </c>
      <c r="F764" s="24" t="s">
        <v>5443</v>
      </c>
      <c r="J764" s="214" t="s">
        <v>3690</v>
      </c>
      <c r="K764" s="10" t="s">
        <v>3685</v>
      </c>
      <c r="P764" s="37" t="s">
        <v>1995</v>
      </c>
      <c r="S764" s="10" t="s">
        <v>3412</v>
      </c>
      <c r="U764" s="21">
        <v>1</v>
      </c>
      <c r="V764" s="21">
        <v>1</v>
      </c>
      <c r="W764" s="73">
        <f t="shared" si="32"/>
        <v>166</v>
      </c>
      <c r="X764" s="80">
        <f t="shared" si="33"/>
        <v>1375</v>
      </c>
      <c r="Y764" s="82" t="s">
        <v>3584</v>
      </c>
    </row>
    <row r="765" spans="1:26" ht="15.45" customHeight="1" x14ac:dyDescent="0.25">
      <c r="A765" s="29" t="s">
        <v>1336</v>
      </c>
      <c r="C765" s="37" t="s">
        <v>1188</v>
      </c>
      <c r="E765" s="37" t="s">
        <v>2832</v>
      </c>
      <c r="F765" s="24" t="s">
        <v>5443</v>
      </c>
      <c r="J765" s="214" t="s">
        <v>3690</v>
      </c>
      <c r="K765" s="10" t="s">
        <v>3685</v>
      </c>
      <c r="P765" s="37" t="s">
        <v>380</v>
      </c>
      <c r="S765" s="10" t="s">
        <v>3412</v>
      </c>
      <c r="U765" s="21">
        <v>1</v>
      </c>
      <c r="V765" s="21">
        <v>1</v>
      </c>
      <c r="W765" s="73">
        <f t="shared" si="32"/>
        <v>167</v>
      </c>
      <c r="X765" s="80">
        <f t="shared" si="33"/>
        <v>1376</v>
      </c>
      <c r="Y765" s="82" t="s">
        <v>3584</v>
      </c>
    </row>
    <row r="766" spans="1:26" ht="15.45" customHeight="1" x14ac:dyDescent="0.25">
      <c r="A766" s="29" t="s">
        <v>1220</v>
      </c>
      <c r="C766" s="37" t="s">
        <v>1188</v>
      </c>
      <c r="E766" s="37" t="s">
        <v>2832</v>
      </c>
      <c r="F766" s="24" t="s">
        <v>5443</v>
      </c>
      <c r="J766" s="214" t="s">
        <v>3690</v>
      </c>
      <c r="K766" s="10" t="s">
        <v>3685</v>
      </c>
      <c r="P766" s="37" t="s">
        <v>2076</v>
      </c>
      <c r="S766" s="10" t="s">
        <v>3412</v>
      </c>
      <c r="U766" s="21">
        <v>1</v>
      </c>
      <c r="V766" s="21">
        <v>1</v>
      </c>
      <c r="W766" s="73">
        <f t="shared" si="32"/>
        <v>168</v>
      </c>
      <c r="X766" s="80">
        <f t="shared" si="33"/>
        <v>1377</v>
      </c>
      <c r="Y766" s="82" t="s">
        <v>3584</v>
      </c>
    </row>
    <row r="767" spans="1:26" ht="15.45" customHeight="1" x14ac:dyDescent="0.25">
      <c r="A767" s="29" t="s">
        <v>1322</v>
      </c>
      <c r="C767" s="37" t="s">
        <v>1188</v>
      </c>
      <c r="E767" s="37" t="s">
        <v>2832</v>
      </c>
      <c r="F767" s="24" t="s">
        <v>5443</v>
      </c>
      <c r="J767" s="214" t="s">
        <v>3690</v>
      </c>
      <c r="K767" s="10" t="s">
        <v>3685</v>
      </c>
      <c r="R767" s="37" t="s">
        <v>1792</v>
      </c>
      <c r="S767" s="10" t="s">
        <v>3412</v>
      </c>
      <c r="U767" s="21">
        <v>1</v>
      </c>
      <c r="V767" s="21">
        <v>1</v>
      </c>
      <c r="W767" s="73">
        <f t="shared" si="32"/>
        <v>169</v>
      </c>
      <c r="X767" s="80">
        <f t="shared" si="33"/>
        <v>1378</v>
      </c>
      <c r="Y767" s="82" t="s">
        <v>3584</v>
      </c>
    </row>
    <row r="768" spans="1:26" ht="15.45" customHeight="1" x14ac:dyDescent="0.25">
      <c r="A768" s="29" t="s">
        <v>1335</v>
      </c>
      <c r="C768" s="37" t="s">
        <v>1188</v>
      </c>
      <c r="E768" s="37" t="s">
        <v>2832</v>
      </c>
      <c r="F768" s="24" t="s">
        <v>5443</v>
      </c>
      <c r="J768" s="214" t="s">
        <v>3690</v>
      </c>
      <c r="K768" s="10" t="s">
        <v>3685</v>
      </c>
      <c r="P768" s="37" t="s">
        <v>2076</v>
      </c>
      <c r="S768" s="10" t="s">
        <v>3412</v>
      </c>
      <c r="U768" s="21">
        <v>1</v>
      </c>
      <c r="V768" s="21">
        <v>1</v>
      </c>
      <c r="W768" s="73">
        <f t="shared" si="32"/>
        <v>170</v>
      </c>
      <c r="X768" s="80">
        <f t="shared" si="33"/>
        <v>1379</v>
      </c>
      <c r="Y768" s="82" t="s">
        <v>3584</v>
      </c>
    </row>
    <row r="769" spans="1:26" ht="15.45" customHeight="1" x14ac:dyDescent="0.25">
      <c r="A769" s="29" t="s">
        <v>1325</v>
      </c>
      <c r="C769" s="37" t="s">
        <v>1188</v>
      </c>
      <c r="E769" s="37" t="s">
        <v>2832</v>
      </c>
      <c r="F769" s="24" t="s">
        <v>5443</v>
      </c>
      <c r="J769" s="214" t="s">
        <v>3690</v>
      </c>
      <c r="K769" s="10" t="s">
        <v>3685</v>
      </c>
      <c r="O769" s="37" t="s">
        <v>1642</v>
      </c>
      <c r="R769" s="37" t="s">
        <v>2014</v>
      </c>
      <c r="S769" s="10" t="s">
        <v>3412</v>
      </c>
      <c r="U769" s="21">
        <v>1</v>
      </c>
      <c r="V769" s="21">
        <v>1</v>
      </c>
      <c r="W769" s="73">
        <f t="shared" si="32"/>
        <v>171</v>
      </c>
      <c r="X769" s="80">
        <f t="shared" si="33"/>
        <v>1380</v>
      </c>
      <c r="Y769" s="82" t="s">
        <v>3584</v>
      </c>
    </row>
    <row r="770" spans="1:26" ht="15.45" customHeight="1" x14ac:dyDescent="0.25">
      <c r="A770" s="29" t="s">
        <v>1244</v>
      </c>
      <c r="C770" s="37" t="s">
        <v>1188</v>
      </c>
      <c r="E770" s="37" t="s">
        <v>2832</v>
      </c>
      <c r="F770" s="24" t="s">
        <v>5443</v>
      </c>
      <c r="J770" s="214" t="s">
        <v>3690</v>
      </c>
      <c r="K770" s="10" t="s">
        <v>3685</v>
      </c>
      <c r="R770" s="37" t="s">
        <v>1792</v>
      </c>
      <c r="S770" s="10" t="s">
        <v>3412</v>
      </c>
      <c r="U770" s="21">
        <v>1</v>
      </c>
      <c r="V770" s="21">
        <v>1</v>
      </c>
      <c r="W770" s="73">
        <f t="shared" si="32"/>
        <v>172</v>
      </c>
      <c r="X770" s="80">
        <f t="shared" si="33"/>
        <v>1381</v>
      </c>
      <c r="Y770" s="82" t="s">
        <v>3584</v>
      </c>
    </row>
    <row r="771" spans="1:26" ht="15.45" customHeight="1" x14ac:dyDescent="0.25">
      <c r="A771" s="29" t="s">
        <v>3427</v>
      </c>
      <c r="C771" s="37" t="s">
        <v>1188</v>
      </c>
      <c r="E771" s="37" t="s">
        <v>2832</v>
      </c>
      <c r="F771" s="24" t="s">
        <v>5443</v>
      </c>
      <c r="J771" s="214" t="s">
        <v>3690</v>
      </c>
      <c r="K771" s="10" t="s">
        <v>3685</v>
      </c>
      <c r="P771" s="37" t="s">
        <v>417</v>
      </c>
      <c r="S771" s="10" t="s">
        <v>3412</v>
      </c>
      <c r="U771" s="21">
        <v>1</v>
      </c>
      <c r="V771" s="21">
        <v>1</v>
      </c>
      <c r="W771" s="73">
        <f t="shared" si="32"/>
        <v>173</v>
      </c>
      <c r="X771" s="80">
        <f t="shared" si="33"/>
        <v>1382</v>
      </c>
      <c r="Y771" s="82" t="s">
        <v>3584</v>
      </c>
    </row>
    <row r="772" spans="1:26" ht="15.45" customHeight="1" x14ac:dyDescent="0.25">
      <c r="A772" s="29" t="s">
        <v>3428</v>
      </c>
      <c r="C772" s="37" t="s">
        <v>1188</v>
      </c>
      <c r="E772" s="37" t="s">
        <v>2832</v>
      </c>
      <c r="F772" s="24" t="s">
        <v>5443</v>
      </c>
      <c r="J772" s="214" t="s">
        <v>3690</v>
      </c>
      <c r="K772" s="10" t="s">
        <v>3685</v>
      </c>
      <c r="P772" s="37" t="s">
        <v>1792</v>
      </c>
      <c r="S772" s="10" t="s">
        <v>3412</v>
      </c>
      <c r="U772" s="21">
        <v>1</v>
      </c>
      <c r="V772" s="21">
        <v>1</v>
      </c>
      <c r="W772" s="73">
        <f t="shared" si="32"/>
        <v>174</v>
      </c>
      <c r="X772" s="80">
        <f t="shared" si="33"/>
        <v>1383</v>
      </c>
      <c r="Y772" s="82" t="s">
        <v>3584</v>
      </c>
    </row>
    <row r="773" spans="1:26" ht="15.45" customHeight="1" x14ac:dyDescent="0.25">
      <c r="A773" s="29" t="s">
        <v>2062</v>
      </c>
      <c r="C773" s="37" t="s">
        <v>1188</v>
      </c>
      <c r="E773" s="37" t="s">
        <v>2832</v>
      </c>
      <c r="F773" s="24" t="s">
        <v>5443</v>
      </c>
      <c r="J773" s="214" t="s">
        <v>3690</v>
      </c>
      <c r="K773" s="10" t="s">
        <v>3685</v>
      </c>
      <c r="P773" s="37" t="s">
        <v>1792</v>
      </c>
      <c r="S773" s="10" t="s">
        <v>3412</v>
      </c>
      <c r="U773" s="21">
        <v>1</v>
      </c>
      <c r="V773" s="21">
        <v>1</v>
      </c>
      <c r="W773" s="73">
        <f t="shared" si="32"/>
        <v>175</v>
      </c>
      <c r="X773" s="80">
        <f t="shared" si="33"/>
        <v>1384</v>
      </c>
      <c r="Y773" s="82" t="s">
        <v>3584</v>
      </c>
    </row>
    <row r="774" spans="1:26" ht="15.45" customHeight="1" x14ac:dyDescent="0.25">
      <c r="A774" s="29" t="s">
        <v>1578</v>
      </c>
      <c r="C774" s="37" t="s">
        <v>1188</v>
      </c>
      <c r="E774" s="37" t="s">
        <v>2832</v>
      </c>
      <c r="F774" s="24" t="s">
        <v>5443</v>
      </c>
      <c r="J774" s="214" t="s">
        <v>3803</v>
      </c>
      <c r="P774" s="37" t="s">
        <v>1893</v>
      </c>
      <c r="S774" s="10" t="s">
        <v>3412</v>
      </c>
      <c r="U774" s="21">
        <v>1</v>
      </c>
      <c r="V774" s="21">
        <v>1</v>
      </c>
      <c r="W774" s="73">
        <f t="shared" si="32"/>
        <v>176</v>
      </c>
      <c r="X774" s="80">
        <f t="shared" si="33"/>
        <v>1385</v>
      </c>
      <c r="Y774" s="82" t="s">
        <v>3592</v>
      </c>
      <c r="Z774" s="24" t="s">
        <v>2884</v>
      </c>
    </row>
    <row r="775" spans="1:26" ht="15.45" customHeight="1" x14ac:dyDescent="0.25">
      <c r="A775" s="29" t="s">
        <v>1330</v>
      </c>
      <c r="C775" s="37" t="s">
        <v>1188</v>
      </c>
      <c r="E775" s="37" t="s">
        <v>2832</v>
      </c>
      <c r="F775" s="24" t="s">
        <v>5443</v>
      </c>
      <c r="J775" s="214" t="s">
        <v>3690</v>
      </c>
      <c r="K775" s="10" t="s">
        <v>3685</v>
      </c>
      <c r="P775" s="37" t="s">
        <v>1642</v>
      </c>
      <c r="S775" s="10" t="s">
        <v>3412</v>
      </c>
      <c r="U775" s="21">
        <v>1</v>
      </c>
      <c r="V775" s="21">
        <v>1</v>
      </c>
      <c r="W775" s="73">
        <f t="shared" ref="W775:W838" si="34">W774+V775</f>
        <v>177</v>
      </c>
      <c r="X775" s="80">
        <f t="shared" ref="X775:X838" si="35">V775+X774</f>
        <v>1386</v>
      </c>
      <c r="Y775" s="82" t="s">
        <v>3584</v>
      </c>
    </row>
    <row r="776" spans="1:26" ht="15.45" customHeight="1" x14ac:dyDescent="0.25">
      <c r="A776" s="29" t="s">
        <v>1324</v>
      </c>
      <c r="C776" s="37" t="s">
        <v>1188</v>
      </c>
      <c r="E776" s="37" t="s">
        <v>2832</v>
      </c>
      <c r="F776" s="24" t="s">
        <v>5443</v>
      </c>
      <c r="J776" s="214" t="s">
        <v>3690</v>
      </c>
      <c r="K776" s="10" t="s">
        <v>3685</v>
      </c>
      <c r="P776" s="37" t="s">
        <v>2074</v>
      </c>
      <c r="S776" s="10" t="s">
        <v>3412</v>
      </c>
      <c r="U776" s="21">
        <v>1</v>
      </c>
      <c r="V776" s="21">
        <v>1</v>
      </c>
      <c r="W776" s="73">
        <f t="shared" si="34"/>
        <v>178</v>
      </c>
      <c r="X776" s="80">
        <f t="shared" si="35"/>
        <v>1387</v>
      </c>
      <c r="Y776" s="82" t="s">
        <v>3584</v>
      </c>
    </row>
    <row r="777" spans="1:26" ht="15.45" customHeight="1" x14ac:dyDescent="0.25">
      <c r="A777" s="29" t="s">
        <v>1579</v>
      </c>
      <c r="C777" s="37" t="s">
        <v>1188</v>
      </c>
      <c r="E777" s="37" t="s">
        <v>2832</v>
      </c>
      <c r="F777" s="24" t="s">
        <v>5443</v>
      </c>
      <c r="J777" s="214" t="s">
        <v>3690</v>
      </c>
      <c r="K777" s="10" t="s">
        <v>3685</v>
      </c>
      <c r="P777" s="37" t="s">
        <v>1603</v>
      </c>
      <c r="S777" s="10" t="s">
        <v>3412</v>
      </c>
      <c r="U777" s="21">
        <v>1</v>
      </c>
      <c r="V777" s="21">
        <v>1</v>
      </c>
      <c r="W777" s="73">
        <f t="shared" si="34"/>
        <v>179</v>
      </c>
      <c r="X777" s="80">
        <f t="shared" si="35"/>
        <v>1388</v>
      </c>
      <c r="Y777" s="82" t="s">
        <v>3584</v>
      </c>
    </row>
    <row r="778" spans="1:26" ht="15.45" customHeight="1" x14ac:dyDescent="0.25">
      <c r="A778" s="29" t="s">
        <v>1787</v>
      </c>
      <c r="C778" s="37" t="s">
        <v>1188</v>
      </c>
      <c r="E778" s="37" t="s">
        <v>2832</v>
      </c>
      <c r="F778" s="24" t="s">
        <v>5443</v>
      </c>
      <c r="H778" s="38" t="s">
        <v>6724</v>
      </c>
      <c r="J778" s="214" t="s">
        <v>3803</v>
      </c>
      <c r="P778" s="37" t="s">
        <v>1893</v>
      </c>
      <c r="S778" s="10" t="s">
        <v>3412</v>
      </c>
      <c r="U778" s="21">
        <v>1</v>
      </c>
      <c r="V778" s="21">
        <v>2</v>
      </c>
      <c r="W778" s="73">
        <f t="shared" si="34"/>
        <v>181</v>
      </c>
      <c r="X778" s="80">
        <f t="shared" si="35"/>
        <v>1390</v>
      </c>
      <c r="Y778" s="82" t="s">
        <v>3592</v>
      </c>
      <c r="Z778" s="24" t="s">
        <v>2884</v>
      </c>
    </row>
    <row r="779" spans="1:26" ht="15.45" customHeight="1" x14ac:dyDescent="0.25">
      <c r="A779" s="29" t="s">
        <v>6722</v>
      </c>
      <c r="C779" s="37" t="s">
        <v>1188</v>
      </c>
      <c r="E779" s="37" t="s">
        <v>2832</v>
      </c>
      <c r="F779" s="24" t="s">
        <v>5443</v>
      </c>
      <c r="J779" s="214" t="s">
        <v>3690</v>
      </c>
      <c r="K779" s="10" t="s">
        <v>3685</v>
      </c>
      <c r="P779" s="37" t="s">
        <v>1792</v>
      </c>
      <c r="S779" s="10" t="s">
        <v>3412</v>
      </c>
      <c r="U779" s="21">
        <v>1</v>
      </c>
      <c r="V779" s="21">
        <v>1</v>
      </c>
      <c r="W779" s="73">
        <f t="shared" si="34"/>
        <v>182</v>
      </c>
      <c r="X779" s="80">
        <f t="shared" si="35"/>
        <v>1391</v>
      </c>
      <c r="Y779" s="82" t="s">
        <v>3584</v>
      </c>
    </row>
    <row r="780" spans="1:26" ht="15.45" customHeight="1" x14ac:dyDescent="0.25">
      <c r="A780" s="29" t="s">
        <v>1361</v>
      </c>
      <c r="C780" s="37" t="s">
        <v>1188</v>
      </c>
      <c r="E780" s="37" t="s">
        <v>2832</v>
      </c>
      <c r="F780" s="24" t="s">
        <v>5443</v>
      </c>
      <c r="J780" s="214" t="s">
        <v>3690</v>
      </c>
      <c r="K780" s="10" t="s">
        <v>3685</v>
      </c>
      <c r="P780" s="37" t="s">
        <v>1642</v>
      </c>
      <c r="S780" s="10" t="s">
        <v>3412</v>
      </c>
      <c r="U780" s="21">
        <v>1</v>
      </c>
      <c r="V780" s="21">
        <v>1</v>
      </c>
      <c r="W780" s="73">
        <f t="shared" si="34"/>
        <v>183</v>
      </c>
      <c r="X780" s="80">
        <f t="shared" si="35"/>
        <v>1392</v>
      </c>
      <c r="Y780" s="82" t="s">
        <v>3584</v>
      </c>
    </row>
    <row r="781" spans="1:26" ht="15.45" customHeight="1" x14ac:dyDescent="0.25">
      <c r="A781" s="29" t="s">
        <v>1366</v>
      </c>
      <c r="C781" s="37" t="s">
        <v>1188</v>
      </c>
      <c r="E781" s="37" t="s">
        <v>2832</v>
      </c>
      <c r="F781" s="24" t="s">
        <v>5443</v>
      </c>
      <c r="H781" s="38" t="s">
        <v>6724</v>
      </c>
      <c r="J781" s="214" t="s">
        <v>3803</v>
      </c>
      <c r="P781" s="37" t="s">
        <v>1910</v>
      </c>
      <c r="S781" s="10" t="s">
        <v>3412</v>
      </c>
      <c r="U781" s="21">
        <v>1</v>
      </c>
      <c r="V781" s="21">
        <v>2</v>
      </c>
      <c r="W781" s="73">
        <f t="shared" si="34"/>
        <v>185</v>
      </c>
      <c r="X781" s="80">
        <f t="shared" si="35"/>
        <v>1394</v>
      </c>
      <c r="Y781" s="82" t="s">
        <v>3592</v>
      </c>
      <c r="Z781" s="24" t="s">
        <v>2884</v>
      </c>
    </row>
    <row r="782" spans="1:26" ht="15.45" customHeight="1" x14ac:dyDescent="0.25">
      <c r="A782" s="29" t="s">
        <v>3429</v>
      </c>
      <c r="C782" s="37" t="s">
        <v>1188</v>
      </c>
      <c r="E782" s="37" t="s">
        <v>2832</v>
      </c>
      <c r="F782" s="24" t="s">
        <v>5443</v>
      </c>
      <c r="J782" s="214" t="s">
        <v>3690</v>
      </c>
      <c r="K782" s="10" t="s">
        <v>3685</v>
      </c>
      <c r="P782" s="37" t="s">
        <v>363</v>
      </c>
      <c r="S782" s="10" t="s">
        <v>3412</v>
      </c>
      <c r="U782" s="21">
        <v>1</v>
      </c>
      <c r="V782" s="21">
        <v>1</v>
      </c>
      <c r="W782" s="73">
        <f t="shared" si="34"/>
        <v>186</v>
      </c>
      <c r="X782" s="80">
        <f t="shared" si="35"/>
        <v>1395</v>
      </c>
      <c r="Y782" s="82" t="s">
        <v>3584</v>
      </c>
    </row>
    <row r="783" spans="1:26" ht="15.45" customHeight="1" x14ac:dyDescent="0.25">
      <c r="A783" s="29" t="s">
        <v>3430</v>
      </c>
      <c r="C783" s="37" t="s">
        <v>1188</v>
      </c>
      <c r="E783" s="37" t="s">
        <v>2832</v>
      </c>
      <c r="F783" s="24" t="s">
        <v>5443</v>
      </c>
      <c r="J783" s="214" t="s">
        <v>3690</v>
      </c>
      <c r="K783" s="10" t="s">
        <v>3685</v>
      </c>
      <c r="P783" s="37" t="s">
        <v>1642</v>
      </c>
      <c r="S783" s="10" t="s">
        <v>3412</v>
      </c>
      <c r="U783" s="21">
        <v>1</v>
      </c>
      <c r="V783" s="21">
        <v>1</v>
      </c>
      <c r="W783" s="73">
        <f t="shared" si="34"/>
        <v>187</v>
      </c>
      <c r="X783" s="80">
        <f t="shared" si="35"/>
        <v>1396</v>
      </c>
      <c r="Y783" s="82" t="s">
        <v>3584</v>
      </c>
    </row>
    <row r="784" spans="1:26" ht="15.45" customHeight="1" x14ac:dyDescent="0.25">
      <c r="A784" s="29" t="s">
        <v>1136</v>
      </c>
      <c r="C784" s="37" t="s">
        <v>1188</v>
      </c>
      <c r="E784" s="37" t="s">
        <v>2832</v>
      </c>
      <c r="F784" s="24" t="s">
        <v>5443</v>
      </c>
      <c r="J784" s="214" t="s">
        <v>3690</v>
      </c>
      <c r="K784" s="10" t="s">
        <v>3685</v>
      </c>
      <c r="P784" s="37" t="s">
        <v>1603</v>
      </c>
      <c r="S784" s="10" t="s">
        <v>3412</v>
      </c>
      <c r="U784" s="21">
        <v>1</v>
      </c>
      <c r="V784" s="21">
        <v>1</v>
      </c>
      <c r="W784" s="73">
        <f t="shared" si="34"/>
        <v>188</v>
      </c>
      <c r="X784" s="80">
        <f t="shared" si="35"/>
        <v>1397</v>
      </c>
      <c r="Y784" s="82" t="s">
        <v>3584</v>
      </c>
    </row>
    <row r="785" spans="1:26" ht="15.45" customHeight="1" x14ac:dyDescent="0.25">
      <c r="A785" s="29" t="s">
        <v>1207</v>
      </c>
      <c r="C785" s="37" t="s">
        <v>1188</v>
      </c>
      <c r="E785" s="37" t="s">
        <v>2832</v>
      </c>
      <c r="F785" s="24" t="s">
        <v>5443</v>
      </c>
      <c r="J785" s="214" t="s">
        <v>3690</v>
      </c>
      <c r="K785" s="10" t="s">
        <v>3685</v>
      </c>
      <c r="P785" s="37" t="s">
        <v>1991</v>
      </c>
      <c r="S785" s="10" t="s">
        <v>3412</v>
      </c>
      <c r="U785" s="21">
        <v>1</v>
      </c>
      <c r="V785" s="21">
        <v>1</v>
      </c>
      <c r="W785" s="73">
        <f t="shared" si="34"/>
        <v>189</v>
      </c>
      <c r="X785" s="80">
        <f t="shared" si="35"/>
        <v>1398</v>
      </c>
      <c r="Y785" s="82" t="s">
        <v>3584</v>
      </c>
    </row>
    <row r="786" spans="1:26" ht="15.45" customHeight="1" x14ac:dyDescent="0.25">
      <c r="A786" s="29" t="s">
        <v>3431</v>
      </c>
      <c r="C786" s="37" t="s">
        <v>1188</v>
      </c>
      <c r="E786" s="37" t="s">
        <v>2832</v>
      </c>
      <c r="F786" s="24" t="s">
        <v>5443</v>
      </c>
      <c r="J786" s="214" t="s">
        <v>3803</v>
      </c>
      <c r="P786" s="37" t="s">
        <v>1893</v>
      </c>
      <c r="S786" s="10" t="s">
        <v>3412</v>
      </c>
      <c r="U786" s="21">
        <v>1</v>
      </c>
      <c r="V786" s="21">
        <v>1</v>
      </c>
      <c r="W786" s="73">
        <f t="shared" si="34"/>
        <v>190</v>
      </c>
      <c r="X786" s="80">
        <f t="shared" si="35"/>
        <v>1399</v>
      </c>
      <c r="Y786" s="82" t="s">
        <v>3592</v>
      </c>
      <c r="Z786" s="24" t="s">
        <v>2884</v>
      </c>
    </row>
    <row r="787" spans="1:26" ht="15.45" customHeight="1" x14ac:dyDescent="0.25">
      <c r="A787" s="29" t="s">
        <v>1030</v>
      </c>
      <c r="C787" s="37" t="s">
        <v>1188</v>
      </c>
      <c r="E787" s="37" t="s">
        <v>2832</v>
      </c>
      <c r="F787" s="24" t="s">
        <v>5443</v>
      </c>
      <c r="J787" s="214" t="s">
        <v>3690</v>
      </c>
      <c r="K787" s="10" t="s">
        <v>3685</v>
      </c>
      <c r="P787" s="37" t="s">
        <v>1603</v>
      </c>
      <c r="S787" s="10" t="s">
        <v>3412</v>
      </c>
      <c r="U787" s="21">
        <v>1</v>
      </c>
      <c r="V787" s="21">
        <v>1</v>
      </c>
      <c r="W787" s="73">
        <f t="shared" si="34"/>
        <v>191</v>
      </c>
      <c r="X787" s="80">
        <f t="shared" si="35"/>
        <v>1400</v>
      </c>
      <c r="Y787" s="82" t="s">
        <v>3584</v>
      </c>
    </row>
    <row r="788" spans="1:26" ht="15.45" customHeight="1" x14ac:dyDescent="0.25">
      <c r="A788" s="29" t="s">
        <v>1033</v>
      </c>
      <c r="C788" s="37" t="s">
        <v>1188</v>
      </c>
      <c r="E788" s="37" t="s">
        <v>2832</v>
      </c>
      <c r="F788" s="24" t="s">
        <v>5443</v>
      </c>
      <c r="H788" s="38" t="s">
        <v>6724</v>
      </c>
      <c r="J788" s="214" t="s">
        <v>3690</v>
      </c>
      <c r="K788" s="10" t="s">
        <v>3685</v>
      </c>
      <c r="P788" s="37" t="s">
        <v>1603</v>
      </c>
      <c r="S788" s="10" t="s">
        <v>3412</v>
      </c>
      <c r="U788" s="21">
        <v>1</v>
      </c>
      <c r="V788" s="21">
        <v>2</v>
      </c>
      <c r="W788" s="73">
        <f t="shared" si="34"/>
        <v>193</v>
      </c>
      <c r="X788" s="80">
        <f t="shared" si="35"/>
        <v>1402</v>
      </c>
      <c r="Y788" s="82" t="s">
        <v>3584</v>
      </c>
    </row>
    <row r="789" spans="1:26" ht="15.45" customHeight="1" x14ac:dyDescent="0.25">
      <c r="A789" s="29" t="s">
        <v>1152</v>
      </c>
      <c r="C789" s="37" t="s">
        <v>1188</v>
      </c>
      <c r="E789" s="37" t="s">
        <v>2832</v>
      </c>
      <c r="F789" s="24" t="s">
        <v>5443</v>
      </c>
      <c r="J789" s="214" t="s">
        <v>3690</v>
      </c>
      <c r="K789" s="10" t="s">
        <v>3685</v>
      </c>
      <c r="P789" s="37" t="s">
        <v>2074</v>
      </c>
      <c r="S789" s="10" t="s">
        <v>3412</v>
      </c>
      <c r="U789" s="21">
        <v>1</v>
      </c>
      <c r="V789" s="21">
        <v>1</v>
      </c>
      <c r="W789" s="73">
        <f t="shared" si="34"/>
        <v>194</v>
      </c>
      <c r="X789" s="80">
        <f t="shared" si="35"/>
        <v>1403</v>
      </c>
      <c r="Y789" s="82" t="s">
        <v>3584</v>
      </c>
    </row>
    <row r="790" spans="1:26" ht="15.45" customHeight="1" x14ac:dyDescent="0.25">
      <c r="A790" s="29" t="s">
        <v>1416</v>
      </c>
      <c r="C790" s="37" t="s">
        <v>1188</v>
      </c>
      <c r="E790" s="37" t="s">
        <v>2832</v>
      </c>
      <c r="F790" s="24" t="s">
        <v>5443</v>
      </c>
      <c r="J790" s="214" t="s">
        <v>3690</v>
      </c>
      <c r="K790" s="10" t="s">
        <v>3685</v>
      </c>
      <c r="P790" s="37" t="s">
        <v>1642</v>
      </c>
      <c r="S790" s="10" t="s">
        <v>3412</v>
      </c>
      <c r="U790" s="21">
        <v>1</v>
      </c>
      <c r="V790" s="21">
        <v>1</v>
      </c>
      <c r="W790" s="73">
        <f t="shared" si="34"/>
        <v>195</v>
      </c>
      <c r="X790" s="80">
        <f t="shared" si="35"/>
        <v>1404</v>
      </c>
      <c r="Y790" s="82" t="s">
        <v>3584</v>
      </c>
    </row>
    <row r="791" spans="1:26" ht="15.45" customHeight="1" x14ac:dyDescent="0.25">
      <c r="A791" s="29" t="s">
        <v>1415</v>
      </c>
      <c r="C791" s="37" t="s">
        <v>1188</v>
      </c>
      <c r="E791" s="37" t="s">
        <v>2832</v>
      </c>
      <c r="F791" s="24" t="s">
        <v>5443</v>
      </c>
      <c r="J791" s="214" t="s">
        <v>3690</v>
      </c>
      <c r="K791" s="10" t="s">
        <v>3685</v>
      </c>
      <c r="P791" s="37" t="s">
        <v>1642</v>
      </c>
      <c r="S791" s="10" t="s">
        <v>3412</v>
      </c>
      <c r="U791" s="21">
        <v>1</v>
      </c>
      <c r="V791" s="21">
        <v>1</v>
      </c>
      <c r="W791" s="73">
        <f t="shared" si="34"/>
        <v>196</v>
      </c>
      <c r="X791" s="80">
        <f t="shared" si="35"/>
        <v>1405</v>
      </c>
      <c r="Y791" s="82" t="s">
        <v>3584</v>
      </c>
    </row>
    <row r="792" spans="1:26" ht="15.45" customHeight="1" x14ac:dyDescent="0.25">
      <c r="A792" s="29" t="s">
        <v>1385</v>
      </c>
      <c r="B792" s="24" t="s">
        <v>3976</v>
      </c>
      <c r="C792" s="37" t="s">
        <v>1188</v>
      </c>
      <c r="E792" s="37" t="s">
        <v>2832</v>
      </c>
      <c r="F792" s="24" t="s">
        <v>5443</v>
      </c>
      <c r="H792" s="38" t="s">
        <v>3981</v>
      </c>
      <c r="I792" s="111" t="s">
        <v>3977</v>
      </c>
      <c r="J792" s="214" t="s">
        <v>3690</v>
      </c>
      <c r="K792" s="10" t="s">
        <v>3685</v>
      </c>
      <c r="P792" s="37" t="s">
        <v>1642</v>
      </c>
      <c r="S792" s="10" t="s">
        <v>3412</v>
      </c>
      <c r="U792" s="21">
        <v>1</v>
      </c>
      <c r="V792" s="21">
        <v>1</v>
      </c>
      <c r="W792" s="73">
        <f t="shared" si="34"/>
        <v>197</v>
      </c>
      <c r="X792" s="80">
        <f t="shared" si="35"/>
        <v>1406</v>
      </c>
      <c r="Y792" s="82" t="s">
        <v>3584</v>
      </c>
    </row>
    <row r="793" spans="1:26" ht="15.45" customHeight="1" x14ac:dyDescent="0.25">
      <c r="A793" s="29" t="s">
        <v>1714</v>
      </c>
      <c r="B793" s="24" t="s">
        <v>3980</v>
      </c>
      <c r="C793" s="37" t="s">
        <v>1188</v>
      </c>
      <c r="E793" s="37" t="s">
        <v>2832</v>
      </c>
      <c r="F793" s="24" t="s">
        <v>5443</v>
      </c>
      <c r="H793" s="38" t="s">
        <v>3982</v>
      </c>
      <c r="I793" s="111" t="s">
        <v>3983</v>
      </c>
      <c r="J793" s="214" t="s">
        <v>3690</v>
      </c>
      <c r="K793" s="10" t="s">
        <v>3685</v>
      </c>
      <c r="P793" s="37" t="s">
        <v>1642</v>
      </c>
      <c r="S793" s="10" t="s">
        <v>3412</v>
      </c>
      <c r="U793" s="21">
        <v>1</v>
      </c>
      <c r="V793" s="21">
        <v>1</v>
      </c>
      <c r="W793" s="73">
        <f t="shared" si="34"/>
        <v>198</v>
      </c>
      <c r="X793" s="80">
        <f t="shared" si="35"/>
        <v>1407</v>
      </c>
      <c r="Y793" s="82" t="s">
        <v>3584</v>
      </c>
    </row>
    <row r="794" spans="1:26" ht="15.45" customHeight="1" x14ac:dyDescent="0.25">
      <c r="A794" s="29" t="s">
        <v>1340</v>
      </c>
      <c r="C794" s="37" t="s">
        <v>1188</v>
      </c>
      <c r="E794" s="37" t="s">
        <v>2832</v>
      </c>
      <c r="F794" s="24" t="s">
        <v>5443</v>
      </c>
      <c r="J794" s="214" t="s">
        <v>3802</v>
      </c>
      <c r="P794" s="37" t="s">
        <v>1463</v>
      </c>
      <c r="S794" s="10" t="s">
        <v>3412</v>
      </c>
      <c r="U794" s="21">
        <v>1</v>
      </c>
      <c r="V794" s="21">
        <v>3</v>
      </c>
      <c r="W794" s="73">
        <f t="shared" si="34"/>
        <v>201</v>
      </c>
      <c r="X794" s="80">
        <f t="shared" si="35"/>
        <v>1410</v>
      </c>
      <c r="Y794" s="82" t="s">
        <v>3584</v>
      </c>
    </row>
    <row r="795" spans="1:26" ht="15.45" customHeight="1" x14ac:dyDescent="0.25">
      <c r="A795" s="29" t="s">
        <v>1201</v>
      </c>
      <c r="C795" s="37" t="s">
        <v>1188</v>
      </c>
      <c r="E795" s="37" t="s">
        <v>2832</v>
      </c>
      <c r="F795" s="24" t="s">
        <v>5443</v>
      </c>
      <c r="J795" s="214" t="s">
        <v>3690</v>
      </c>
      <c r="K795" s="10" t="s">
        <v>3685</v>
      </c>
      <c r="P795" s="37" t="s">
        <v>1792</v>
      </c>
      <c r="S795" s="10" t="s">
        <v>3412</v>
      </c>
      <c r="U795" s="21">
        <v>1</v>
      </c>
      <c r="V795" s="21">
        <v>2</v>
      </c>
      <c r="W795" s="73">
        <f t="shared" si="34"/>
        <v>203</v>
      </c>
      <c r="X795" s="80">
        <f t="shared" si="35"/>
        <v>1412</v>
      </c>
      <c r="Y795" s="82" t="s">
        <v>3584</v>
      </c>
    </row>
    <row r="796" spans="1:26" ht="15.45" customHeight="1" x14ac:dyDescent="0.25">
      <c r="A796" s="29" t="s">
        <v>1243</v>
      </c>
      <c r="C796" s="37" t="s">
        <v>1188</v>
      </c>
      <c r="E796" s="37" t="s">
        <v>2832</v>
      </c>
      <c r="F796" s="24" t="s">
        <v>5443</v>
      </c>
      <c r="J796" s="214" t="s">
        <v>3690</v>
      </c>
      <c r="K796" s="10" t="s">
        <v>3685</v>
      </c>
      <c r="P796" s="37" t="s">
        <v>53</v>
      </c>
      <c r="S796" s="10" t="s">
        <v>3412</v>
      </c>
      <c r="U796" s="21">
        <v>1</v>
      </c>
      <c r="V796" s="21">
        <v>2</v>
      </c>
      <c r="W796" s="73">
        <f t="shared" si="34"/>
        <v>205</v>
      </c>
      <c r="X796" s="80">
        <f t="shared" si="35"/>
        <v>1414</v>
      </c>
      <c r="Y796" s="82" t="s">
        <v>3584</v>
      </c>
    </row>
    <row r="797" spans="1:26" ht="15.45" customHeight="1" x14ac:dyDescent="0.25">
      <c r="A797" s="29" t="s">
        <v>1689</v>
      </c>
      <c r="C797" s="37" t="s">
        <v>1188</v>
      </c>
      <c r="E797" s="37" t="s">
        <v>2832</v>
      </c>
      <c r="F797" s="24" t="s">
        <v>5443</v>
      </c>
      <c r="J797" s="214" t="s">
        <v>3690</v>
      </c>
      <c r="K797" s="10" t="s">
        <v>3685</v>
      </c>
      <c r="P797" s="37" t="s">
        <v>1603</v>
      </c>
      <c r="S797" s="10" t="s">
        <v>3412</v>
      </c>
      <c r="U797" s="21">
        <v>1</v>
      </c>
      <c r="V797" s="21">
        <v>2</v>
      </c>
      <c r="W797" s="73">
        <f t="shared" si="34"/>
        <v>207</v>
      </c>
      <c r="X797" s="80">
        <f t="shared" si="35"/>
        <v>1416</v>
      </c>
      <c r="Y797" s="82" t="s">
        <v>3584</v>
      </c>
    </row>
    <row r="798" spans="1:26" ht="15.45" customHeight="1" x14ac:dyDescent="0.25">
      <c r="A798" s="29" t="s">
        <v>1341</v>
      </c>
      <c r="C798" s="37" t="s">
        <v>1188</v>
      </c>
      <c r="E798" s="37" t="s">
        <v>2832</v>
      </c>
      <c r="F798" s="24" t="s">
        <v>5443</v>
      </c>
      <c r="J798" s="214" t="s">
        <v>3690</v>
      </c>
      <c r="K798" s="10" t="s">
        <v>3685</v>
      </c>
      <c r="P798" s="37" t="s">
        <v>1603</v>
      </c>
      <c r="S798" s="10" t="s">
        <v>3412</v>
      </c>
      <c r="U798" s="21">
        <v>1</v>
      </c>
      <c r="V798" s="21">
        <v>1</v>
      </c>
      <c r="W798" s="73">
        <f t="shared" si="34"/>
        <v>208</v>
      </c>
      <c r="X798" s="80">
        <f t="shared" si="35"/>
        <v>1417</v>
      </c>
      <c r="Y798" s="82" t="s">
        <v>3584</v>
      </c>
    </row>
    <row r="799" spans="1:26" ht="15.45" customHeight="1" x14ac:dyDescent="0.25">
      <c r="A799" s="29" t="s">
        <v>1177</v>
      </c>
      <c r="C799" s="37" t="s">
        <v>1188</v>
      </c>
      <c r="E799" s="37" t="s">
        <v>2832</v>
      </c>
      <c r="F799" s="24" t="s">
        <v>5443</v>
      </c>
      <c r="J799" s="214" t="s">
        <v>3690</v>
      </c>
      <c r="K799" s="10" t="s">
        <v>3685</v>
      </c>
      <c r="P799" s="37" t="s">
        <v>1933</v>
      </c>
      <c r="S799" s="10" t="s">
        <v>3412</v>
      </c>
      <c r="U799" s="21">
        <v>1</v>
      </c>
      <c r="V799" s="21">
        <v>1</v>
      </c>
      <c r="W799" s="73">
        <f t="shared" si="34"/>
        <v>209</v>
      </c>
      <c r="X799" s="80">
        <f t="shared" si="35"/>
        <v>1418</v>
      </c>
      <c r="Y799" s="82" t="s">
        <v>3584</v>
      </c>
    </row>
    <row r="800" spans="1:26" ht="15.45" customHeight="1" x14ac:dyDescent="0.25">
      <c r="A800" s="29" t="s">
        <v>1273</v>
      </c>
      <c r="C800" s="37" t="s">
        <v>1188</v>
      </c>
      <c r="E800" s="37" t="s">
        <v>2832</v>
      </c>
      <c r="F800" s="24" t="s">
        <v>5443</v>
      </c>
      <c r="J800" s="214" t="s">
        <v>3803</v>
      </c>
      <c r="P800" s="37" t="s">
        <v>1893</v>
      </c>
      <c r="S800" s="10" t="s">
        <v>3412</v>
      </c>
      <c r="U800" s="21">
        <v>1</v>
      </c>
      <c r="V800" s="21">
        <v>3</v>
      </c>
      <c r="W800" s="73">
        <f t="shared" si="34"/>
        <v>212</v>
      </c>
      <c r="X800" s="80">
        <f t="shared" si="35"/>
        <v>1421</v>
      </c>
      <c r="Y800" s="82" t="s">
        <v>3592</v>
      </c>
      <c r="Z800" s="24" t="s">
        <v>2884</v>
      </c>
    </row>
    <row r="801" spans="1:26" ht="15.45" customHeight="1" x14ac:dyDescent="0.25">
      <c r="A801" s="29" t="s">
        <v>1151</v>
      </c>
      <c r="C801" s="37" t="s">
        <v>1188</v>
      </c>
      <c r="E801" s="37" t="s">
        <v>2832</v>
      </c>
      <c r="F801" s="24" t="s">
        <v>5443</v>
      </c>
      <c r="J801" s="214" t="s">
        <v>3690</v>
      </c>
      <c r="K801" s="10" t="s">
        <v>3685</v>
      </c>
      <c r="P801" s="37" t="s">
        <v>1603</v>
      </c>
      <c r="S801" s="10" t="s">
        <v>3412</v>
      </c>
      <c r="U801" s="21">
        <v>1</v>
      </c>
      <c r="V801" s="21">
        <v>1</v>
      </c>
      <c r="W801" s="73">
        <f t="shared" si="34"/>
        <v>213</v>
      </c>
      <c r="X801" s="80">
        <f t="shared" si="35"/>
        <v>1422</v>
      </c>
      <c r="Y801" s="82" t="s">
        <v>3584</v>
      </c>
    </row>
    <row r="802" spans="1:26" ht="15.45" customHeight="1" x14ac:dyDescent="0.25">
      <c r="A802" s="29" t="s">
        <v>3432</v>
      </c>
      <c r="C802" s="37" t="s">
        <v>1188</v>
      </c>
      <c r="E802" s="37" t="s">
        <v>2832</v>
      </c>
      <c r="F802" s="24" t="s">
        <v>5443</v>
      </c>
      <c r="J802" s="214" t="s">
        <v>3690</v>
      </c>
      <c r="K802" s="10" t="s">
        <v>3685</v>
      </c>
      <c r="P802" s="37" t="s">
        <v>1736</v>
      </c>
      <c r="S802" s="10" t="s">
        <v>3412</v>
      </c>
      <c r="U802" s="21">
        <v>1</v>
      </c>
      <c r="V802" s="21">
        <v>1</v>
      </c>
      <c r="W802" s="73">
        <f t="shared" si="34"/>
        <v>214</v>
      </c>
      <c r="X802" s="80">
        <f t="shared" si="35"/>
        <v>1423</v>
      </c>
      <c r="Y802" s="82" t="s">
        <v>3584</v>
      </c>
    </row>
    <row r="803" spans="1:26" ht="15.45" customHeight="1" x14ac:dyDescent="0.25">
      <c r="A803" s="29" t="s">
        <v>973</v>
      </c>
      <c r="C803" s="37" t="s">
        <v>1188</v>
      </c>
      <c r="E803" s="37" t="s">
        <v>2832</v>
      </c>
      <c r="F803" s="24" t="s">
        <v>5443</v>
      </c>
      <c r="J803" s="214" t="s">
        <v>3803</v>
      </c>
      <c r="P803" s="37" t="s">
        <v>1909</v>
      </c>
      <c r="S803" s="10" t="s">
        <v>3412</v>
      </c>
      <c r="U803" s="21">
        <v>1</v>
      </c>
      <c r="V803" s="21">
        <v>1</v>
      </c>
      <c r="W803" s="73">
        <f t="shared" si="34"/>
        <v>215</v>
      </c>
      <c r="X803" s="80">
        <f t="shared" si="35"/>
        <v>1424</v>
      </c>
      <c r="Y803" s="82" t="s">
        <v>3592</v>
      </c>
      <c r="Z803" s="24" t="s">
        <v>2884</v>
      </c>
    </row>
    <row r="804" spans="1:26" ht="15.45" customHeight="1" x14ac:dyDescent="0.25">
      <c r="A804" s="29" t="s">
        <v>473</v>
      </c>
      <c r="C804" s="37" t="s">
        <v>1188</v>
      </c>
      <c r="E804" s="37" t="s">
        <v>2832</v>
      </c>
      <c r="F804" s="24" t="s">
        <v>5443</v>
      </c>
      <c r="J804" s="214" t="s">
        <v>3690</v>
      </c>
      <c r="K804" s="10" t="s">
        <v>3685</v>
      </c>
      <c r="P804" s="37" t="s">
        <v>1603</v>
      </c>
      <c r="S804" s="10" t="s">
        <v>3412</v>
      </c>
      <c r="U804" s="21">
        <v>1</v>
      </c>
      <c r="V804" s="21">
        <v>1</v>
      </c>
      <c r="W804" s="73">
        <f t="shared" si="34"/>
        <v>216</v>
      </c>
      <c r="X804" s="80">
        <f t="shared" si="35"/>
        <v>1425</v>
      </c>
      <c r="Y804" s="82" t="s">
        <v>3584</v>
      </c>
    </row>
    <row r="805" spans="1:26" ht="15.45" customHeight="1" x14ac:dyDescent="0.25">
      <c r="A805" s="29" t="s">
        <v>3433</v>
      </c>
      <c r="C805" s="37" t="s">
        <v>1188</v>
      </c>
      <c r="E805" s="37" t="s">
        <v>2832</v>
      </c>
      <c r="F805" s="24" t="s">
        <v>5443</v>
      </c>
      <c r="J805" s="214" t="s">
        <v>3690</v>
      </c>
      <c r="K805" s="10" t="s">
        <v>3685</v>
      </c>
      <c r="P805" s="37" t="s">
        <v>1603</v>
      </c>
      <c r="S805" s="10" t="s">
        <v>3412</v>
      </c>
      <c r="U805" s="21">
        <v>2</v>
      </c>
      <c r="V805" s="21">
        <v>4</v>
      </c>
      <c r="W805" s="73">
        <f t="shared" si="34"/>
        <v>220</v>
      </c>
      <c r="X805" s="80">
        <f t="shared" si="35"/>
        <v>1429</v>
      </c>
      <c r="Y805" s="82" t="s">
        <v>3584</v>
      </c>
    </row>
    <row r="806" spans="1:26" ht="15.45" customHeight="1" x14ac:dyDescent="0.25">
      <c r="A806" s="29" t="s">
        <v>3434</v>
      </c>
      <c r="C806" s="37" t="s">
        <v>1188</v>
      </c>
      <c r="E806" s="37" t="s">
        <v>2832</v>
      </c>
      <c r="F806" s="24" t="s">
        <v>5443</v>
      </c>
      <c r="J806" s="214" t="s">
        <v>3803</v>
      </c>
      <c r="P806" s="37" t="s">
        <v>78</v>
      </c>
      <c r="S806" s="10" t="s">
        <v>3412</v>
      </c>
      <c r="U806" s="21">
        <v>1</v>
      </c>
      <c r="V806" s="21">
        <v>1</v>
      </c>
      <c r="W806" s="73">
        <f t="shared" si="34"/>
        <v>221</v>
      </c>
      <c r="X806" s="80">
        <f t="shared" si="35"/>
        <v>1430</v>
      </c>
      <c r="Y806" s="82" t="s">
        <v>3592</v>
      </c>
      <c r="Z806" s="24" t="s">
        <v>6230</v>
      </c>
    </row>
    <row r="807" spans="1:26" ht="15.45" customHeight="1" x14ac:dyDescent="0.25">
      <c r="A807" s="29" t="s">
        <v>1423</v>
      </c>
      <c r="C807" s="37" t="s">
        <v>1188</v>
      </c>
      <c r="E807" s="37" t="s">
        <v>2832</v>
      </c>
      <c r="F807" s="24" t="s">
        <v>5443</v>
      </c>
      <c r="J807" s="214" t="s">
        <v>3690</v>
      </c>
      <c r="K807" s="10" t="s">
        <v>3685</v>
      </c>
      <c r="P807" s="37" t="s">
        <v>1603</v>
      </c>
      <c r="S807" s="10" t="s">
        <v>3412</v>
      </c>
      <c r="U807" s="21">
        <v>1</v>
      </c>
      <c r="V807" s="21">
        <v>2</v>
      </c>
      <c r="W807" s="73">
        <f t="shared" si="34"/>
        <v>223</v>
      </c>
      <c r="X807" s="80">
        <f t="shared" si="35"/>
        <v>1432</v>
      </c>
      <c r="Y807" s="82" t="s">
        <v>3584</v>
      </c>
    </row>
    <row r="808" spans="1:26" ht="15.45" customHeight="1" x14ac:dyDescent="0.25">
      <c r="A808" s="29" t="s">
        <v>1075</v>
      </c>
      <c r="C808" s="37" t="s">
        <v>1188</v>
      </c>
      <c r="E808" s="37" t="s">
        <v>2832</v>
      </c>
      <c r="F808" s="24" t="s">
        <v>5443</v>
      </c>
      <c r="J808" s="214" t="s">
        <v>3690</v>
      </c>
      <c r="K808" s="10" t="s">
        <v>3685</v>
      </c>
      <c r="P808" s="37" t="s">
        <v>1603</v>
      </c>
      <c r="S808" s="10" t="s">
        <v>3412</v>
      </c>
      <c r="U808" s="21">
        <v>1</v>
      </c>
      <c r="V808" s="21">
        <v>1</v>
      </c>
      <c r="W808" s="73">
        <f t="shared" si="34"/>
        <v>224</v>
      </c>
      <c r="X808" s="80">
        <f t="shared" si="35"/>
        <v>1433</v>
      </c>
      <c r="Y808" s="82" t="s">
        <v>3584</v>
      </c>
    </row>
    <row r="809" spans="1:26" ht="15.45" customHeight="1" x14ac:dyDescent="0.25">
      <c r="A809" s="29" t="s">
        <v>932</v>
      </c>
      <c r="C809" s="37" t="s">
        <v>1188</v>
      </c>
      <c r="E809" s="37" t="s">
        <v>2832</v>
      </c>
      <c r="F809" s="24" t="s">
        <v>5443</v>
      </c>
      <c r="J809" s="214" t="s">
        <v>3690</v>
      </c>
      <c r="K809" s="10" t="s">
        <v>3685</v>
      </c>
      <c r="P809" s="37" t="s">
        <v>1909</v>
      </c>
      <c r="S809" s="10" t="s">
        <v>3412</v>
      </c>
      <c r="U809" s="21">
        <v>1</v>
      </c>
      <c r="V809" s="21">
        <v>1</v>
      </c>
      <c r="W809" s="73">
        <f t="shared" si="34"/>
        <v>225</v>
      </c>
      <c r="X809" s="80">
        <f t="shared" si="35"/>
        <v>1434</v>
      </c>
      <c r="Y809" s="82" t="s">
        <v>3584</v>
      </c>
    </row>
    <row r="810" spans="1:26" ht="15.45" customHeight="1" x14ac:dyDescent="0.25">
      <c r="A810" s="29" t="s">
        <v>1530</v>
      </c>
      <c r="C810" s="37" t="s">
        <v>1188</v>
      </c>
      <c r="E810" s="37" t="s">
        <v>2832</v>
      </c>
      <c r="F810" s="24" t="s">
        <v>5443</v>
      </c>
      <c r="J810" s="214" t="s">
        <v>3690</v>
      </c>
      <c r="K810" s="10" t="s">
        <v>3685</v>
      </c>
      <c r="P810" s="37" t="s">
        <v>1792</v>
      </c>
      <c r="S810" s="10" t="s">
        <v>3412</v>
      </c>
      <c r="U810" s="21">
        <v>1</v>
      </c>
      <c r="V810" s="21">
        <v>4</v>
      </c>
      <c r="W810" s="73">
        <f t="shared" si="34"/>
        <v>229</v>
      </c>
      <c r="X810" s="80">
        <f t="shared" si="35"/>
        <v>1438</v>
      </c>
      <c r="Y810" s="82" t="s">
        <v>3584</v>
      </c>
    </row>
    <row r="811" spans="1:26" ht="15.45" customHeight="1" x14ac:dyDescent="0.25">
      <c r="A811" s="29" t="s">
        <v>1709</v>
      </c>
      <c r="C811" s="37" t="s">
        <v>1188</v>
      </c>
      <c r="E811" s="37" t="s">
        <v>2832</v>
      </c>
      <c r="F811" s="24" t="s">
        <v>5443</v>
      </c>
      <c r="J811" s="214" t="s">
        <v>3690</v>
      </c>
      <c r="K811" s="10" t="s">
        <v>3685</v>
      </c>
      <c r="P811" s="37" t="s">
        <v>1642</v>
      </c>
      <c r="S811" s="10" t="s">
        <v>3412</v>
      </c>
      <c r="U811" s="21">
        <v>1</v>
      </c>
      <c r="V811" s="21">
        <v>1</v>
      </c>
      <c r="W811" s="73">
        <f t="shared" si="34"/>
        <v>230</v>
      </c>
      <c r="X811" s="80">
        <f t="shared" si="35"/>
        <v>1439</v>
      </c>
      <c r="Y811" s="82" t="s">
        <v>3584</v>
      </c>
    </row>
    <row r="812" spans="1:26" ht="15.45" customHeight="1" x14ac:dyDescent="0.25">
      <c r="A812" s="29" t="s">
        <v>1708</v>
      </c>
      <c r="C812" s="37" t="s">
        <v>1188</v>
      </c>
      <c r="E812" s="37" t="s">
        <v>2832</v>
      </c>
      <c r="F812" s="24" t="s">
        <v>5443</v>
      </c>
      <c r="J812" s="214" t="s">
        <v>3690</v>
      </c>
      <c r="K812" s="10" t="s">
        <v>3685</v>
      </c>
      <c r="P812" s="37" t="s">
        <v>1642</v>
      </c>
      <c r="S812" s="10" t="s">
        <v>3412</v>
      </c>
      <c r="U812" s="21">
        <v>1</v>
      </c>
      <c r="V812" s="21">
        <v>1</v>
      </c>
      <c r="W812" s="73">
        <f t="shared" si="34"/>
        <v>231</v>
      </c>
      <c r="X812" s="80">
        <f t="shared" si="35"/>
        <v>1440</v>
      </c>
      <c r="Y812" s="82" t="s">
        <v>3584</v>
      </c>
    </row>
    <row r="813" spans="1:26" ht="15.45" customHeight="1" x14ac:dyDescent="0.25">
      <c r="A813" s="29" t="s">
        <v>1779</v>
      </c>
      <c r="C813" s="37" t="s">
        <v>1188</v>
      </c>
      <c r="E813" s="37" t="s">
        <v>2832</v>
      </c>
      <c r="F813" s="24" t="s">
        <v>5443</v>
      </c>
      <c r="J813" s="214" t="s">
        <v>3690</v>
      </c>
      <c r="K813" s="10" t="s">
        <v>3685</v>
      </c>
      <c r="P813" s="37" t="s">
        <v>1603</v>
      </c>
      <c r="S813" s="10" t="s">
        <v>3412</v>
      </c>
      <c r="U813" s="21">
        <v>1</v>
      </c>
      <c r="V813" s="21">
        <v>1</v>
      </c>
      <c r="W813" s="73">
        <f t="shared" si="34"/>
        <v>232</v>
      </c>
      <c r="X813" s="80">
        <f t="shared" si="35"/>
        <v>1441</v>
      </c>
      <c r="Y813" s="82" t="s">
        <v>3584</v>
      </c>
    </row>
    <row r="814" spans="1:26" ht="15.45" customHeight="1" x14ac:dyDescent="0.25">
      <c r="A814" s="29" t="s">
        <v>1150</v>
      </c>
      <c r="C814" s="37" t="s">
        <v>1188</v>
      </c>
      <c r="E814" s="37" t="s">
        <v>2832</v>
      </c>
      <c r="F814" s="24" t="s">
        <v>5443</v>
      </c>
      <c r="J814" s="214" t="s">
        <v>3690</v>
      </c>
      <c r="K814" s="10" t="s">
        <v>3685</v>
      </c>
      <c r="P814" s="37" t="s">
        <v>2074</v>
      </c>
      <c r="S814" s="10" t="s">
        <v>3412</v>
      </c>
      <c r="U814" s="21">
        <v>1</v>
      </c>
      <c r="V814" s="21">
        <v>1</v>
      </c>
      <c r="W814" s="73">
        <f t="shared" si="34"/>
        <v>233</v>
      </c>
      <c r="X814" s="80">
        <f t="shared" si="35"/>
        <v>1442</v>
      </c>
      <c r="Y814" s="82" t="s">
        <v>3584</v>
      </c>
    </row>
    <row r="815" spans="1:26" ht="15.45" customHeight="1" x14ac:dyDescent="0.25">
      <c r="A815" s="29" t="s">
        <v>1270</v>
      </c>
      <c r="C815" s="37" t="s">
        <v>1188</v>
      </c>
      <c r="E815" s="37" t="s">
        <v>2832</v>
      </c>
      <c r="F815" s="24" t="s">
        <v>5443</v>
      </c>
      <c r="J815" s="214" t="s">
        <v>3690</v>
      </c>
      <c r="K815" s="10" t="s">
        <v>3685</v>
      </c>
      <c r="P815" s="37" t="s">
        <v>1603</v>
      </c>
      <c r="S815" s="10" t="s">
        <v>3412</v>
      </c>
      <c r="U815" s="21">
        <v>1</v>
      </c>
      <c r="V815" s="21">
        <v>1</v>
      </c>
      <c r="W815" s="73">
        <f t="shared" si="34"/>
        <v>234</v>
      </c>
      <c r="X815" s="80">
        <f t="shared" si="35"/>
        <v>1443</v>
      </c>
      <c r="Y815" s="82" t="s">
        <v>3584</v>
      </c>
    </row>
    <row r="816" spans="1:26" ht="15.45" customHeight="1" x14ac:dyDescent="0.25">
      <c r="A816" s="29" t="s">
        <v>149</v>
      </c>
      <c r="C816" s="37" t="s">
        <v>1188</v>
      </c>
      <c r="E816" s="37" t="s">
        <v>2832</v>
      </c>
      <c r="F816" s="24" t="s">
        <v>5443</v>
      </c>
      <c r="J816" s="214" t="s">
        <v>3803</v>
      </c>
      <c r="P816" s="37" t="s">
        <v>1603</v>
      </c>
      <c r="S816" s="10" t="s">
        <v>3412</v>
      </c>
      <c r="U816" s="21">
        <v>1</v>
      </c>
      <c r="V816" s="21">
        <v>5</v>
      </c>
      <c r="W816" s="73">
        <f t="shared" si="34"/>
        <v>239</v>
      </c>
      <c r="X816" s="80">
        <f t="shared" si="35"/>
        <v>1448</v>
      </c>
      <c r="Y816" s="82" t="s">
        <v>3592</v>
      </c>
      <c r="Z816" s="24" t="s">
        <v>6230</v>
      </c>
    </row>
    <row r="817" spans="1:26" ht="15.45" customHeight="1" x14ac:dyDescent="0.25">
      <c r="A817" s="29" t="s">
        <v>885</v>
      </c>
      <c r="C817" s="37" t="s">
        <v>1188</v>
      </c>
      <c r="E817" s="37" t="s">
        <v>2832</v>
      </c>
      <c r="F817" s="24" t="s">
        <v>5443</v>
      </c>
      <c r="J817" s="214" t="s">
        <v>3690</v>
      </c>
      <c r="K817" s="10" t="s">
        <v>3685</v>
      </c>
      <c r="P817" s="37" t="s">
        <v>2076</v>
      </c>
      <c r="S817" s="10" t="s">
        <v>3412</v>
      </c>
      <c r="U817" s="21">
        <v>1</v>
      </c>
      <c r="V817" s="21">
        <v>1</v>
      </c>
      <c r="W817" s="73">
        <f t="shared" si="34"/>
        <v>240</v>
      </c>
      <c r="X817" s="80">
        <f t="shared" si="35"/>
        <v>1449</v>
      </c>
      <c r="Y817" s="82" t="s">
        <v>3584</v>
      </c>
    </row>
    <row r="818" spans="1:26" ht="15.45" customHeight="1" x14ac:dyDescent="0.25">
      <c r="A818" s="29" t="s">
        <v>1757</v>
      </c>
      <c r="C818" s="37" t="s">
        <v>1188</v>
      </c>
      <c r="E818" s="37" t="s">
        <v>2832</v>
      </c>
      <c r="F818" s="24" t="s">
        <v>5443</v>
      </c>
      <c r="J818" s="214" t="s">
        <v>3690</v>
      </c>
      <c r="K818" s="10" t="s">
        <v>3685</v>
      </c>
      <c r="P818" s="37" t="s">
        <v>1642</v>
      </c>
      <c r="S818" s="10" t="s">
        <v>3412</v>
      </c>
      <c r="U818" s="21">
        <v>1</v>
      </c>
      <c r="V818" s="21">
        <v>1</v>
      </c>
      <c r="W818" s="73">
        <f t="shared" si="34"/>
        <v>241</v>
      </c>
      <c r="X818" s="80">
        <f t="shared" si="35"/>
        <v>1450</v>
      </c>
      <c r="Y818" s="82" t="s">
        <v>3584</v>
      </c>
    </row>
    <row r="819" spans="1:26" ht="15.45" customHeight="1" x14ac:dyDescent="0.25">
      <c r="A819" s="29" t="s">
        <v>1074</v>
      </c>
      <c r="C819" s="37" t="s">
        <v>1188</v>
      </c>
      <c r="E819" s="37" t="s">
        <v>2832</v>
      </c>
      <c r="F819" s="24" t="s">
        <v>5443</v>
      </c>
      <c r="J819" s="214" t="s">
        <v>3690</v>
      </c>
      <c r="K819" s="10" t="s">
        <v>3685</v>
      </c>
      <c r="P819" s="37" t="s">
        <v>1982</v>
      </c>
      <c r="S819" s="10" t="s">
        <v>3412</v>
      </c>
      <c r="U819" s="21">
        <v>1</v>
      </c>
      <c r="V819" s="21">
        <v>1</v>
      </c>
      <c r="W819" s="73">
        <f t="shared" si="34"/>
        <v>242</v>
      </c>
      <c r="X819" s="80">
        <f t="shared" si="35"/>
        <v>1451</v>
      </c>
      <c r="Y819" s="82" t="s">
        <v>3584</v>
      </c>
    </row>
    <row r="820" spans="1:26" ht="15.45" customHeight="1" x14ac:dyDescent="0.25">
      <c r="A820" s="29" t="s">
        <v>878</v>
      </c>
      <c r="C820" s="37" t="s">
        <v>1188</v>
      </c>
      <c r="E820" s="37" t="s">
        <v>2832</v>
      </c>
      <c r="F820" s="24" t="s">
        <v>5443</v>
      </c>
      <c r="J820" s="214" t="s">
        <v>3690</v>
      </c>
      <c r="K820" s="10" t="s">
        <v>3685</v>
      </c>
      <c r="P820" s="37" t="s">
        <v>1642</v>
      </c>
      <c r="S820" s="10" t="s">
        <v>3412</v>
      </c>
      <c r="U820" s="21">
        <v>1</v>
      </c>
      <c r="V820" s="21">
        <v>1</v>
      </c>
      <c r="W820" s="73">
        <f t="shared" si="34"/>
        <v>243</v>
      </c>
      <c r="X820" s="80">
        <f t="shared" si="35"/>
        <v>1452</v>
      </c>
      <c r="Y820" s="82" t="s">
        <v>3584</v>
      </c>
    </row>
    <row r="821" spans="1:26" ht="15.45" customHeight="1" x14ac:dyDescent="0.25">
      <c r="A821" s="29" t="s">
        <v>2072</v>
      </c>
      <c r="C821" s="37" t="s">
        <v>1188</v>
      </c>
      <c r="E821" s="37" t="s">
        <v>2832</v>
      </c>
      <c r="F821" s="24" t="s">
        <v>5443</v>
      </c>
      <c r="J821" s="214" t="s">
        <v>3803</v>
      </c>
      <c r="P821" s="37" t="s">
        <v>1909</v>
      </c>
      <c r="S821" s="10" t="s">
        <v>3412</v>
      </c>
      <c r="U821" s="21">
        <v>1</v>
      </c>
      <c r="V821" s="21">
        <v>4</v>
      </c>
      <c r="W821" s="73">
        <f t="shared" si="34"/>
        <v>247</v>
      </c>
      <c r="X821" s="80">
        <f t="shared" si="35"/>
        <v>1456</v>
      </c>
      <c r="Y821" s="82" t="s">
        <v>3592</v>
      </c>
      <c r="Z821" s="24" t="s">
        <v>6230</v>
      </c>
    </row>
    <row r="822" spans="1:26" ht="15.45" customHeight="1" x14ac:dyDescent="0.25">
      <c r="A822" s="29" t="s">
        <v>3435</v>
      </c>
      <c r="C822" s="37" t="s">
        <v>1188</v>
      </c>
      <c r="E822" s="37" t="s">
        <v>2832</v>
      </c>
      <c r="F822" s="24" t="s">
        <v>5443</v>
      </c>
      <c r="J822" s="214" t="s">
        <v>3690</v>
      </c>
      <c r="K822" s="10" t="s">
        <v>3685</v>
      </c>
      <c r="P822" s="37" t="s">
        <v>1642</v>
      </c>
      <c r="S822" s="10" t="s">
        <v>3412</v>
      </c>
      <c r="U822" s="21">
        <v>1</v>
      </c>
      <c r="V822" s="21">
        <v>2</v>
      </c>
      <c r="W822" s="73">
        <f t="shared" si="34"/>
        <v>249</v>
      </c>
      <c r="X822" s="80">
        <f t="shared" si="35"/>
        <v>1458</v>
      </c>
      <c r="Y822" s="82" t="s">
        <v>3584</v>
      </c>
    </row>
    <row r="823" spans="1:26" ht="15.45" customHeight="1" x14ac:dyDescent="0.25">
      <c r="A823" s="29" t="s">
        <v>1397</v>
      </c>
      <c r="C823" s="37" t="s">
        <v>1188</v>
      </c>
      <c r="E823" s="37" t="s">
        <v>2832</v>
      </c>
      <c r="F823" s="24" t="s">
        <v>5443</v>
      </c>
      <c r="J823" s="214" t="s">
        <v>3690</v>
      </c>
      <c r="K823" s="10" t="s">
        <v>3685</v>
      </c>
      <c r="P823" s="37" t="s">
        <v>1603</v>
      </c>
      <c r="S823" s="10" t="s">
        <v>3412</v>
      </c>
      <c r="U823" s="21">
        <v>1</v>
      </c>
      <c r="V823" s="21">
        <v>2</v>
      </c>
      <c r="W823" s="73">
        <f t="shared" si="34"/>
        <v>251</v>
      </c>
      <c r="X823" s="80">
        <f t="shared" si="35"/>
        <v>1460</v>
      </c>
      <c r="Y823" s="82" t="s">
        <v>3584</v>
      </c>
    </row>
    <row r="824" spans="1:26" ht="15.45" customHeight="1" x14ac:dyDescent="0.25">
      <c r="A824" s="29" t="s">
        <v>1418</v>
      </c>
      <c r="C824" s="37" t="s">
        <v>1188</v>
      </c>
      <c r="E824" s="37" t="s">
        <v>2832</v>
      </c>
      <c r="F824" s="24" t="s">
        <v>5443</v>
      </c>
      <c r="J824" s="214" t="s">
        <v>3690</v>
      </c>
      <c r="K824" s="10" t="s">
        <v>3685</v>
      </c>
      <c r="P824" s="37" t="s">
        <v>1603</v>
      </c>
      <c r="S824" s="10" t="s">
        <v>3412</v>
      </c>
      <c r="U824" s="21">
        <v>1</v>
      </c>
      <c r="V824" s="21">
        <v>1</v>
      </c>
      <c r="W824" s="73">
        <f t="shared" si="34"/>
        <v>252</v>
      </c>
      <c r="X824" s="80">
        <f t="shared" si="35"/>
        <v>1461</v>
      </c>
      <c r="Y824" s="82" t="s">
        <v>3584</v>
      </c>
    </row>
    <row r="825" spans="1:26" ht="15.45" customHeight="1" x14ac:dyDescent="0.25">
      <c r="A825" s="29" t="s">
        <v>1608</v>
      </c>
      <c r="C825" s="37" t="s">
        <v>1188</v>
      </c>
      <c r="E825" s="37" t="s">
        <v>2832</v>
      </c>
      <c r="F825" s="24" t="s">
        <v>5443</v>
      </c>
      <c r="J825" s="214" t="s">
        <v>3690</v>
      </c>
      <c r="K825" s="10" t="s">
        <v>3685</v>
      </c>
      <c r="P825" s="37" t="s">
        <v>1603</v>
      </c>
      <c r="S825" s="10" t="s">
        <v>3412</v>
      </c>
      <c r="U825" s="21">
        <v>1</v>
      </c>
      <c r="V825" s="21">
        <v>1</v>
      </c>
      <c r="W825" s="73">
        <f t="shared" si="34"/>
        <v>253</v>
      </c>
      <c r="X825" s="80">
        <f t="shared" si="35"/>
        <v>1462</v>
      </c>
      <c r="Y825" s="82" t="s">
        <v>3584</v>
      </c>
    </row>
    <row r="826" spans="1:26" ht="15.45" customHeight="1" x14ac:dyDescent="0.25">
      <c r="A826" s="29" t="s">
        <v>3267</v>
      </c>
      <c r="C826" s="37" t="s">
        <v>1188</v>
      </c>
      <c r="E826" s="37" t="s">
        <v>2832</v>
      </c>
      <c r="F826" s="24" t="s">
        <v>5443</v>
      </c>
      <c r="J826" s="214" t="s">
        <v>3690</v>
      </c>
      <c r="K826" s="10" t="s">
        <v>3685</v>
      </c>
      <c r="P826" s="37" t="s">
        <v>1642</v>
      </c>
      <c r="S826" s="10" t="s">
        <v>3412</v>
      </c>
      <c r="U826" s="21">
        <v>1</v>
      </c>
      <c r="V826" s="21">
        <v>1</v>
      </c>
      <c r="W826" s="73">
        <f t="shared" si="34"/>
        <v>254</v>
      </c>
      <c r="X826" s="80">
        <f t="shared" si="35"/>
        <v>1463</v>
      </c>
      <c r="Y826" s="82" t="s">
        <v>3584</v>
      </c>
    </row>
    <row r="827" spans="1:26" ht="15.45" customHeight="1" x14ac:dyDescent="0.25">
      <c r="A827" s="29" t="s">
        <v>3268</v>
      </c>
      <c r="C827" s="37" t="s">
        <v>1188</v>
      </c>
      <c r="E827" s="37" t="s">
        <v>2832</v>
      </c>
      <c r="F827" s="24" t="s">
        <v>5443</v>
      </c>
      <c r="J827" s="214" t="s">
        <v>3690</v>
      </c>
      <c r="K827" s="10" t="s">
        <v>3685</v>
      </c>
      <c r="P827" s="37" t="s">
        <v>1642</v>
      </c>
      <c r="S827" s="10" t="s">
        <v>3412</v>
      </c>
      <c r="U827" s="21">
        <v>1</v>
      </c>
      <c r="V827" s="21">
        <v>1</v>
      </c>
      <c r="W827" s="73">
        <f t="shared" si="34"/>
        <v>255</v>
      </c>
      <c r="X827" s="80">
        <f t="shared" si="35"/>
        <v>1464</v>
      </c>
      <c r="Y827" s="82" t="s">
        <v>3584</v>
      </c>
    </row>
    <row r="828" spans="1:26" ht="15.45" customHeight="1" x14ac:dyDescent="0.25">
      <c r="A828" s="29" t="s">
        <v>3269</v>
      </c>
      <c r="C828" s="37" t="s">
        <v>1188</v>
      </c>
      <c r="E828" s="37" t="s">
        <v>2832</v>
      </c>
      <c r="F828" s="24" t="s">
        <v>5443</v>
      </c>
      <c r="J828" s="214" t="s">
        <v>3690</v>
      </c>
      <c r="K828" s="10" t="s">
        <v>3685</v>
      </c>
      <c r="P828" s="37" t="s">
        <v>1642</v>
      </c>
      <c r="S828" s="10" t="s">
        <v>3412</v>
      </c>
      <c r="U828" s="21">
        <v>1</v>
      </c>
      <c r="V828" s="21">
        <v>1</v>
      </c>
      <c r="W828" s="73">
        <f t="shared" si="34"/>
        <v>256</v>
      </c>
      <c r="X828" s="80">
        <f t="shared" si="35"/>
        <v>1465</v>
      </c>
      <c r="Y828" s="82" t="s">
        <v>3584</v>
      </c>
    </row>
    <row r="829" spans="1:26" ht="15.45" customHeight="1" x14ac:dyDescent="0.25">
      <c r="A829" s="29" t="s">
        <v>1743</v>
      </c>
      <c r="C829" s="37" t="s">
        <v>1188</v>
      </c>
      <c r="E829" s="37" t="s">
        <v>2832</v>
      </c>
      <c r="F829" s="24" t="s">
        <v>5443</v>
      </c>
      <c r="J829" s="214" t="s">
        <v>3690</v>
      </c>
      <c r="K829" s="10" t="s">
        <v>3685</v>
      </c>
      <c r="P829" s="37" t="s">
        <v>1603</v>
      </c>
      <c r="S829" s="10" t="s">
        <v>3412</v>
      </c>
      <c r="U829" s="21">
        <v>1</v>
      </c>
      <c r="V829" s="21">
        <v>1</v>
      </c>
      <c r="W829" s="73">
        <f t="shared" si="34"/>
        <v>257</v>
      </c>
      <c r="X829" s="80">
        <f t="shared" si="35"/>
        <v>1466</v>
      </c>
      <c r="Y829" s="82" t="s">
        <v>3584</v>
      </c>
    </row>
    <row r="830" spans="1:26" ht="15.45" customHeight="1" x14ac:dyDescent="0.25">
      <c r="A830" s="29" t="s">
        <v>1412</v>
      </c>
      <c r="C830" s="37" t="s">
        <v>1188</v>
      </c>
      <c r="E830" s="37" t="s">
        <v>2832</v>
      </c>
      <c r="F830" s="24" t="s">
        <v>5443</v>
      </c>
      <c r="J830" s="214" t="s">
        <v>3690</v>
      </c>
      <c r="K830" s="10" t="s">
        <v>3685</v>
      </c>
      <c r="P830" s="37" t="s">
        <v>1603</v>
      </c>
      <c r="S830" s="10" t="s">
        <v>3412</v>
      </c>
      <c r="U830" s="21">
        <v>1</v>
      </c>
      <c r="V830" s="21">
        <v>1</v>
      </c>
      <c r="W830" s="73">
        <f t="shared" si="34"/>
        <v>258</v>
      </c>
      <c r="X830" s="80">
        <f t="shared" si="35"/>
        <v>1467</v>
      </c>
      <c r="Y830" s="82" t="s">
        <v>3584</v>
      </c>
    </row>
    <row r="831" spans="1:26" ht="15.45" customHeight="1" x14ac:dyDescent="0.25">
      <c r="A831" s="29" t="s">
        <v>1413</v>
      </c>
      <c r="C831" s="37" t="s">
        <v>1188</v>
      </c>
      <c r="E831" s="37" t="s">
        <v>2832</v>
      </c>
      <c r="F831" s="24" t="s">
        <v>5443</v>
      </c>
      <c r="J831" s="214" t="s">
        <v>3690</v>
      </c>
      <c r="K831" s="10" t="s">
        <v>3685</v>
      </c>
      <c r="P831" s="37" t="s">
        <v>1603</v>
      </c>
      <c r="S831" s="10" t="s">
        <v>3412</v>
      </c>
      <c r="U831" s="21">
        <v>1</v>
      </c>
      <c r="V831" s="21">
        <v>2</v>
      </c>
      <c r="W831" s="73">
        <f t="shared" si="34"/>
        <v>260</v>
      </c>
      <c r="X831" s="80">
        <f t="shared" si="35"/>
        <v>1469</v>
      </c>
      <c r="Y831" s="82" t="s">
        <v>3584</v>
      </c>
    </row>
    <row r="832" spans="1:26" ht="15.45" customHeight="1" x14ac:dyDescent="0.25">
      <c r="A832" s="29" t="s">
        <v>150</v>
      </c>
      <c r="C832" s="37" t="s">
        <v>1188</v>
      </c>
      <c r="E832" s="37" t="s">
        <v>2832</v>
      </c>
      <c r="F832" s="24" t="s">
        <v>5443</v>
      </c>
      <c r="J832" s="214" t="s">
        <v>3803</v>
      </c>
      <c r="P832" s="37" t="s">
        <v>1603</v>
      </c>
      <c r="S832" s="10" t="s">
        <v>3412</v>
      </c>
      <c r="U832" s="21">
        <v>1</v>
      </c>
      <c r="V832" s="21">
        <v>1</v>
      </c>
      <c r="W832" s="73">
        <f t="shared" si="34"/>
        <v>261</v>
      </c>
      <c r="X832" s="80">
        <f t="shared" si="35"/>
        <v>1470</v>
      </c>
      <c r="Y832" s="82" t="s">
        <v>3592</v>
      </c>
      <c r="Z832" s="24" t="s">
        <v>6230</v>
      </c>
    </row>
    <row r="833" spans="1:26" ht="15.45" customHeight="1" x14ac:dyDescent="0.25">
      <c r="A833" s="29" t="s">
        <v>3265</v>
      </c>
      <c r="C833" s="37" t="s">
        <v>1188</v>
      </c>
      <c r="E833" s="37" t="s">
        <v>2832</v>
      </c>
      <c r="F833" s="24" t="s">
        <v>5443</v>
      </c>
      <c r="J833" s="214" t="s">
        <v>3690</v>
      </c>
      <c r="K833" s="10" t="s">
        <v>3685</v>
      </c>
      <c r="P833" s="37" t="s">
        <v>1792</v>
      </c>
      <c r="S833" s="10" t="s">
        <v>3412</v>
      </c>
      <c r="U833" s="21">
        <v>1</v>
      </c>
      <c r="V833" s="21">
        <v>3</v>
      </c>
      <c r="W833" s="73">
        <f t="shared" si="34"/>
        <v>264</v>
      </c>
      <c r="X833" s="80">
        <f t="shared" si="35"/>
        <v>1473</v>
      </c>
      <c r="Y833" s="82" t="s">
        <v>3584</v>
      </c>
    </row>
    <row r="834" spans="1:26" ht="15.45" customHeight="1" x14ac:dyDescent="0.25">
      <c r="A834" s="29" t="s">
        <v>1176</v>
      </c>
      <c r="B834" s="24" t="s">
        <v>7193</v>
      </c>
      <c r="C834" s="37" t="s">
        <v>1188</v>
      </c>
      <c r="E834" s="37" t="s">
        <v>2832</v>
      </c>
      <c r="F834" s="24" t="s">
        <v>5443</v>
      </c>
      <c r="H834" t="s">
        <v>7194</v>
      </c>
      <c r="J834" s="214" t="s">
        <v>3690</v>
      </c>
      <c r="K834" s="10" t="s">
        <v>3685</v>
      </c>
      <c r="P834" s="37" t="s">
        <v>1642</v>
      </c>
      <c r="S834" s="10" t="s">
        <v>3412</v>
      </c>
      <c r="U834" s="21">
        <v>1</v>
      </c>
      <c r="V834" s="21">
        <v>2</v>
      </c>
      <c r="W834" s="73">
        <f t="shared" si="34"/>
        <v>266</v>
      </c>
      <c r="X834" s="80">
        <f t="shared" si="35"/>
        <v>1475</v>
      </c>
      <c r="Y834" s="82" t="s">
        <v>3584</v>
      </c>
    </row>
    <row r="835" spans="1:26" ht="15.45" customHeight="1" x14ac:dyDescent="0.25">
      <c r="A835" s="29" t="s">
        <v>1533</v>
      </c>
      <c r="B835" s="24" t="s">
        <v>7193</v>
      </c>
      <c r="C835" s="37" t="s">
        <v>1188</v>
      </c>
      <c r="E835" s="37" t="s">
        <v>2832</v>
      </c>
      <c r="F835" s="24" t="s">
        <v>5443</v>
      </c>
      <c r="H835" t="s">
        <v>7194</v>
      </c>
      <c r="J835" s="214" t="s">
        <v>3690</v>
      </c>
      <c r="K835" s="10" t="s">
        <v>3685</v>
      </c>
      <c r="P835" s="37" t="s">
        <v>1642</v>
      </c>
      <c r="S835" s="10" t="s">
        <v>3412</v>
      </c>
      <c r="U835" s="21">
        <v>1</v>
      </c>
      <c r="V835" s="21">
        <v>2</v>
      </c>
      <c r="W835" s="73">
        <f t="shared" si="34"/>
        <v>268</v>
      </c>
      <c r="X835" s="80">
        <f t="shared" si="35"/>
        <v>1477</v>
      </c>
      <c r="Y835" s="82" t="s">
        <v>3584</v>
      </c>
    </row>
    <row r="836" spans="1:26" ht="15.45" customHeight="1" x14ac:dyDescent="0.25">
      <c r="A836" s="29" t="s">
        <v>1831</v>
      </c>
      <c r="C836" s="37" t="s">
        <v>1188</v>
      </c>
      <c r="E836" s="37" t="s">
        <v>2832</v>
      </c>
      <c r="F836" s="24" t="s">
        <v>5443</v>
      </c>
      <c r="J836" s="214" t="s">
        <v>3690</v>
      </c>
      <c r="K836" s="10" t="s">
        <v>3685</v>
      </c>
      <c r="P836" s="37" t="s">
        <v>1603</v>
      </c>
      <c r="S836" s="10" t="s">
        <v>3412</v>
      </c>
      <c r="U836" s="21">
        <v>1</v>
      </c>
      <c r="V836" s="21">
        <v>3</v>
      </c>
      <c r="W836" s="73">
        <f t="shared" si="34"/>
        <v>271</v>
      </c>
      <c r="X836" s="80">
        <f t="shared" si="35"/>
        <v>1480</v>
      </c>
      <c r="Y836" s="82" t="s">
        <v>3584</v>
      </c>
    </row>
    <row r="837" spans="1:26" ht="15.45" customHeight="1" x14ac:dyDescent="0.25">
      <c r="A837" s="29" t="s">
        <v>1632</v>
      </c>
      <c r="C837" s="37" t="s">
        <v>1188</v>
      </c>
      <c r="E837" s="37" t="s">
        <v>2832</v>
      </c>
      <c r="F837" s="24" t="s">
        <v>5443</v>
      </c>
      <c r="J837" s="214" t="s">
        <v>3690</v>
      </c>
      <c r="K837" s="10" t="s">
        <v>3685</v>
      </c>
      <c r="P837" s="37" t="s">
        <v>1603</v>
      </c>
      <c r="S837" s="10" t="s">
        <v>3412</v>
      </c>
      <c r="U837" s="21">
        <v>1</v>
      </c>
      <c r="V837" s="21">
        <v>1</v>
      </c>
      <c r="W837" s="73">
        <f t="shared" si="34"/>
        <v>272</v>
      </c>
      <c r="X837" s="80">
        <f t="shared" si="35"/>
        <v>1481</v>
      </c>
      <c r="Y837" s="82" t="s">
        <v>3584</v>
      </c>
    </row>
    <row r="838" spans="1:26" ht="15.45" customHeight="1" x14ac:dyDescent="0.25">
      <c r="A838" s="29" t="s">
        <v>3266</v>
      </c>
      <c r="C838" s="37" t="s">
        <v>1188</v>
      </c>
      <c r="E838" s="37" t="s">
        <v>2832</v>
      </c>
      <c r="F838" s="24" t="s">
        <v>5443</v>
      </c>
      <c r="J838" s="214" t="s">
        <v>3690</v>
      </c>
      <c r="K838" s="10" t="s">
        <v>3685</v>
      </c>
      <c r="P838" s="37" t="s">
        <v>208</v>
      </c>
      <c r="S838" s="10" t="s">
        <v>3412</v>
      </c>
      <c r="U838" s="21">
        <v>1</v>
      </c>
      <c r="V838" s="21">
        <v>1</v>
      </c>
      <c r="W838" s="73">
        <f t="shared" si="34"/>
        <v>273</v>
      </c>
      <c r="X838" s="80">
        <f t="shared" si="35"/>
        <v>1482</v>
      </c>
      <c r="Y838" s="82" t="s">
        <v>3584</v>
      </c>
    </row>
    <row r="839" spans="1:26" ht="15.45" customHeight="1" x14ac:dyDescent="0.25">
      <c r="A839" s="29" t="s">
        <v>1510</v>
      </c>
      <c r="C839" s="37" t="s">
        <v>1188</v>
      </c>
      <c r="E839" s="37" t="s">
        <v>2832</v>
      </c>
      <c r="F839" s="24" t="s">
        <v>5443</v>
      </c>
      <c r="J839" s="214" t="s">
        <v>3690</v>
      </c>
      <c r="K839" s="10" t="s">
        <v>3685</v>
      </c>
      <c r="P839" s="37" t="s">
        <v>1603</v>
      </c>
      <c r="S839" s="10" t="s">
        <v>3412</v>
      </c>
      <c r="U839" s="21">
        <v>1</v>
      </c>
      <c r="V839" s="21">
        <v>1</v>
      </c>
      <c r="W839" s="73">
        <f t="shared" ref="W839:W905" si="36">W838+V839</f>
        <v>274</v>
      </c>
      <c r="X839" s="80">
        <f t="shared" ref="X839:X903" si="37">V839+X838</f>
        <v>1483</v>
      </c>
      <c r="Y839" s="82" t="s">
        <v>3584</v>
      </c>
    </row>
    <row r="840" spans="1:26" ht="15.45" customHeight="1" x14ac:dyDescent="0.25">
      <c r="A840" s="29" t="s">
        <v>1180</v>
      </c>
      <c r="C840" s="37" t="s">
        <v>1188</v>
      </c>
      <c r="E840" s="37" t="s">
        <v>2832</v>
      </c>
      <c r="F840" s="24" t="s">
        <v>5443</v>
      </c>
      <c r="J840" s="214" t="s">
        <v>3690</v>
      </c>
      <c r="K840" s="10" t="s">
        <v>3685</v>
      </c>
      <c r="P840" s="37" t="s">
        <v>1603</v>
      </c>
      <c r="S840" s="10" t="s">
        <v>3412</v>
      </c>
      <c r="U840" s="21">
        <v>1</v>
      </c>
      <c r="V840" s="21">
        <v>2</v>
      </c>
      <c r="W840" s="73">
        <f t="shared" si="36"/>
        <v>276</v>
      </c>
      <c r="X840" s="80">
        <f t="shared" si="37"/>
        <v>1485</v>
      </c>
      <c r="Y840" s="82" t="s">
        <v>3584</v>
      </c>
    </row>
    <row r="841" spans="1:26" ht="15.45" customHeight="1" x14ac:dyDescent="0.25">
      <c r="A841" s="29" t="s">
        <v>1498</v>
      </c>
      <c r="C841" s="37" t="s">
        <v>1188</v>
      </c>
      <c r="E841" s="37" t="s">
        <v>2832</v>
      </c>
      <c r="F841" s="24" t="s">
        <v>5443</v>
      </c>
      <c r="J841" s="214" t="s">
        <v>3690</v>
      </c>
      <c r="K841" s="10" t="s">
        <v>3685</v>
      </c>
      <c r="P841" s="37" t="s">
        <v>1603</v>
      </c>
      <c r="S841" s="10" t="s">
        <v>3412</v>
      </c>
      <c r="U841" s="21">
        <v>1</v>
      </c>
      <c r="V841" s="21">
        <v>1</v>
      </c>
      <c r="W841" s="73">
        <f t="shared" si="36"/>
        <v>277</v>
      </c>
      <c r="X841" s="80">
        <f t="shared" si="37"/>
        <v>1486</v>
      </c>
      <c r="Y841" s="82" t="s">
        <v>3584</v>
      </c>
    </row>
    <row r="842" spans="1:26" ht="15.45" customHeight="1" x14ac:dyDescent="0.25">
      <c r="A842" s="29" t="s">
        <v>1272</v>
      </c>
      <c r="C842" s="37" t="s">
        <v>1188</v>
      </c>
      <c r="E842" s="37" t="s">
        <v>2832</v>
      </c>
      <c r="F842" s="24" t="s">
        <v>5443</v>
      </c>
      <c r="J842" s="214" t="s">
        <v>3690</v>
      </c>
      <c r="K842" s="10" t="s">
        <v>3685</v>
      </c>
      <c r="P842" s="37" t="s">
        <v>1991</v>
      </c>
      <c r="S842" s="10" t="s">
        <v>3412</v>
      </c>
      <c r="U842" s="21">
        <v>1</v>
      </c>
      <c r="V842" s="21">
        <v>1</v>
      </c>
      <c r="W842" s="73">
        <f t="shared" si="36"/>
        <v>278</v>
      </c>
      <c r="X842" s="80">
        <f t="shared" si="37"/>
        <v>1487</v>
      </c>
      <c r="Y842" s="82" t="s">
        <v>3584</v>
      </c>
    </row>
    <row r="843" spans="1:26" ht="15.45" customHeight="1" x14ac:dyDescent="0.25">
      <c r="A843" s="29" t="s">
        <v>1541</v>
      </c>
      <c r="C843" s="37" t="s">
        <v>1188</v>
      </c>
      <c r="E843" s="37" t="s">
        <v>2832</v>
      </c>
      <c r="F843" s="24" t="s">
        <v>5443</v>
      </c>
      <c r="J843" s="214" t="s">
        <v>3690</v>
      </c>
      <c r="K843" s="10" t="s">
        <v>3685</v>
      </c>
      <c r="P843" s="37" t="s">
        <v>1642</v>
      </c>
      <c r="S843" s="10" t="s">
        <v>3412</v>
      </c>
      <c r="U843" s="21">
        <v>1</v>
      </c>
      <c r="V843" s="21">
        <v>1</v>
      </c>
      <c r="W843" s="73">
        <f t="shared" si="36"/>
        <v>279</v>
      </c>
      <c r="X843" s="80">
        <f t="shared" si="37"/>
        <v>1488</v>
      </c>
      <c r="Y843" s="82" t="s">
        <v>3584</v>
      </c>
    </row>
    <row r="844" spans="1:26" ht="15.45" customHeight="1" x14ac:dyDescent="0.25">
      <c r="A844" s="29" t="s">
        <v>1626</v>
      </c>
      <c r="C844" s="37" t="s">
        <v>1188</v>
      </c>
      <c r="E844" s="37" t="s">
        <v>2832</v>
      </c>
      <c r="F844" s="24" t="s">
        <v>5443</v>
      </c>
      <c r="J844" s="214" t="s">
        <v>3690</v>
      </c>
      <c r="K844" s="10" t="s">
        <v>3685</v>
      </c>
      <c r="P844" s="37" t="s">
        <v>1603</v>
      </c>
      <c r="S844" s="10" t="s">
        <v>3412</v>
      </c>
      <c r="U844" s="21">
        <v>1</v>
      </c>
      <c r="V844" s="21">
        <v>2</v>
      </c>
      <c r="W844" s="73">
        <f t="shared" si="36"/>
        <v>281</v>
      </c>
      <c r="X844" s="80">
        <f t="shared" si="37"/>
        <v>1490</v>
      </c>
      <c r="Y844" s="82" t="s">
        <v>3584</v>
      </c>
    </row>
    <row r="845" spans="1:26" ht="15.45" customHeight="1" x14ac:dyDescent="0.25">
      <c r="A845" s="29" t="s">
        <v>1496</v>
      </c>
      <c r="C845" s="37" t="s">
        <v>1188</v>
      </c>
      <c r="E845" s="37" t="s">
        <v>2832</v>
      </c>
      <c r="F845" s="24" t="s">
        <v>5443</v>
      </c>
      <c r="J845" s="214" t="s">
        <v>3690</v>
      </c>
      <c r="K845" s="10" t="s">
        <v>3685</v>
      </c>
      <c r="P845" s="37" t="s">
        <v>1603</v>
      </c>
      <c r="S845" s="10" t="s">
        <v>3412</v>
      </c>
      <c r="U845" s="21">
        <v>1</v>
      </c>
      <c r="V845" s="21">
        <v>2</v>
      </c>
      <c r="W845" s="73">
        <f t="shared" si="36"/>
        <v>283</v>
      </c>
      <c r="X845" s="80">
        <f t="shared" si="37"/>
        <v>1492</v>
      </c>
      <c r="Y845" s="82" t="s">
        <v>3584</v>
      </c>
    </row>
    <row r="846" spans="1:26" ht="15.45" customHeight="1" x14ac:dyDescent="0.25">
      <c r="A846" s="29" t="s">
        <v>1322</v>
      </c>
      <c r="C846" s="37" t="s">
        <v>1188</v>
      </c>
      <c r="E846" s="37" t="s">
        <v>2832</v>
      </c>
      <c r="F846" s="24" t="s">
        <v>5443</v>
      </c>
      <c r="J846" s="214" t="s">
        <v>3803</v>
      </c>
      <c r="P846" s="37" t="s">
        <v>1620</v>
      </c>
      <c r="S846" s="10" t="s">
        <v>3412</v>
      </c>
      <c r="U846" s="21">
        <v>1</v>
      </c>
      <c r="V846" s="21">
        <v>1</v>
      </c>
      <c r="W846" s="73">
        <f t="shared" si="36"/>
        <v>284</v>
      </c>
      <c r="X846" s="80">
        <f t="shared" si="37"/>
        <v>1493</v>
      </c>
      <c r="Y846" s="82" t="s">
        <v>3592</v>
      </c>
      <c r="Z846" s="24" t="s">
        <v>2884</v>
      </c>
    </row>
    <row r="847" spans="1:26" ht="15.45" customHeight="1" x14ac:dyDescent="0.25">
      <c r="A847" s="29" t="s">
        <v>1778</v>
      </c>
      <c r="C847" s="37" t="s">
        <v>1188</v>
      </c>
      <c r="E847" s="37" t="s">
        <v>2832</v>
      </c>
      <c r="F847" s="24" t="s">
        <v>5443</v>
      </c>
      <c r="J847" s="214" t="s">
        <v>3690</v>
      </c>
      <c r="K847" s="10" t="s">
        <v>3685</v>
      </c>
      <c r="P847" s="37" t="s">
        <v>1603</v>
      </c>
      <c r="S847" s="10" t="s">
        <v>3412</v>
      </c>
      <c r="U847" s="21">
        <v>1</v>
      </c>
      <c r="V847" s="21">
        <v>2</v>
      </c>
      <c r="W847" s="73">
        <f t="shared" si="36"/>
        <v>286</v>
      </c>
      <c r="X847" s="80">
        <f t="shared" si="37"/>
        <v>1495</v>
      </c>
      <c r="Y847" s="82" t="s">
        <v>3584</v>
      </c>
    </row>
    <row r="848" spans="1:26" ht="15.45" customHeight="1" x14ac:dyDescent="0.25">
      <c r="A848" s="29" t="s">
        <v>7011</v>
      </c>
      <c r="C848" s="37" t="s">
        <v>1188</v>
      </c>
      <c r="E848" s="37" t="s">
        <v>2832</v>
      </c>
      <c r="F848" s="24" t="s">
        <v>5443</v>
      </c>
      <c r="J848" s="214" t="s">
        <v>3690</v>
      </c>
      <c r="K848" s="10" t="s">
        <v>3685</v>
      </c>
      <c r="P848" s="37" t="s">
        <v>1603</v>
      </c>
      <c r="S848" s="10" t="s">
        <v>3412</v>
      </c>
      <c r="U848" s="21">
        <v>1</v>
      </c>
      <c r="V848" s="21">
        <v>3</v>
      </c>
      <c r="W848" s="73">
        <f t="shared" si="36"/>
        <v>289</v>
      </c>
      <c r="X848" s="80">
        <f t="shared" si="37"/>
        <v>1498</v>
      </c>
      <c r="Y848" s="82" t="s">
        <v>3584</v>
      </c>
    </row>
    <row r="849" spans="1:29" ht="15.45" customHeight="1" x14ac:dyDescent="0.25">
      <c r="A849" s="29" t="s">
        <v>1628</v>
      </c>
      <c r="C849" s="37" t="s">
        <v>1188</v>
      </c>
      <c r="E849" s="37" t="s">
        <v>2832</v>
      </c>
      <c r="F849" s="24" t="s">
        <v>5443</v>
      </c>
      <c r="J849" s="214" t="s">
        <v>3690</v>
      </c>
      <c r="K849" s="10" t="s">
        <v>3685</v>
      </c>
      <c r="P849" s="37" t="s">
        <v>1603</v>
      </c>
      <c r="S849" s="10" t="s">
        <v>3412</v>
      </c>
      <c r="U849" s="21">
        <v>1</v>
      </c>
      <c r="V849" s="21">
        <v>2</v>
      </c>
      <c r="W849" s="73">
        <f t="shared" si="36"/>
        <v>291</v>
      </c>
      <c r="X849" s="80">
        <f t="shared" si="37"/>
        <v>1500</v>
      </c>
      <c r="Y849" s="82" t="s">
        <v>3584</v>
      </c>
    </row>
    <row r="850" spans="1:29" ht="15.45" customHeight="1" x14ac:dyDescent="0.25">
      <c r="A850" s="29" t="s">
        <v>5823</v>
      </c>
      <c r="C850" s="37" t="s">
        <v>1188</v>
      </c>
      <c r="E850" s="37" t="s">
        <v>2832</v>
      </c>
      <c r="F850" s="24" t="s">
        <v>5443</v>
      </c>
      <c r="J850" s="214" t="s">
        <v>5822</v>
      </c>
      <c r="O850" s="37" t="s">
        <v>5821</v>
      </c>
      <c r="P850" s="37" t="s">
        <v>1603</v>
      </c>
      <c r="S850" s="10" t="s">
        <v>3412</v>
      </c>
      <c r="U850" s="21">
        <v>1</v>
      </c>
      <c r="V850" s="21">
        <v>1</v>
      </c>
      <c r="W850" s="73">
        <f t="shared" si="36"/>
        <v>292</v>
      </c>
      <c r="X850" s="80">
        <f t="shared" si="37"/>
        <v>1501</v>
      </c>
      <c r="Y850" s="82" t="s">
        <v>3591</v>
      </c>
      <c r="Z850" s="24" t="s">
        <v>2885</v>
      </c>
      <c r="AB850" s="177">
        <v>44383</v>
      </c>
      <c r="AC850" s="84" t="s">
        <v>5308</v>
      </c>
    </row>
    <row r="851" spans="1:29" ht="15.45" customHeight="1" x14ac:dyDescent="0.25">
      <c r="A851" s="29" t="s">
        <v>3270</v>
      </c>
      <c r="C851" s="37" t="s">
        <v>1188</v>
      </c>
      <c r="E851" s="37" t="s">
        <v>2832</v>
      </c>
      <c r="F851" s="24" t="s">
        <v>5443</v>
      </c>
      <c r="J851" s="214" t="s">
        <v>3690</v>
      </c>
      <c r="K851" s="10" t="s">
        <v>3685</v>
      </c>
      <c r="P851" s="37" t="s">
        <v>1603</v>
      </c>
      <c r="S851" s="10" t="s">
        <v>3412</v>
      </c>
      <c r="U851" s="21">
        <v>1</v>
      </c>
      <c r="V851" s="21">
        <v>1</v>
      </c>
      <c r="W851" s="73">
        <f t="shared" si="36"/>
        <v>293</v>
      </c>
      <c r="X851" s="80">
        <f t="shared" si="37"/>
        <v>1502</v>
      </c>
      <c r="Y851" s="82" t="s">
        <v>3584</v>
      </c>
    </row>
    <row r="852" spans="1:29" ht="15.45" customHeight="1" x14ac:dyDescent="0.25">
      <c r="A852" s="29" t="s">
        <v>1629</v>
      </c>
      <c r="C852" s="37" t="s">
        <v>1188</v>
      </c>
      <c r="E852" s="37" t="s">
        <v>2832</v>
      </c>
      <c r="F852" s="24" t="s">
        <v>5443</v>
      </c>
      <c r="J852" s="214" t="s">
        <v>3690</v>
      </c>
      <c r="K852" s="10" t="s">
        <v>3685</v>
      </c>
      <c r="P852" s="37" t="s">
        <v>1603</v>
      </c>
      <c r="S852" s="10" t="s">
        <v>3412</v>
      </c>
      <c r="U852" s="21">
        <v>1</v>
      </c>
      <c r="V852" s="21">
        <v>3</v>
      </c>
      <c r="W852" s="73">
        <f t="shared" si="36"/>
        <v>296</v>
      </c>
      <c r="X852" s="80">
        <f t="shared" si="37"/>
        <v>1505</v>
      </c>
      <c r="Y852" s="82" t="s">
        <v>3584</v>
      </c>
    </row>
    <row r="853" spans="1:29" ht="15.45" customHeight="1" x14ac:dyDescent="0.25">
      <c r="A853" s="29" t="s">
        <v>1631</v>
      </c>
      <c r="C853" s="37" t="s">
        <v>1188</v>
      </c>
      <c r="E853" s="37" t="s">
        <v>2832</v>
      </c>
      <c r="F853" s="24" t="s">
        <v>5443</v>
      </c>
      <c r="J853" s="214" t="s">
        <v>3690</v>
      </c>
      <c r="K853" s="10" t="s">
        <v>3685</v>
      </c>
      <c r="P853" s="37" t="s">
        <v>1642</v>
      </c>
      <c r="S853" s="10" t="s">
        <v>3412</v>
      </c>
      <c r="U853" s="21">
        <v>1</v>
      </c>
      <c r="V853" s="21">
        <v>1</v>
      </c>
      <c r="W853" s="73">
        <f t="shared" si="36"/>
        <v>297</v>
      </c>
      <c r="X853" s="80">
        <f t="shared" si="37"/>
        <v>1506</v>
      </c>
      <c r="Y853" s="82" t="s">
        <v>3584</v>
      </c>
    </row>
    <row r="854" spans="1:29" ht="15.45" customHeight="1" x14ac:dyDescent="0.25">
      <c r="A854" s="29" t="s">
        <v>1756</v>
      </c>
      <c r="C854" s="37" t="s">
        <v>1188</v>
      </c>
      <c r="E854" s="37" t="s">
        <v>2832</v>
      </c>
      <c r="F854" s="24" t="s">
        <v>5443</v>
      </c>
      <c r="J854" s="214" t="s">
        <v>3690</v>
      </c>
      <c r="K854" s="10" t="s">
        <v>3685</v>
      </c>
      <c r="P854" s="37" t="s">
        <v>1642</v>
      </c>
      <c r="S854" s="10" t="s">
        <v>3412</v>
      </c>
      <c r="U854" s="21">
        <v>1</v>
      </c>
      <c r="V854" s="21">
        <v>1</v>
      </c>
      <c r="W854" s="73">
        <f t="shared" si="36"/>
        <v>298</v>
      </c>
      <c r="X854" s="80">
        <f t="shared" si="37"/>
        <v>1507</v>
      </c>
      <c r="Y854" s="82" t="s">
        <v>3584</v>
      </c>
    </row>
    <row r="855" spans="1:29" ht="15.45" customHeight="1" x14ac:dyDescent="0.25">
      <c r="A855" s="29" t="s">
        <v>1497</v>
      </c>
      <c r="C855" s="37" t="s">
        <v>1188</v>
      </c>
      <c r="E855" s="37" t="s">
        <v>2832</v>
      </c>
      <c r="F855" s="24" t="s">
        <v>5443</v>
      </c>
      <c r="J855" s="214" t="s">
        <v>3690</v>
      </c>
      <c r="K855" s="10" t="s">
        <v>3685</v>
      </c>
      <c r="P855" s="37" t="s">
        <v>1603</v>
      </c>
      <c r="S855" s="10" t="s">
        <v>3412</v>
      </c>
      <c r="U855" s="21">
        <v>1</v>
      </c>
      <c r="V855" s="21">
        <v>4</v>
      </c>
      <c r="W855" s="73">
        <f t="shared" si="36"/>
        <v>302</v>
      </c>
      <c r="X855" s="80">
        <f t="shared" si="37"/>
        <v>1511</v>
      </c>
      <c r="Y855" s="82" t="s">
        <v>3584</v>
      </c>
    </row>
    <row r="856" spans="1:29" ht="15.45" customHeight="1" x14ac:dyDescent="0.25">
      <c r="A856" s="29" t="s">
        <v>1178</v>
      </c>
      <c r="C856" s="37" t="s">
        <v>1188</v>
      </c>
      <c r="E856" s="37" t="s">
        <v>2832</v>
      </c>
      <c r="F856" s="24" t="s">
        <v>5443</v>
      </c>
      <c r="J856" s="214" t="s">
        <v>3690</v>
      </c>
      <c r="K856" s="10" t="s">
        <v>3685</v>
      </c>
      <c r="P856" s="37" t="s">
        <v>1642</v>
      </c>
      <c r="S856" s="10" t="s">
        <v>3412</v>
      </c>
      <c r="U856" s="21">
        <v>1</v>
      </c>
      <c r="V856" s="21">
        <v>1</v>
      </c>
      <c r="W856" s="73">
        <f t="shared" si="36"/>
        <v>303</v>
      </c>
      <c r="X856" s="80">
        <f t="shared" si="37"/>
        <v>1512</v>
      </c>
      <c r="Y856" s="82" t="s">
        <v>3584</v>
      </c>
    </row>
    <row r="857" spans="1:29" ht="15.45" customHeight="1" x14ac:dyDescent="0.25">
      <c r="A857" s="29" t="s">
        <v>1179</v>
      </c>
      <c r="C857" s="37" t="s">
        <v>1188</v>
      </c>
      <c r="E857" s="37" t="s">
        <v>2832</v>
      </c>
      <c r="F857" s="24" t="s">
        <v>5443</v>
      </c>
      <c r="J857" s="214" t="s">
        <v>3690</v>
      </c>
      <c r="K857" s="10" t="s">
        <v>3685</v>
      </c>
      <c r="P857" s="37" t="s">
        <v>1642</v>
      </c>
      <c r="S857" s="10" t="s">
        <v>3412</v>
      </c>
      <c r="U857" s="21">
        <v>1</v>
      </c>
      <c r="V857" s="21">
        <v>1</v>
      </c>
      <c r="W857" s="73">
        <f t="shared" si="36"/>
        <v>304</v>
      </c>
      <c r="X857" s="80">
        <f t="shared" si="37"/>
        <v>1513</v>
      </c>
      <c r="Y857" s="82" t="s">
        <v>3584</v>
      </c>
    </row>
    <row r="858" spans="1:29" ht="15.45" customHeight="1" x14ac:dyDescent="0.25">
      <c r="A858" s="29" t="s">
        <v>36</v>
      </c>
      <c r="C858" s="37" t="s">
        <v>1188</v>
      </c>
      <c r="E858" s="37" t="s">
        <v>2832</v>
      </c>
      <c r="F858" s="24" t="s">
        <v>5443</v>
      </c>
      <c r="J858" s="214" t="s">
        <v>3690</v>
      </c>
      <c r="K858" s="10" t="s">
        <v>3685</v>
      </c>
      <c r="P858" s="37" t="s">
        <v>1642</v>
      </c>
      <c r="S858" s="10" t="s">
        <v>3412</v>
      </c>
      <c r="U858" s="21">
        <v>1</v>
      </c>
      <c r="V858" s="21">
        <v>1</v>
      </c>
      <c r="W858" s="73">
        <f t="shared" si="36"/>
        <v>305</v>
      </c>
      <c r="X858" s="80">
        <f t="shared" si="37"/>
        <v>1514</v>
      </c>
      <c r="Y858" s="82" t="s">
        <v>3584</v>
      </c>
    </row>
    <row r="859" spans="1:29" ht="15.45" customHeight="1" x14ac:dyDescent="0.25">
      <c r="A859" s="29" t="s">
        <v>959</v>
      </c>
      <c r="C859" s="37" t="s">
        <v>1188</v>
      </c>
      <c r="E859" s="37" t="s">
        <v>2832</v>
      </c>
      <c r="F859" s="24" t="s">
        <v>5443</v>
      </c>
      <c r="J859" s="214" t="s">
        <v>3690</v>
      </c>
      <c r="K859" s="10" t="s">
        <v>3685</v>
      </c>
      <c r="P859" s="37" t="s">
        <v>1642</v>
      </c>
      <c r="S859" s="10" t="s">
        <v>3412</v>
      </c>
      <c r="U859" s="21">
        <v>1</v>
      </c>
      <c r="V859" s="21">
        <v>2</v>
      </c>
      <c r="W859" s="73">
        <f t="shared" si="36"/>
        <v>307</v>
      </c>
      <c r="X859" s="80">
        <f t="shared" si="37"/>
        <v>1516</v>
      </c>
      <c r="Y859" s="82" t="s">
        <v>3584</v>
      </c>
    </row>
    <row r="860" spans="1:29" ht="15.45" customHeight="1" x14ac:dyDescent="0.25">
      <c r="A860" s="29" t="s">
        <v>938</v>
      </c>
      <c r="C860" s="37" t="s">
        <v>1188</v>
      </c>
      <c r="E860" s="37" t="s">
        <v>2832</v>
      </c>
      <c r="F860" s="24" t="s">
        <v>5443</v>
      </c>
      <c r="J860" s="214" t="s">
        <v>3690</v>
      </c>
      <c r="K860" s="10" t="s">
        <v>3685</v>
      </c>
      <c r="P860" s="37" t="s">
        <v>1642</v>
      </c>
      <c r="S860" s="10" t="s">
        <v>3412</v>
      </c>
      <c r="U860" s="21">
        <v>1</v>
      </c>
      <c r="V860" s="21">
        <v>1</v>
      </c>
      <c r="W860" s="73">
        <f t="shared" si="36"/>
        <v>308</v>
      </c>
      <c r="X860" s="80">
        <f t="shared" si="37"/>
        <v>1517</v>
      </c>
      <c r="Y860" s="82" t="s">
        <v>3584</v>
      </c>
    </row>
    <row r="861" spans="1:29" ht="15.45" customHeight="1" x14ac:dyDescent="0.25">
      <c r="A861" s="29" t="s">
        <v>6770</v>
      </c>
      <c r="C861" s="37" t="s">
        <v>1188</v>
      </c>
      <c r="E861" s="37" t="s">
        <v>2832</v>
      </c>
      <c r="F861" s="24" t="s">
        <v>6771</v>
      </c>
      <c r="J861" s="214" t="s">
        <v>3690</v>
      </c>
      <c r="K861" s="10" t="s">
        <v>3685</v>
      </c>
      <c r="P861" s="37" t="s">
        <v>1909</v>
      </c>
      <c r="S861" s="10" t="s">
        <v>3412</v>
      </c>
      <c r="U861" s="21">
        <v>1</v>
      </c>
      <c r="V861" s="21">
        <v>1</v>
      </c>
      <c r="W861" s="73">
        <f t="shared" si="36"/>
        <v>309</v>
      </c>
      <c r="X861" s="80">
        <f t="shared" si="37"/>
        <v>1518</v>
      </c>
      <c r="Y861" s="82" t="s">
        <v>3584</v>
      </c>
    </row>
    <row r="862" spans="1:29" ht="15.45" customHeight="1" x14ac:dyDescent="0.25">
      <c r="A862" s="29" t="s">
        <v>1802</v>
      </c>
      <c r="B862" s="24" t="s">
        <v>3978</v>
      </c>
      <c r="C862" s="37" t="s">
        <v>1188</v>
      </c>
      <c r="E862" s="37" t="s">
        <v>2832</v>
      </c>
      <c r="F862" s="24" t="s">
        <v>5443</v>
      </c>
      <c r="H862" s="38" t="s">
        <v>3979</v>
      </c>
      <c r="J862" s="214" t="s">
        <v>3690</v>
      </c>
      <c r="K862" s="10" t="s">
        <v>3685</v>
      </c>
      <c r="P862" s="37" t="s">
        <v>1642</v>
      </c>
      <c r="S862" s="10" t="s">
        <v>3412</v>
      </c>
      <c r="U862" s="21">
        <v>1</v>
      </c>
      <c r="V862" s="21">
        <v>1</v>
      </c>
      <c r="W862" s="73">
        <f t="shared" si="36"/>
        <v>310</v>
      </c>
      <c r="X862" s="80">
        <f t="shared" si="37"/>
        <v>1519</v>
      </c>
      <c r="Y862" s="82" t="s">
        <v>3584</v>
      </c>
    </row>
    <row r="863" spans="1:29" ht="15.45" customHeight="1" x14ac:dyDescent="0.25">
      <c r="A863" s="29" t="s">
        <v>1504</v>
      </c>
      <c r="B863" s="24" t="s">
        <v>3978</v>
      </c>
      <c r="C863" s="37" t="s">
        <v>1188</v>
      </c>
      <c r="E863" s="37" t="s">
        <v>2832</v>
      </c>
      <c r="F863" s="24" t="s">
        <v>5443</v>
      </c>
      <c r="H863" s="38" t="s">
        <v>7261</v>
      </c>
      <c r="J863" s="214" t="s">
        <v>3690</v>
      </c>
      <c r="K863" s="10" t="s">
        <v>3685</v>
      </c>
      <c r="P863" s="37" t="s">
        <v>1603</v>
      </c>
      <c r="S863" s="10" t="s">
        <v>3412</v>
      </c>
      <c r="U863" s="21">
        <v>1</v>
      </c>
      <c r="V863" s="21">
        <v>2</v>
      </c>
      <c r="W863" s="73">
        <f t="shared" si="36"/>
        <v>312</v>
      </c>
      <c r="X863" s="80">
        <f t="shared" si="37"/>
        <v>1521</v>
      </c>
      <c r="Y863" s="82" t="s">
        <v>3584</v>
      </c>
    </row>
    <row r="864" spans="1:29" ht="15.45" customHeight="1" x14ac:dyDescent="0.25">
      <c r="A864" s="29" t="s">
        <v>1803</v>
      </c>
      <c r="C864" s="37" t="s">
        <v>1188</v>
      </c>
      <c r="E864" s="37" t="s">
        <v>2832</v>
      </c>
      <c r="F864" s="24" t="s">
        <v>5443</v>
      </c>
      <c r="J864" s="214" t="s">
        <v>3690</v>
      </c>
      <c r="K864" s="10" t="s">
        <v>3685</v>
      </c>
      <c r="P864" s="37" t="s">
        <v>363</v>
      </c>
      <c r="S864" s="10" t="s">
        <v>3412</v>
      </c>
      <c r="U864" s="21">
        <v>1</v>
      </c>
      <c r="V864" s="21">
        <v>1</v>
      </c>
      <c r="W864" s="73">
        <f t="shared" si="36"/>
        <v>313</v>
      </c>
      <c r="X864" s="80">
        <f t="shared" si="37"/>
        <v>1522</v>
      </c>
      <c r="Y864" s="82" t="s">
        <v>3584</v>
      </c>
    </row>
    <row r="865" spans="1:37" ht="15.45" customHeight="1" x14ac:dyDescent="0.25">
      <c r="A865" s="29" t="s">
        <v>7009</v>
      </c>
      <c r="C865" s="37" t="s">
        <v>1188</v>
      </c>
      <c r="E865" s="37" t="s">
        <v>2832</v>
      </c>
      <c r="F865" s="24" t="s">
        <v>5443</v>
      </c>
      <c r="J865" s="214" t="s">
        <v>3690</v>
      </c>
      <c r="K865" s="10" t="s">
        <v>3685</v>
      </c>
      <c r="P865" s="37" t="s">
        <v>271</v>
      </c>
      <c r="S865" s="10" t="s">
        <v>3412</v>
      </c>
      <c r="U865" s="21">
        <v>1</v>
      </c>
      <c r="V865" s="21">
        <v>1</v>
      </c>
      <c r="W865" s="73">
        <f t="shared" si="36"/>
        <v>314</v>
      </c>
      <c r="X865" s="80">
        <f t="shared" si="37"/>
        <v>1523</v>
      </c>
      <c r="Y865" s="82" t="s">
        <v>3584</v>
      </c>
    </row>
    <row r="866" spans="1:37" ht="15.45" customHeight="1" x14ac:dyDescent="0.25">
      <c r="A866" s="29" t="s">
        <v>7009</v>
      </c>
      <c r="C866" s="37" t="s">
        <v>1188</v>
      </c>
      <c r="E866" s="37" t="s">
        <v>2832</v>
      </c>
      <c r="F866" s="24" t="s">
        <v>5443</v>
      </c>
      <c r="J866" s="214" t="s">
        <v>3690</v>
      </c>
      <c r="K866" s="10" t="s">
        <v>3685</v>
      </c>
      <c r="P866" s="37" t="s">
        <v>1603</v>
      </c>
      <c r="S866" s="10" t="s">
        <v>3412</v>
      </c>
      <c r="U866" s="21">
        <v>1</v>
      </c>
      <c r="V866" s="21">
        <v>1</v>
      </c>
      <c r="W866" s="73">
        <f t="shared" si="36"/>
        <v>315</v>
      </c>
      <c r="X866" s="80">
        <f t="shared" si="37"/>
        <v>1524</v>
      </c>
      <c r="Y866" s="82" t="s">
        <v>3584</v>
      </c>
    </row>
    <row r="867" spans="1:37" ht="15.45" customHeight="1" x14ac:dyDescent="0.25">
      <c r="A867" s="29" t="s">
        <v>1627</v>
      </c>
      <c r="C867" s="37" t="s">
        <v>1188</v>
      </c>
      <c r="E867" s="37" t="s">
        <v>2832</v>
      </c>
      <c r="F867" s="24" t="s">
        <v>5443</v>
      </c>
      <c r="J867" s="214" t="s">
        <v>3690</v>
      </c>
      <c r="K867" s="10" t="s">
        <v>3685</v>
      </c>
      <c r="P867" s="37" t="s">
        <v>1603</v>
      </c>
      <c r="S867" s="10" t="s">
        <v>3412</v>
      </c>
      <c r="U867" s="21">
        <v>1</v>
      </c>
      <c r="V867" s="21">
        <v>1</v>
      </c>
      <c r="W867" s="73">
        <f t="shared" si="36"/>
        <v>316</v>
      </c>
      <c r="X867" s="80">
        <f t="shared" si="37"/>
        <v>1525</v>
      </c>
      <c r="Y867" s="82" t="s">
        <v>3584</v>
      </c>
    </row>
    <row r="868" spans="1:37" ht="15.45" customHeight="1" x14ac:dyDescent="0.25">
      <c r="A868" s="29" t="s">
        <v>1495</v>
      </c>
      <c r="C868" s="37" t="s">
        <v>1188</v>
      </c>
      <c r="E868" s="37" t="s">
        <v>2832</v>
      </c>
      <c r="F868" s="24" t="s">
        <v>5443</v>
      </c>
      <c r="J868" s="214" t="s">
        <v>3690</v>
      </c>
      <c r="K868" s="10" t="s">
        <v>3685</v>
      </c>
      <c r="P868" s="37" t="s">
        <v>1603</v>
      </c>
      <c r="S868" s="10" t="s">
        <v>3412</v>
      </c>
      <c r="U868" s="21">
        <v>1</v>
      </c>
      <c r="V868" s="21">
        <v>1</v>
      </c>
      <c r="W868" s="73">
        <f t="shared" si="36"/>
        <v>317</v>
      </c>
      <c r="X868" s="80">
        <f t="shared" si="37"/>
        <v>1526</v>
      </c>
      <c r="Y868" s="82" t="s">
        <v>3584</v>
      </c>
    </row>
    <row r="869" spans="1:37" ht="15.45" customHeight="1" x14ac:dyDescent="0.25">
      <c r="A869" s="29" t="s">
        <v>967</v>
      </c>
      <c r="C869" s="37" t="s">
        <v>1188</v>
      </c>
      <c r="E869" s="37" t="s">
        <v>2832</v>
      </c>
      <c r="F869" s="24" t="s">
        <v>5443</v>
      </c>
      <c r="J869" s="214" t="s">
        <v>3690</v>
      </c>
      <c r="K869" s="10" t="s">
        <v>3685</v>
      </c>
      <c r="P869" s="37" t="s">
        <v>363</v>
      </c>
      <c r="S869" s="10" t="s">
        <v>3412</v>
      </c>
      <c r="U869" s="21">
        <v>1</v>
      </c>
      <c r="V869" s="21">
        <v>1</v>
      </c>
      <c r="W869" s="73">
        <f t="shared" si="36"/>
        <v>318</v>
      </c>
      <c r="X869" s="80">
        <f t="shared" si="37"/>
        <v>1527</v>
      </c>
      <c r="Y869" s="82" t="s">
        <v>3584</v>
      </c>
    </row>
    <row r="870" spans="1:37" ht="15.45" customHeight="1" x14ac:dyDescent="0.25">
      <c r="A870" s="29" t="s">
        <v>1073</v>
      </c>
      <c r="C870" s="37" t="s">
        <v>1188</v>
      </c>
      <c r="E870" s="37" t="s">
        <v>2832</v>
      </c>
      <c r="F870" s="24" t="s">
        <v>5443</v>
      </c>
      <c r="J870" s="214" t="s">
        <v>3690</v>
      </c>
      <c r="K870" s="10" t="s">
        <v>3685</v>
      </c>
      <c r="P870" s="37" t="s">
        <v>2074</v>
      </c>
      <c r="S870" s="10" t="s">
        <v>3412</v>
      </c>
      <c r="U870" s="21">
        <v>1</v>
      </c>
      <c r="V870" s="21">
        <v>1</v>
      </c>
      <c r="W870" s="73">
        <f t="shared" si="36"/>
        <v>319</v>
      </c>
      <c r="X870" s="80">
        <f t="shared" si="37"/>
        <v>1528</v>
      </c>
      <c r="Y870" s="82" t="s">
        <v>3584</v>
      </c>
    </row>
    <row r="871" spans="1:37" ht="15.45" customHeight="1" x14ac:dyDescent="0.25">
      <c r="A871" s="29" t="s">
        <v>3264</v>
      </c>
      <c r="C871" s="37" t="s">
        <v>1188</v>
      </c>
      <c r="E871" s="37" t="s">
        <v>2832</v>
      </c>
      <c r="F871" s="24" t="s">
        <v>5443</v>
      </c>
      <c r="J871" s="214" t="s">
        <v>3690</v>
      </c>
      <c r="K871" s="10" t="s">
        <v>3685</v>
      </c>
      <c r="P871" s="37" t="s">
        <v>1642</v>
      </c>
      <c r="S871" s="10" t="s">
        <v>3412</v>
      </c>
      <c r="U871" s="21">
        <v>1</v>
      </c>
      <c r="V871" s="21">
        <v>1</v>
      </c>
      <c r="W871" s="73">
        <f t="shared" si="36"/>
        <v>320</v>
      </c>
      <c r="X871" s="80">
        <f t="shared" si="37"/>
        <v>1529</v>
      </c>
      <c r="Y871" s="82" t="s">
        <v>3584</v>
      </c>
    </row>
    <row r="872" spans="1:37" ht="15.45" customHeight="1" x14ac:dyDescent="0.25">
      <c r="A872" s="29" t="s">
        <v>1147</v>
      </c>
      <c r="C872" s="37" t="s">
        <v>1188</v>
      </c>
      <c r="E872" s="37" t="s">
        <v>2832</v>
      </c>
      <c r="F872" s="24" t="s">
        <v>5443</v>
      </c>
      <c r="J872" s="214" t="s">
        <v>3690</v>
      </c>
      <c r="K872" s="10" t="s">
        <v>3685</v>
      </c>
      <c r="P872" s="37" t="s">
        <v>363</v>
      </c>
      <c r="S872" s="10" t="s">
        <v>3412</v>
      </c>
      <c r="U872" s="21">
        <v>1</v>
      </c>
      <c r="V872" s="21">
        <v>1</v>
      </c>
      <c r="W872" s="73">
        <f t="shared" si="36"/>
        <v>321</v>
      </c>
      <c r="X872" s="80">
        <f t="shared" si="37"/>
        <v>1530</v>
      </c>
      <c r="Y872" s="82" t="s">
        <v>3584</v>
      </c>
    </row>
    <row r="873" spans="1:37" ht="15.45" customHeight="1" x14ac:dyDescent="0.25">
      <c r="A873" s="29" t="s">
        <v>1407</v>
      </c>
      <c r="C873" s="37" t="s">
        <v>1188</v>
      </c>
      <c r="E873" s="37" t="s">
        <v>2832</v>
      </c>
      <c r="F873" s="24" t="s">
        <v>5443</v>
      </c>
      <c r="J873" s="214" t="s">
        <v>3690</v>
      </c>
      <c r="K873" s="10" t="s">
        <v>3685</v>
      </c>
      <c r="P873" s="37" t="s">
        <v>1603</v>
      </c>
      <c r="S873" s="10" t="s">
        <v>3412</v>
      </c>
      <c r="U873" s="21">
        <v>1</v>
      </c>
      <c r="V873" s="21">
        <v>1</v>
      </c>
      <c r="W873" s="73">
        <f t="shared" si="36"/>
        <v>322</v>
      </c>
      <c r="X873" s="80">
        <f t="shared" si="37"/>
        <v>1531</v>
      </c>
      <c r="Y873" s="82" t="s">
        <v>3584</v>
      </c>
    </row>
    <row r="874" spans="1:37" ht="15.45" customHeight="1" x14ac:dyDescent="0.25">
      <c r="A874" s="29" t="s">
        <v>1247</v>
      </c>
      <c r="C874" s="37" t="s">
        <v>1188</v>
      </c>
      <c r="E874" s="37" t="s">
        <v>2832</v>
      </c>
      <c r="F874" s="24" t="s">
        <v>5443</v>
      </c>
      <c r="J874" s="214" t="s">
        <v>3690</v>
      </c>
      <c r="K874" s="10" t="s">
        <v>3685</v>
      </c>
      <c r="P874" s="37" t="s">
        <v>1642</v>
      </c>
      <c r="S874" s="10" t="s">
        <v>3412</v>
      </c>
      <c r="U874" s="21">
        <v>1</v>
      </c>
      <c r="V874" s="21">
        <v>1</v>
      </c>
      <c r="W874" s="73">
        <f t="shared" si="36"/>
        <v>323</v>
      </c>
      <c r="X874" s="80">
        <f t="shared" si="37"/>
        <v>1532</v>
      </c>
      <c r="Y874" s="82" t="s">
        <v>3584</v>
      </c>
    </row>
    <row r="875" spans="1:37" ht="15.45" customHeight="1" x14ac:dyDescent="0.25">
      <c r="A875" s="31" t="s">
        <v>1372</v>
      </c>
      <c r="B875" s="24" t="s">
        <v>4499</v>
      </c>
      <c r="C875" s="37" t="s">
        <v>1188</v>
      </c>
      <c r="E875" s="37" t="s">
        <v>2832</v>
      </c>
      <c r="F875" s="24" t="s">
        <v>5443</v>
      </c>
      <c r="H875" s="39"/>
      <c r="J875" s="214" t="s">
        <v>3690</v>
      </c>
      <c r="K875" s="10" t="s">
        <v>3685</v>
      </c>
      <c r="P875" s="37" t="s">
        <v>1603</v>
      </c>
      <c r="S875" s="10" t="s">
        <v>3412</v>
      </c>
      <c r="T875" s="11"/>
      <c r="U875" s="21">
        <v>1</v>
      </c>
      <c r="V875" s="21">
        <v>2</v>
      </c>
      <c r="W875" s="73">
        <f t="shared" si="36"/>
        <v>325</v>
      </c>
      <c r="X875" s="80">
        <f t="shared" si="37"/>
        <v>1534</v>
      </c>
      <c r="Y875" s="82" t="s">
        <v>3584</v>
      </c>
      <c r="AF875" s="11"/>
      <c r="AG875" s="11"/>
      <c r="AH875" s="11"/>
      <c r="AI875" s="11"/>
      <c r="AJ875" s="11"/>
      <c r="AK875" s="11"/>
    </row>
    <row r="876" spans="1:37" ht="15.45" customHeight="1" x14ac:dyDescent="0.25">
      <c r="A876" s="31" t="s">
        <v>4497</v>
      </c>
      <c r="B876" s="24" t="s">
        <v>4499</v>
      </c>
      <c r="C876" s="37" t="s">
        <v>1188</v>
      </c>
      <c r="E876" s="37" t="s">
        <v>2929</v>
      </c>
      <c r="F876" s="24" t="s">
        <v>5443</v>
      </c>
      <c r="H876" s="201" t="s">
        <v>4498</v>
      </c>
      <c r="J876" s="214" t="s">
        <v>6014</v>
      </c>
      <c r="P876" s="37" t="s">
        <v>1603</v>
      </c>
      <c r="S876" s="10" t="s">
        <v>3412</v>
      </c>
      <c r="T876" s="11"/>
      <c r="U876" s="21">
        <v>1</v>
      </c>
      <c r="V876" s="21">
        <v>3</v>
      </c>
      <c r="W876" s="73">
        <f t="shared" si="36"/>
        <v>328</v>
      </c>
      <c r="X876" s="80">
        <f t="shared" si="37"/>
        <v>1537</v>
      </c>
      <c r="Y876" s="82" t="s">
        <v>3591</v>
      </c>
      <c r="Z876" s="24" t="s">
        <v>2885</v>
      </c>
      <c r="AB876" s="177">
        <v>43453</v>
      </c>
      <c r="AC876" s="84" t="s">
        <v>2885</v>
      </c>
      <c r="AF876" s="11"/>
      <c r="AG876" s="11"/>
      <c r="AH876" s="11"/>
      <c r="AI876" s="11"/>
      <c r="AJ876" s="11"/>
      <c r="AK876" s="11"/>
    </row>
    <row r="877" spans="1:37" ht="15.45" customHeight="1" x14ac:dyDescent="0.25">
      <c r="A877" s="29" t="s">
        <v>1639</v>
      </c>
      <c r="C877" s="37" t="s">
        <v>1188</v>
      </c>
      <c r="E877" s="37" t="s">
        <v>2832</v>
      </c>
      <c r="F877" s="24" t="s">
        <v>5443</v>
      </c>
      <c r="J877" s="214" t="s">
        <v>3690</v>
      </c>
      <c r="K877" s="10" t="s">
        <v>3685</v>
      </c>
      <c r="P877" s="37" t="s">
        <v>1603</v>
      </c>
      <c r="S877" s="10" t="s">
        <v>3412</v>
      </c>
      <c r="U877" s="21">
        <v>1</v>
      </c>
      <c r="V877" s="21">
        <v>3</v>
      </c>
      <c r="W877" s="73">
        <f t="shared" si="36"/>
        <v>331</v>
      </c>
      <c r="X877" s="80">
        <f t="shared" si="37"/>
        <v>1540</v>
      </c>
      <c r="Y877" s="82" t="s">
        <v>3584</v>
      </c>
    </row>
    <row r="878" spans="1:37" ht="15.45" customHeight="1" x14ac:dyDescent="0.25">
      <c r="A878" s="29" t="s">
        <v>7015</v>
      </c>
      <c r="C878" s="37" t="s">
        <v>1188</v>
      </c>
      <c r="E878" s="37" t="s">
        <v>2832</v>
      </c>
      <c r="F878" s="24" t="s">
        <v>5443</v>
      </c>
      <c r="H878" s="38" t="s">
        <v>6578</v>
      </c>
      <c r="I878" s="111" t="s">
        <v>3973</v>
      </c>
      <c r="J878" s="214" t="s">
        <v>3690</v>
      </c>
      <c r="K878" s="10" t="s">
        <v>3685</v>
      </c>
      <c r="P878" s="37" t="s">
        <v>1642</v>
      </c>
      <c r="S878" s="10" t="s">
        <v>2980</v>
      </c>
      <c r="T878" s="10" t="s">
        <v>6577</v>
      </c>
      <c r="U878" s="21">
        <v>1</v>
      </c>
      <c r="V878" s="21">
        <v>1</v>
      </c>
      <c r="W878" s="73">
        <f t="shared" si="36"/>
        <v>332</v>
      </c>
      <c r="X878" s="80">
        <f t="shared" si="37"/>
        <v>1541</v>
      </c>
      <c r="Y878" s="82" t="s">
        <v>3584</v>
      </c>
    </row>
    <row r="879" spans="1:37" ht="15.45" customHeight="1" x14ac:dyDescent="0.25">
      <c r="A879" s="29" t="s">
        <v>1663</v>
      </c>
      <c r="C879" s="37" t="s">
        <v>1188</v>
      </c>
      <c r="E879" s="37" t="s">
        <v>2832</v>
      </c>
      <c r="F879" s="24" t="s">
        <v>5443</v>
      </c>
      <c r="H879" s="38" t="s">
        <v>6579</v>
      </c>
      <c r="J879" s="214" t="s">
        <v>3690</v>
      </c>
      <c r="K879" s="10" t="s">
        <v>3685</v>
      </c>
      <c r="P879" s="37" t="s">
        <v>6572</v>
      </c>
      <c r="S879" s="10" t="s">
        <v>3412</v>
      </c>
      <c r="U879" s="21">
        <v>1</v>
      </c>
      <c r="V879" s="22">
        <v>3</v>
      </c>
      <c r="W879" s="73">
        <f t="shared" si="36"/>
        <v>335</v>
      </c>
      <c r="X879" s="80">
        <f t="shared" si="37"/>
        <v>1544</v>
      </c>
      <c r="Y879" s="82" t="s">
        <v>3591</v>
      </c>
      <c r="Z879" s="24" t="s">
        <v>2889</v>
      </c>
    </row>
    <row r="880" spans="1:37" ht="15.45" customHeight="1" x14ac:dyDescent="0.25">
      <c r="A880" s="29" t="s">
        <v>7010</v>
      </c>
      <c r="C880" s="37" t="s">
        <v>1188</v>
      </c>
      <c r="E880" s="37" t="s">
        <v>2832</v>
      </c>
      <c r="F880" s="24" t="s">
        <v>5443</v>
      </c>
      <c r="J880" s="214" t="s">
        <v>3690</v>
      </c>
      <c r="K880" s="10" t="s">
        <v>3685</v>
      </c>
      <c r="P880" s="37" t="s">
        <v>53</v>
      </c>
      <c r="S880" s="10" t="s">
        <v>3412</v>
      </c>
      <c r="U880" s="21">
        <v>1</v>
      </c>
      <c r="V880" s="21">
        <v>2</v>
      </c>
      <c r="W880" s="73">
        <f t="shared" si="36"/>
        <v>337</v>
      </c>
      <c r="X880" s="80">
        <f t="shared" si="37"/>
        <v>1546</v>
      </c>
      <c r="Y880" s="82" t="s">
        <v>3584</v>
      </c>
    </row>
    <row r="881" spans="1:29" ht="15.45" customHeight="1" x14ac:dyDescent="0.25">
      <c r="A881" s="29" t="s">
        <v>1516</v>
      </c>
      <c r="C881" s="37" t="s">
        <v>1188</v>
      </c>
      <c r="E881" s="37" t="s">
        <v>2832</v>
      </c>
      <c r="F881" s="24" t="s">
        <v>5443</v>
      </c>
      <c r="J881" s="214" t="s">
        <v>3690</v>
      </c>
      <c r="K881" s="10" t="s">
        <v>3685</v>
      </c>
      <c r="P881" s="37" t="s">
        <v>1603</v>
      </c>
      <c r="S881" s="10" t="s">
        <v>3412</v>
      </c>
      <c r="U881" s="21">
        <v>1</v>
      </c>
      <c r="V881" s="21">
        <v>2</v>
      </c>
      <c r="W881" s="73">
        <f t="shared" si="36"/>
        <v>339</v>
      </c>
      <c r="X881" s="80">
        <f t="shared" si="37"/>
        <v>1548</v>
      </c>
      <c r="Y881" s="82" t="s">
        <v>3584</v>
      </c>
    </row>
    <row r="882" spans="1:29" ht="15.45" customHeight="1" x14ac:dyDescent="0.25">
      <c r="A882" s="29" t="s">
        <v>1630</v>
      </c>
      <c r="C882" s="37" t="s">
        <v>1188</v>
      </c>
      <c r="E882" s="37" t="s">
        <v>2832</v>
      </c>
      <c r="F882" s="24" t="s">
        <v>5443</v>
      </c>
      <c r="J882" s="214" t="s">
        <v>3690</v>
      </c>
      <c r="K882" s="10" t="s">
        <v>3685</v>
      </c>
      <c r="P882" s="37" t="s">
        <v>1603</v>
      </c>
      <c r="S882" s="10" t="s">
        <v>3412</v>
      </c>
      <c r="U882" s="21">
        <v>1</v>
      </c>
      <c r="V882" s="21">
        <v>4</v>
      </c>
      <c r="W882" s="73">
        <f t="shared" si="36"/>
        <v>343</v>
      </c>
      <c r="X882" s="80">
        <f t="shared" si="37"/>
        <v>1552</v>
      </c>
      <c r="Y882" s="82" t="s">
        <v>3584</v>
      </c>
    </row>
    <row r="883" spans="1:29" ht="15.45" customHeight="1" x14ac:dyDescent="0.25">
      <c r="A883" s="29" t="s">
        <v>7014</v>
      </c>
      <c r="C883" s="37" t="s">
        <v>1188</v>
      </c>
      <c r="E883" s="37" t="s">
        <v>2832</v>
      </c>
      <c r="F883" s="24" t="s">
        <v>5443</v>
      </c>
      <c r="J883" s="214" t="s">
        <v>3690</v>
      </c>
      <c r="K883" s="10" t="s">
        <v>3685</v>
      </c>
      <c r="P883" s="37" t="s">
        <v>1603</v>
      </c>
      <c r="S883" s="10" t="s">
        <v>3412</v>
      </c>
      <c r="U883" s="21">
        <v>1</v>
      </c>
      <c r="V883" s="21">
        <v>3</v>
      </c>
      <c r="W883" s="73">
        <f t="shared" si="36"/>
        <v>346</v>
      </c>
      <c r="X883" s="80">
        <f t="shared" si="37"/>
        <v>1555</v>
      </c>
      <c r="Y883" s="82" t="s">
        <v>3584</v>
      </c>
    </row>
    <row r="884" spans="1:29" ht="15.45" customHeight="1" x14ac:dyDescent="0.25">
      <c r="A884" s="29" t="s">
        <v>1411</v>
      </c>
      <c r="C884" s="37" t="s">
        <v>1188</v>
      </c>
      <c r="E884" s="37" t="s">
        <v>2832</v>
      </c>
      <c r="F884" s="24" t="s">
        <v>5443</v>
      </c>
      <c r="J884" s="214" t="s">
        <v>3690</v>
      </c>
      <c r="K884" s="10" t="s">
        <v>3685</v>
      </c>
      <c r="P884" s="37" t="s">
        <v>1603</v>
      </c>
      <c r="S884" s="10" t="s">
        <v>3412</v>
      </c>
      <c r="U884" s="21">
        <v>1</v>
      </c>
      <c r="V884" s="21">
        <v>1</v>
      </c>
      <c r="W884" s="73">
        <f t="shared" si="36"/>
        <v>347</v>
      </c>
      <c r="X884" s="80">
        <f t="shared" si="37"/>
        <v>1556</v>
      </c>
      <c r="Y884" s="82" t="s">
        <v>3584</v>
      </c>
    </row>
    <row r="885" spans="1:29" ht="15.45" customHeight="1" x14ac:dyDescent="0.25">
      <c r="A885" s="29" t="s">
        <v>1750</v>
      </c>
      <c r="C885" s="37" t="s">
        <v>1188</v>
      </c>
      <c r="E885" s="37" t="s">
        <v>2832</v>
      </c>
      <c r="F885" s="24" t="s">
        <v>5443</v>
      </c>
      <c r="J885" s="214" t="s">
        <v>3690</v>
      </c>
      <c r="K885" s="10" t="s">
        <v>3685</v>
      </c>
      <c r="P885" s="37" t="s">
        <v>1603</v>
      </c>
      <c r="S885" s="10" t="s">
        <v>3412</v>
      </c>
      <c r="U885" s="21">
        <v>1</v>
      </c>
      <c r="V885" s="21">
        <v>1</v>
      </c>
      <c r="W885" s="73">
        <f t="shared" si="36"/>
        <v>348</v>
      </c>
      <c r="X885" s="80">
        <f t="shared" si="37"/>
        <v>1557</v>
      </c>
      <c r="Y885" s="82" t="s">
        <v>3584</v>
      </c>
    </row>
    <row r="886" spans="1:29" ht="15.45" customHeight="1" x14ac:dyDescent="0.25">
      <c r="A886" s="29" t="s">
        <v>1544</v>
      </c>
      <c r="C886" s="37" t="s">
        <v>1188</v>
      </c>
      <c r="E886" s="37" t="s">
        <v>2832</v>
      </c>
      <c r="F886" s="24" t="s">
        <v>5443</v>
      </c>
      <c r="J886" s="214" t="s">
        <v>3690</v>
      </c>
      <c r="K886" s="10" t="s">
        <v>3685</v>
      </c>
      <c r="P886" s="37" t="s">
        <v>207</v>
      </c>
      <c r="S886" s="10" t="s">
        <v>3412</v>
      </c>
      <c r="U886" s="21">
        <v>1</v>
      </c>
      <c r="V886" s="21">
        <v>2</v>
      </c>
      <c r="W886" s="73">
        <f t="shared" si="36"/>
        <v>350</v>
      </c>
      <c r="X886" s="80">
        <f t="shared" si="37"/>
        <v>1559</v>
      </c>
      <c r="Y886" s="82" t="s">
        <v>3584</v>
      </c>
    </row>
    <row r="887" spans="1:29" ht="15.45" customHeight="1" x14ac:dyDescent="0.25">
      <c r="A887" s="29" t="s">
        <v>1528</v>
      </c>
      <c r="C887" s="37" t="s">
        <v>1188</v>
      </c>
      <c r="E887" s="37" t="s">
        <v>2832</v>
      </c>
      <c r="F887" s="24" t="s">
        <v>5443</v>
      </c>
      <c r="J887" s="214" t="s">
        <v>3690</v>
      </c>
      <c r="K887" s="10" t="s">
        <v>3685</v>
      </c>
      <c r="P887" s="37" t="s">
        <v>1909</v>
      </c>
      <c r="S887" s="10" t="s">
        <v>3412</v>
      </c>
      <c r="U887" s="21">
        <v>1</v>
      </c>
      <c r="V887" s="21">
        <v>1</v>
      </c>
      <c r="W887" s="73">
        <f t="shared" si="36"/>
        <v>351</v>
      </c>
      <c r="X887" s="80">
        <f t="shared" si="37"/>
        <v>1560</v>
      </c>
      <c r="Y887" s="82" t="s">
        <v>3584</v>
      </c>
    </row>
    <row r="888" spans="1:29" ht="15.45" customHeight="1" x14ac:dyDescent="0.25">
      <c r="A888" s="29" t="s">
        <v>1422</v>
      </c>
      <c r="C888" s="37" t="s">
        <v>1188</v>
      </c>
      <c r="E888" s="37" t="s">
        <v>2832</v>
      </c>
      <c r="F888" s="24" t="s">
        <v>5443</v>
      </c>
      <c r="J888" s="214" t="s">
        <v>3690</v>
      </c>
      <c r="K888" s="10" t="s">
        <v>3685</v>
      </c>
      <c r="P888" s="37" t="s">
        <v>1603</v>
      </c>
      <c r="S888" s="10" t="s">
        <v>3412</v>
      </c>
      <c r="U888" s="21">
        <v>1</v>
      </c>
      <c r="V888" s="21">
        <v>1</v>
      </c>
      <c r="W888" s="73">
        <f t="shared" si="36"/>
        <v>352</v>
      </c>
      <c r="X888" s="80">
        <f t="shared" si="37"/>
        <v>1561</v>
      </c>
      <c r="Y888" s="82" t="s">
        <v>3584</v>
      </c>
    </row>
    <row r="889" spans="1:29" ht="15.45" customHeight="1" x14ac:dyDescent="0.25">
      <c r="A889" s="29" t="s">
        <v>1749</v>
      </c>
      <c r="C889" s="37" t="s">
        <v>1188</v>
      </c>
      <c r="E889" s="37" t="s">
        <v>2832</v>
      </c>
      <c r="F889" s="24" t="s">
        <v>5443</v>
      </c>
      <c r="H889" s="38" t="s">
        <v>3764</v>
      </c>
      <c r="J889" s="214" t="s">
        <v>3690</v>
      </c>
      <c r="K889" s="10" t="s">
        <v>3685</v>
      </c>
      <c r="P889" s="37" t="s">
        <v>53</v>
      </c>
      <c r="S889" s="10" t="s">
        <v>3412</v>
      </c>
      <c r="U889" s="21">
        <v>1</v>
      </c>
      <c r="V889" s="21">
        <v>1</v>
      </c>
      <c r="W889" s="73">
        <f t="shared" si="36"/>
        <v>353</v>
      </c>
      <c r="X889" s="80">
        <f t="shared" si="37"/>
        <v>1562</v>
      </c>
      <c r="Y889" s="82" t="s">
        <v>3584</v>
      </c>
    </row>
    <row r="890" spans="1:29" ht="15.45" customHeight="1" x14ac:dyDescent="0.25">
      <c r="A890" s="29" t="s">
        <v>939</v>
      </c>
      <c r="C890" s="37" t="s">
        <v>1188</v>
      </c>
      <c r="E890" s="37" t="s">
        <v>2832</v>
      </c>
      <c r="F890" s="24" t="s">
        <v>5443</v>
      </c>
      <c r="J890" s="214" t="s">
        <v>3690</v>
      </c>
      <c r="K890" s="10" t="s">
        <v>3685</v>
      </c>
      <c r="P890" s="37" t="s">
        <v>1642</v>
      </c>
      <c r="S890" s="10" t="s">
        <v>3412</v>
      </c>
      <c r="U890" s="21">
        <v>1</v>
      </c>
      <c r="V890" s="21">
        <v>1</v>
      </c>
      <c r="W890" s="73">
        <f t="shared" si="36"/>
        <v>354</v>
      </c>
      <c r="X890" s="80">
        <f t="shared" si="37"/>
        <v>1563</v>
      </c>
      <c r="Y890" s="82" t="s">
        <v>3584</v>
      </c>
    </row>
    <row r="891" spans="1:29" ht="15.45" customHeight="1" x14ac:dyDescent="0.25">
      <c r="A891" s="29" t="s">
        <v>1269</v>
      </c>
      <c r="C891" s="37" t="s">
        <v>1188</v>
      </c>
      <c r="E891" s="37" t="s">
        <v>2832</v>
      </c>
      <c r="F891" s="24" t="s">
        <v>5443</v>
      </c>
      <c r="J891" s="214" t="s">
        <v>3690</v>
      </c>
      <c r="K891" s="10" t="s">
        <v>3685</v>
      </c>
      <c r="P891" s="37" t="s">
        <v>1603</v>
      </c>
      <c r="S891" s="10" t="s">
        <v>3412</v>
      </c>
      <c r="U891" s="21">
        <v>1</v>
      </c>
      <c r="V891" s="21">
        <v>3</v>
      </c>
      <c r="W891" s="73">
        <f t="shared" si="36"/>
        <v>357</v>
      </c>
      <c r="X891" s="80">
        <f t="shared" si="37"/>
        <v>1566</v>
      </c>
      <c r="Y891" s="82" t="s">
        <v>3584</v>
      </c>
    </row>
    <row r="892" spans="1:29" ht="15.45" customHeight="1" x14ac:dyDescent="0.25">
      <c r="A892" s="29" t="s">
        <v>5819</v>
      </c>
      <c r="C892" s="37" t="s">
        <v>1188</v>
      </c>
      <c r="E892" s="37" t="s">
        <v>2832</v>
      </c>
      <c r="F892" s="24" t="s">
        <v>5443</v>
      </c>
      <c r="J892" s="214" t="s">
        <v>5305</v>
      </c>
      <c r="O892" s="37" t="s">
        <v>1463</v>
      </c>
      <c r="P892" s="37" t="s">
        <v>1603</v>
      </c>
      <c r="S892" s="10" t="s">
        <v>3412</v>
      </c>
      <c r="U892" s="21">
        <v>1</v>
      </c>
      <c r="V892" s="21">
        <v>1</v>
      </c>
      <c r="W892" s="73">
        <f t="shared" si="36"/>
        <v>358</v>
      </c>
      <c r="X892" s="80">
        <f t="shared" si="37"/>
        <v>1567</v>
      </c>
      <c r="Y892" s="82" t="s">
        <v>3591</v>
      </c>
      <c r="Z892" s="24" t="s">
        <v>2885</v>
      </c>
      <c r="AB892" s="177">
        <v>44383</v>
      </c>
      <c r="AC892" s="84" t="s">
        <v>5308</v>
      </c>
    </row>
    <row r="893" spans="1:29" ht="15.45" customHeight="1" x14ac:dyDescent="0.25">
      <c r="A893" s="29" t="s">
        <v>933</v>
      </c>
      <c r="C893" s="37" t="s">
        <v>1188</v>
      </c>
      <c r="E893" s="37" t="s">
        <v>2832</v>
      </c>
      <c r="F893" s="24" t="s">
        <v>5443</v>
      </c>
      <c r="J893" s="214" t="s">
        <v>3690</v>
      </c>
      <c r="K893" s="10" t="s">
        <v>3685</v>
      </c>
      <c r="P893" s="37" t="s">
        <v>1603</v>
      </c>
      <c r="S893" s="10" t="s">
        <v>3412</v>
      </c>
      <c r="U893" s="21">
        <v>1</v>
      </c>
      <c r="V893" s="21">
        <v>1</v>
      </c>
      <c r="W893" s="73">
        <f t="shared" si="36"/>
        <v>359</v>
      </c>
      <c r="X893" s="80">
        <f t="shared" si="37"/>
        <v>1568</v>
      </c>
      <c r="Y893" s="82" t="s">
        <v>3584</v>
      </c>
    </row>
    <row r="894" spans="1:29" ht="15.45" customHeight="1" x14ac:dyDescent="0.25">
      <c r="A894" s="29" t="s">
        <v>3263</v>
      </c>
      <c r="C894" s="37" t="s">
        <v>1188</v>
      </c>
      <c r="E894" s="37" t="s">
        <v>2832</v>
      </c>
      <c r="F894" s="24" t="s">
        <v>5443</v>
      </c>
      <c r="J894" s="214" t="s">
        <v>3690</v>
      </c>
      <c r="K894" s="10" t="s">
        <v>3685</v>
      </c>
      <c r="P894" s="37" t="s">
        <v>2066</v>
      </c>
      <c r="S894" s="10" t="s">
        <v>3412</v>
      </c>
      <c r="U894" s="21">
        <v>1</v>
      </c>
      <c r="V894" s="21">
        <v>1</v>
      </c>
      <c r="W894" s="73">
        <f t="shared" si="36"/>
        <v>360</v>
      </c>
      <c r="X894" s="80">
        <f t="shared" si="37"/>
        <v>1569</v>
      </c>
      <c r="Y894" s="82" t="s">
        <v>3584</v>
      </c>
    </row>
    <row r="895" spans="1:29" ht="15.45" customHeight="1" x14ac:dyDescent="0.25">
      <c r="A895" s="29" t="s">
        <v>1351</v>
      </c>
      <c r="C895" s="37" t="s">
        <v>1188</v>
      </c>
      <c r="E895" s="37" t="s">
        <v>2832</v>
      </c>
      <c r="F895" s="24" t="s">
        <v>5443</v>
      </c>
      <c r="J895" s="214" t="s">
        <v>3690</v>
      </c>
      <c r="K895" s="10" t="s">
        <v>3685</v>
      </c>
      <c r="P895" s="37" t="s">
        <v>1792</v>
      </c>
      <c r="S895" s="10" t="s">
        <v>3412</v>
      </c>
      <c r="U895" s="21">
        <v>2</v>
      </c>
      <c r="V895" s="21">
        <v>2</v>
      </c>
      <c r="W895" s="73">
        <f t="shared" si="36"/>
        <v>362</v>
      </c>
      <c r="X895" s="80">
        <f t="shared" si="37"/>
        <v>1571</v>
      </c>
      <c r="Y895" s="82" t="s">
        <v>3584</v>
      </c>
    </row>
    <row r="896" spans="1:29" ht="15.45" customHeight="1" x14ac:dyDescent="0.25">
      <c r="A896" s="29" t="s">
        <v>1713</v>
      </c>
      <c r="C896" s="37" t="s">
        <v>1188</v>
      </c>
      <c r="E896" s="37" t="s">
        <v>2832</v>
      </c>
      <c r="F896" s="24" t="s">
        <v>5443</v>
      </c>
      <c r="J896" s="214" t="s">
        <v>3690</v>
      </c>
      <c r="K896" s="10" t="s">
        <v>3685</v>
      </c>
      <c r="P896" s="37" t="s">
        <v>1863</v>
      </c>
      <c r="S896" s="10" t="s">
        <v>3412</v>
      </c>
      <c r="U896" s="21">
        <v>1</v>
      </c>
      <c r="V896" s="21">
        <v>1</v>
      </c>
      <c r="W896" s="73">
        <f t="shared" si="36"/>
        <v>363</v>
      </c>
      <c r="X896" s="80">
        <f t="shared" si="37"/>
        <v>1572</v>
      </c>
      <c r="Y896" s="82" t="s">
        <v>3584</v>
      </c>
    </row>
    <row r="897" spans="1:25" ht="15.45" customHeight="1" x14ac:dyDescent="0.25">
      <c r="A897" s="29" t="s">
        <v>1035</v>
      </c>
      <c r="C897" s="37" t="s">
        <v>1188</v>
      </c>
      <c r="E897" s="37" t="s">
        <v>2832</v>
      </c>
      <c r="F897" s="24" t="s">
        <v>5443</v>
      </c>
      <c r="J897" s="214" t="s">
        <v>3690</v>
      </c>
      <c r="K897" s="10" t="s">
        <v>3685</v>
      </c>
      <c r="P897" s="37" t="s">
        <v>1863</v>
      </c>
      <c r="S897" s="10" t="s">
        <v>3412</v>
      </c>
      <c r="U897" s="21">
        <v>1</v>
      </c>
      <c r="V897" s="21">
        <v>1</v>
      </c>
      <c r="W897" s="73">
        <f t="shared" si="36"/>
        <v>364</v>
      </c>
      <c r="X897" s="80">
        <f t="shared" si="37"/>
        <v>1573</v>
      </c>
      <c r="Y897" s="82" t="s">
        <v>3584</v>
      </c>
    </row>
    <row r="898" spans="1:25" ht="15.45" customHeight="1" x14ac:dyDescent="0.25">
      <c r="A898" s="29" t="s">
        <v>3271</v>
      </c>
      <c r="C898" s="37" t="s">
        <v>1188</v>
      </c>
      <c r="E898" s="37" t="s">
        <v>2832</v>
      </c>
      <c r="F898" s="24" t="s">
        <v>5443</v>
      </c>
      <c r="J898" s="214" t="s">
        <v>3690</v>
      </c>
      <c r="K898" s="10" t="s">
        <v>3685</v>
      </c>
      <c r="P898" s="37" t="s">
        <v>1870</v>
      </c>
      <c r="S898" s="10" t="s">
        <v>3412</v>
      </c>
      <c r="U898" s="21">
        <v>1</v>
      </c>
      <c r="V898" s="21">
        <v>1</v>
      </c>
      <c r="W898" s="73">
        <f t="shared" si="36"/>
        <v>365</v>
      </c>
      <c r="X898" s="80">
        <f t="shared" si="37"/>
        <v>1574</v>
      </c>
      <c r="Y898" s="82" t="s">
        <v>3584</v>
      </c>
    </row>
    <row r="899" spans="1:25" ht="15.45" customHeight="1" x14ac:dyDescent="0.25">
      <c r="A899" s="29" t="s">
        <v>1203</v>
      </c>
      <c r="C899" s="37" t="s">
        <v>1188</v>
      </c>
      <c r="E899" s="37" t="s">
        <v>2832</v>
      </c>
      <c r="F899" s="24" t="s">
        <v>5443</v>
      </c>
      <c r="H899" s="38" t="s">
        <v>7013</v>
      </c>
      <c r="J899" s="214" t="s">
        <v>3690</v>
      </c>
      <c r="K899" s="10" t="s">
        <v>3685</v>
      </c>
      <c r="P899" s="37" t="s">
        <v>1642</v>
      </c>
      <c r="S899" s="10" t="s">
        <v>3412</v>
      </c>
      <c r="U899" s="21">
        <v>2</v>
      </c>
      <c r="V899" s="21">
        <v>2</v>
      </c>
      <c r="W899" s="73">
        <f t="shared" si="36"/>
        <v>367</v>
      </c>
      <c r="X899" s="80">
        <f t="shared" si="37"/>
        <v>1576</v>
      </c>
      <c r="Y899" s="82" t="s">
        <v>3584</v>
      </c>
    </row>
    <row r="900" spans="1:25" ht="15.45" customHeight="1" x14ac:dyDescent="0.25">
      <c r="A900" s="29" t="s">
        <v>4994</v>
      </c>
      <c r="C900" s="37" t="s">
        <v>1188</v>
      </c>
      <c r="E900" s="37" t="s">
        <v>2832</v>
      </c>
      <c r="F900" s="24" t="s">
        <v>5443</v>
      </c>
      <c r="J900" s="214" t="s">
        <v>3690</v>
      </c>
      <c r="K900" s="10" t="s">
        <v>3685</v>
      </c>
      <c r="P900" s="37" t="s">
        <v>1861</v>
      </c>
      <c r="S900" s="10" t="s">
        <v>3412</v>
      </c>
      <c r="U900" s="21">
        <v>3</v>
      </c>
      <c r="V900" s="21">
        <v>3</v>
      </c>
      <c r="W900" s="73">
        <f t="shared" si="36"/>
        <v>370</v>
      </c>
      <c r="X900" s="80">
        <f t="shared" si="37"/>
        <v>1579</v>
      </c>
      <c r="Y900" s="82" t="s">
        <v>3584</v>
      </c>
    </row>
    <row r="901" spans="1:25" ht="15.45" customHeight="1" x14ac:dyDescent="0.25">
      <c r="A901" s="29" t="s">
        <v>1383</v>
      </c>
      <c r="C901" s="37" t="s">
        <v>1188</v>
      </c>
      <c r="E901" s="37" t="s">
        <v>2832</v>
      </c>
      <c r="F901" s="24" t="s">
        <v>5443</v>
      </c>
      <c r="J901" s="214" t="s">
        <v>3690</v>
      </c>
      <c r="K901" s="10" t="s">
        <v>3685</v>
      </c>
      <c r="P901" s="37" t="s">
        <v>1748</v>
      </c>
      <c r="S901" s="10" t="s">
        <v>3412</v>
      </c>
      <c r="U901" s="21">
        <v>1</v>
      </c>
      <c r="V901" s="21">
        <v>1</v>
      </c>
      <c r="W901" s="73">
        <f t="shared" si="36"/>
        <v>371</v>
      </c>
      <c r="X901" s="80">
        <f t="shared" si="37"/>
        <v>1580</v>
      </c>
      <c r="Y901" s="82" t="s">
        <v>3584</v>
      </c>
    </row>
    <row r="902" spans="1:25" ht="15.45" customHeight="1" x14ac:dyDescent="0.25">
      <c r="A902" s="29" t="s">
        <v>1456</v>
      </c>
      <c r="C902" s="37" t="s">
        <v>1188</v>
      </c>
      <c r="E902" s="37" t="s">
        <v>2832</v>
      </c>
      <c r="F902" s="24" t="s">
        <v>5443</v>
      </c>
      <c r="J902" s="214" t="s">
        <v>3690</v>
      </c>
      <c r="K902" s="10" t="s">
        <v>3685</v>
      </c>
      <c r="P902" s="37" t="s">
        <v>1959</v>
      </c>
      <c r="S902" s="10" t="s">
        <v>3412</v>
      </c>
      <c r="U902" s="21">
        <v>1</v>
      </c>
      <c r="V902" s="21">
        <v>1</v>
      </c>
      <c r="W902" s="73">
        <f t="shared" si="36"/>
        <v>372</v>
      </c>
      <c r="X902" s="80">
        <f t="shared" si="37"/>
        <v>1581</v>
      </c>
      <c r="Y902" s="82" t="s">
        <v>3584</v>
      </c>
    </row>
    <row r="903" spans="1:25" ht="15.45" customHeight="1" x14ac:dyDescent="0.25">
      <c r="A903" s="29" t="s">
        <v>1457</v>
      </c>
      <c r="C903" s="37" t="s">
        <v>1188</v>
      </c>
      <c r="E903" s="37" t="s">
        <v>2832</v>
      </c>
      <c r="F903" s="24" t="s">
        <v>5443</v>
      </c>
      <c r="J903" s="214" t="s">
        <v>3690</v>
      </c>
      <c r="K903" s="10" t="s">
        <v>3685</v>
      </c>
      <c r="P903" s="37" t="s">
        <v>2302</v>
      </c>
      <c r="S903" s="10" t="s">
        <v>3412</v>
      </c>
      <c r="U903" s="21">
        <v>2</v>
      </c>
      <c r="V903" s="21">
        <v>2</v>
      </c>
      <c r="W903" s="73">
        <f t="shared" si="36"/>
        <v>374</v>
      </c>
      <c r="X903" s="80">
        <f t="shared" si="37"/>
        <v>1583</v>
      </c>
      <c r="Y903" s="82" t="s">
        <v>3584</v>
      </c>
    </row>
    <row r="904" spans="1:25" ht="15.45" customHeight="1" x14ac:dyDescent="0.25">
      <c r="A904" s="29" t="s">
        <v>1457</v>
      </c>
      <c r="C904" s="37" t="s">
        <v>1188</v>
      </c>
      <c r="E904" s="37" t="s">
        <v>2832</v>
      </c>
      <c r="F904" s="24" t="s">
        <v>5443</v>
      </c>
      <c r="J904" s="214" t="s">
        <v>3690</v>
      </c>
      <c r="K904" s="10" t="s">
        <v>3685</v>
      </c>
      <c r="P904" s="37" t="s">
        <v>2303</v>
      </c>
      <c r="S904" s="10" t="s">
        <v>3412</v>
      </c>
      <c r="U904" s="21">
        <v>1</v>
      </c>
      <c r="V904" s="21">
        <v>1</v>
      </c>
      <c r="W904" s="73">
        <f t="shared" si="36"/>
        <v>375</v>
      </c>
      <c r="X904" s="80">
        <f t="shared" ref="X904:X967" si="38">V904+X903</f>
        <v>1584</v>
      </c>
      <c r="Y904" s="82" t="s">
        <v>3584</v>
      </c>
    </row>
    <row r="905" spans="1:25" ht="15.45" customHeight="1" x14ac:dyDescent="0.25">
      <c r="A905" s="29" t="s">
        <v>1454</v>
      </c>
      <c r="C905" s="37" t="s">
        <v>1188</v>
      </c>
      <c r="E905" s="37" t="s">
        <v>2832</v>
      </c>
      <c r="F905" s="24" t="s">
        <v>5443</v>
      </c>
      <c r="J905" s="214" t="s">
        <v>3690</v>
      </c>
      <c r="K905" s="10" t="s">
        <v>3685</v>
      </c>
      <c r="P905" s="37" t="s">
        <v>1968</v>
      </c>
      <c r="S905" s="10" t="s">
        <v>3412</v>
      </c>
      <c r="U905" s="21">
        <v>1</v>
      </c>
      <c r="V905" s="21">
        <v>1</v>
      </c>
      <c r="W905" s="73">
        <f t="shared" si="36"/>
        <v>376</v>
      </c>
      <c r="X905" s="80">
        <f t="shared" si="38"/>
        <v>1585</v>
      </c>
      <c r="Y905" s="82" t="s">
        <v>3584</v>
      </c>
    </row>
    <row r="906" spans="1:25" ht="15.45" customHeight="1" x14ac:dyDescent="0.25">
      <c r="A906" s="29" t="s">
        <v>1560</v>
      </c>
      <c r="C906" s="37" t="s">
        <v>1188</v>
      </c>
      <c r="E906" s="37" t="s">
        <v>2832</v>
      </c>
      <c r="F906" s="24" t="s">
        <v>5443</v>
      </c>
      <c r="J906" s="214" t="s">
        <v>3690</v>
      </c>
      <c r="K906" s="10" t="s">
        <v>3685</v>
      </c>
      <c r="P906" s="37" t="s">
        <v>1748</v>
      </c>
      <c r="S906" s="10" t="s">
        <v>3412</v>
      </c>
      <c r="U906" s="21">
        <v>3</v>
      </c>
      <c r="V906" s="21">
        <v>3</v>
      </c>
      <c r="W906" s="73">
        <f t="shared" ref="W906:W971" si="39">W905+V906</f>
        <v>379</v>
      </c>
      <c r="X906" s="80">
        <f t="shared" si="38"/>
        <v>1588</v>
      </c>
      <c r="Y906" s="82" t="s">
        <v>3584</v>
      </c>
    </row>
    <row r="907" spans="1:25" ht="15.45" customHeight="1" x14ac:dyDescent="0.25">
      <c r="A907" s="29" t="s">
        <v>1559</v>
      </c>
      <c r="C907" s="37" t="s">
        <v>1188</v>
      </c>
      <c r="E907" s="37" t="s">
        <v>2832</v>
      </c>
      <c r="F907" s="24" t="s">
        <v>5443</v>
      </c>
      <c r="J907" s="214" t="s">
        <v>3690</v>
      </c>
      <c r="K907" s="10" t="s">
        <v>3685</v>
      </c>
      <c r="P907" s="37" t="s">
        <v>2068</v>
      </c>
      <c r="S907" s="10" t="s">
        <v>3412</v>
      </c>
      <c r="U907" s="21">
        <v>2</v>
      </c>
      <c r="V907" s="21">
        <v>2</v>
      </c>
      <c r="W907" s="73">
        <f t="shared" si="39"/>
        <v>381</v>
      </c>
      <c r="X907" s="80">
        <f t="shared" si="38"/>
        <v>1590</v>
      </c>
      <c r="Y907" s="82" t="s">
        <v>3584</v>
      </c>
    </row>
    <row r="908" spans="1:25" ht="15.45" customHeight="1" x14ac:dyDescent="0.25">
      <c r="A908" s="29" t="s">
        <v>1455</v>
      </c>
      <c r="C908" s="37" t="s">
        <v>1188</v>
      </c>
      <c r="E908" s="37" t="s">
        <v>2832</v>
      </c>
      <c r="F908" s="24" t="s">
        <v>5443</v>
      </c>
      <c r="J908" s="214" t="s">
        <v>3690</v>
      </c>
      <c r="K908" s="10" t="s">
        <v>3685</v>
      </c>
      <c r="P908" s="37" t="s">
        <v>2076</v>
      </c>
      <c r="S908" s="10" t="s">
        <v>3412</v>
      </c>
      <c r="U908" s="21">
        <v>1</v>
      </c>
      <c r="V908" s="21">
        <v>1</v>
      </c>
      <c r="W908" s="73">
        <f t="shared" si="39"/>
        <v>382</v>
      </c>
      <c r="X908" s="80">
        <f t="shared" si="38"/>
        <v>1591</v>
      </c>
      <c r="Y908" s="82" t="s">
        <v>3584</v>
      </c>
    </row>
    <row r="909" spans="1:25" ht="15.45" customHeight="1" x14ac:dyDescent="0.25">
      <c r="A909" s="29" t="s">
        <v>1353</v>
      </c>
      <c r="C909" s="37" t="s">
        <v>1188</v>
      </c>
      <c r="E909" s="37" t="s">
        <v>2832</v>
      </c>
      <c r="F909" s="24" t="s">
        <v>5443</v>
      </c>
      <c r="J909" s="214" t="s">
        <v>3690</v>
      </c>
      <c r="K909" s="10" t="s">
        <v>3685</v>
      </c>
      <c r="P909" s="37" t="s">
        <v>2067</v>
      </c>
      <c r="S909" s="10" t="s">
        <v>3412</v>
      </c>
      <c r="U909" s="21">
        <v>2</v>
      </c>
      <c r="V909" s="21">
        <v>2</v>
      </c>
      <c r="W909" s="73">
        <f t="shared" si="39"/>
        <v>384</v>
      </c>
      <c r="X909" s="80">
        <f t="shared" si="38"/>
        <v>1593</v>
      </c>
      <c r="Y909" s="82" t="s">
        <v>3584</v>
      </c>
    </row>
    <row r="910" spans="1:25" ht="15.45" customHeight="1" x14ac:dyDescent="0.25">
      <c r="A910" s="29" t="s">
        <v>1865</v>
      </c>
      <c r="C910" s="37" t="s">
        <v>1188</v>
      </c>
      <c r="E910" s="37" t="s">
        <v>2832</v>
      </c>
      <c r="F910" s="24" t="s">
        <v>5443</v>
      </c>
      <c r="H910" s="38" t="s">
        <v>4995</v>
      </c>
      <c r="J910" s="214" t="s">
        <v>3690</v>
      </c>
      <c r="K910" s="10" t="s">
        <v>3685</v>
      </c>
      <c r="P910" s="37" t="s">
        <v>1933</v>
      </c>
      <c r="S910" s="10" t="s">
        <v>3412</v>
      </c>
      <c r="U910" s="21">
        <v>1</v>
      </c>
      <c r="V910" s="21">
        <v>1</v>
      </c>
      <c r="W910" s="73">
        <f t="shared" si="39"/>
        <v>385</v>
      </c>
      <c r="X910" s="80">
        <f t="shared" si="38"/>
        <v>1594</v>
      </c>
      <c r="Y910" s="82" t="s">
        <v>3584</v>
      </c>
    </row>
    <row r="911" spans="1:25" ht="15.45" customHeight="1" x14ac:dyDescent="0.25">
      <c r="A911" s="29" t="s">
        <v>3259</v>
      </c>
      <c r="C911" s="37" t="s">
        <v>1188</v>
      </c>
      <c r="E911" s="37" t="s">
        <v>2832</v>
      </c>
      <c r="F911" s="24" t="s">
        <v>5443</v>
      </c>
      <c r="J911" s="214" t="s">
        <v>3690</v>
      </c>
      <c r="K911" s="10" t="s">
        <v>3685</v>
      </c>
      <c r="P911" s="37" t="s">
        <v>1792</v>
      </c>
      <c r="S911" s="10" t="s">
        <v>3412</v>
      </c>
      <c r="U911" s="21">
        <v>1</v>
      </c>
      <c r="V911" s="21">
        <v>1</v>
      </c>
      <c r="W911" s="73">
        <f t="shared" si="39"/>
        <v>386</v>
      </c>
      <c r="X911" s="80">
        <f t="shared" si="38"/>
        <v>1595</v>
      </c>
      <c r="Y911" s="82" t="s">
        <v>3584</v>
      </c>
    </row>
    <row r="912" spans="1:25" ht="15.45" customHeight="1" x14ac:dyDescent="0.25">
      <c r="A912" s="29" t="s">
        <v>3260</v>
      </c>
      <c r="C912" s="37" t="s">
        <v>1188</v>
      </c>
      <c r="E912" s="37" t="s">
        <v>2832</v>
      </c>
      <c r="F912" s="24" t="s">
        <v>5443</v>
      </c>
      <c r="J912" s="214" t="s">
        <v>3690</v>
      </c>
      <c r="K912" s="10" t="s">
        <v>3685</v>
      </c>
      <c r="P912" s="37" t="s">
        <v>1836</v>
      </c>
      <c r="S912" s="10" t="s">
        <v>3412</v>
      </c>
      <c r="U912" s="21">
        <v>2</v>
      </c>
      <c r="V912" s="21">
        <v>2</v>
      </c>
      <c r="W912" s="73">
        <f t="shared" si="39"/>
        <v>388</v>
      </c>
      <c r="X912" s="80">
        <f t="shared" si="38"/>
        <v>1597</v>
      </c>
      <c r="Y912" s="82" t="s">
        <v>3584</v>
      </c>
    </row>
    <row r="913" spans="1:25" ht="15.45" customHeight="1" x14ac:dyDescent="0.25">
      <c r="A913" s="29" t="s">
        <v>1097</v>
      </c>
      <c r="C913" s="37" t="s">
        <v>1188</v>
      </c>
      <c r="E913" s="37" t="s">
        <v>2832</v>
      </c>
      <c r="F913" s="24" t="s">
        <v>5443</v>
      </c>
      <c r="J913" s="214" t="s">
        <v>3690</v>
      </c>
      <c r="K913" s="10" t="s">
        <v>3685</v>
      </c>
      <c r="P913" s="37" t="s">
        <v>2060</v>
      </c>
      <c r="S913" s="10" t="s">
        <v>3412</v>
      </c>
      <c r="U913" s="21">
        <v>1</v>
      </c>
      <c r="V913" s="21">
        <v>2</v>
      </c>
      <c r="W913" s="73">
        <f t="shared" si="39"/>
        <v>390</v>
      </c>
      <c r="X913" s="80">
        <f t="shared" si="38"/>
        <v>1599</v>
      </c>
      <c r="Y913" s="82" t="s">
        <v>3584</v>
      </c>
    </row>
    <row r="914" spans="1:25" ht="15.45" customHeight="1" x14ac:dyDescent="0.25">
      <c r="A914" s="29" t="s">
        <v>3261</v>
      </c>
      <c r="C914" s="37" t="s">
        <v>1188</v>
      </c>
      <c r="E914" s="37" t="s">
        <v>2832</v>
      </c>
      <c r="F914" s="24" t="s">
        <v>5443</v>
      </c>
      <c r="J914" s="214" t="s">
        <v>3690</v>
      </c>
      <c r="K914" s="10" t="s">
        <v>3685</v>
      </c>
      <c r="P914" s="37" t="s">
        <v>1736</v>
      </c>
      <c r="S914" s="10" t="s">
        <v>3412</v>
      </c>
      <c r="U914" s="21">
        <v>1</v>
      </c>
      <c r="V914" s="21">
        <v>1</v>
      </c>
      <c r="W914" s="73">
        <f t="shared" si="39"/>
        <v>391</v>
      </c>
      <c r="X914" s="80">
        <f t="shared" si="38"/>
        <v>1600</v>
      </c>
      <c r="Y914" s="82" t="s">
        <v>3584</v>
      </c>
    </row>
    <row r="915" spans="1:25" ht="15.45" customHeight="1" x14ac:dyDescent="0.25">
      <c r="A915" s="29" t="s">
        <v>3262</v>
      </c>
      <c r="C915" s="37" t="s">
        <v>1188</v>
      </c>
      <c r="E915" s="37" t="s">
        <v>2832</v>
      </c>
      <c r="F915" s="24" t="s">
        <v>5443</v>
      </c>
      <c r="J915" s="214" t="s">
        <v>3690</v>
      </c>
      <c r="K915" s="10" t="s">
        <v>3685</v>
      </c>
      <c r="P915" s="37" t="s">
        <v>1933</v>
      </c>
      <c r="S915" s="10" t="s">
        <v>3412</v>
      </c>
      <c r="U915" s="21">
        <v>1</v>
      </c>
      <c r="V915" s="21">
        <v>1</v>
      </c>
      <c r="W915" s="73">
        <f t="shared" si="39"/>
        <v>392</v>
      </c>
      <c r="X915" s="80">
        <f t="shared" si="38"/>
        <v>1601</v>
      </c>
      <c r="Y915" s="82" t="s">
        <v>3584</v>
      </c>
    </row>
    <row r="916" spans="1:25" ht="15.45" customHeight="1" x14ac:dyDescent="0.25">
      <c r="A916" s="29" t="s">
        <v>1130</v>
      </c>
      <c r="C916" s="37" t="s">
        <v>1188</v>
      </c>
      <c r="E916" s="37" t="s">
        <v>2832</v>
      </c>
      <c r="F916" s="24" t="s">
        <v>5443</v>
      </c>
      <c r="J916" s="214" t="s">
        <v>3690</v>
      </c>
      <c r="K916" s="10" t="s">
        <v>3685</v>
      </c>
      <c r="P916" s="37" t="s">
        <v>1939</v>
      </c>
      <c r="S916" s="10" t="s">
        <v>3412</v>
      </c>
      <c r="U916" s="21">
        <v>1</v>
      </c>
      <c r="V916" s="21">
        <v>1</v>
      </c>
      <c r="W916" s="73">
        <f t="shared" si="39"/>
        <v>393</v>
      </c>
      <c r="X916" s="80">
        <f t="shared" si="38"/>
        <v>1602</v>
      </c>
      <c r="Y916" s="82" t="s">
        <v>3584</v>
      </c>
    </row>
    <row r="917" spans="1:25" ht="15.45" customHeight="1" x14ac:dyDescent="0.25">
      <c r="A917" s="29" t="s">
        <v>1974</v>
      </c>
      <c r="C917" s="37" t="s">
        <v>1188</v>
      </c>
      <c r="E917" s="37" t="s">
        <v>2832</v>
      </c>
      <c r="F917" s="24" t="s">
        <v>5443</v>
      </c>
      <c r="J917" s="214" t="s">
        <v>3690</v>
      </c>
      <c r="K917" s="10" t="s">
        <v>3685</v>
      </c>
      <c r="P917" s="37" t="s">
        <v>1736</v>
      </c>
      <c r="S917" s="10" t="s">
        <v>3412</v>
      </c>
      <c r="U917" s="21">
        <v>1</v>
      </c>
      <c r="V917" s="21">
        <v>1</v>
      </c>
      <c r="W917" s="73">
        <f t="shared" si="39"/>
        <v>394</v>
      </c>
      <c r="X917" s="80">
        <f t="shared" si="38"/>
        <v>1603</v>
      </c>
      <c r="Y917" s="82" t="s">
        <v>3584</v>
      </c>
    </row>
    <row r="918" spans="1:25" ht="15.45" customHeight="1" x14ac:dyDescent="0.25">
      <c r="A918" s="29" t="s">
        <v>1314</v>
      </c>
      <c r="C918" s="37" t="s">
        <v>1188</v>
      </c>
      <c r="E918" s="37" t="s">
        <v>2832</v>
      </c>
      <c r="F918" s="24" t="s">
        <v>5443</v>
      </c>
      <c r="J918" s="214" t="s">
        <v>3690</v>
      </c>
      <c r="K918" s="10" t="s">
        <v>3685</v>
      </c>
      <c r="P918" s="37" t="s">
        <v>1988</v>
      </c>
      <c r="S918" s="10" t="s">
        <v>3412</v>
      </c>
      <c r="U918" s="21">
        <v>1</v>
      </c>
      <c r="V918" s="21">
        <v>1</v>
      </c>
      <c r="W918" s="73">
        <f t="shared" si="39"/>
        <v>395</v>
      </c>
      <c r="X918" s="80">
        <f t="shared" si="38"/>
        <v>1604</v>
      </c>
      <c r="Y918" s="82" t="s">
        <v>3584</v>
      </c>
    </row>
    <row r="919" spans="1:25" ht="15.45" customHeight="1" x14ac:dyDescent="0.25">
      <c r="A919" s="29" t="s">
        <v>1198</v>
      </c>
      <c r="C919" s="37" t="s">
        <v>1188</v>
      </c>
      <c r="E919" s="37" t="s">
        <v>2832</v>
      </c>
      <c r="F919" s="24" t="s">
        <v>5443</v>
      </c>
      <c r="J919" s="214" t="s">
        <v>3690</v>
      </c>
      <c r="K919" s="10" t="s">
        <v>3685</v>
      </c>
      <c r="P919" s="37" t="s">
        <v>2076</v>
      </c>
      <c r="S919" s="10" t="s">
        <v>3412</v>
      </c>
      <c r="U919" s="21">
        <v>1</v>
      </c>
      <c r="V919" s="21">
        <v>1</v>
      </c>
      <c r="W919" s="73">
        <f t="shared" si="39"/>
        <v>396</v>
      </c>
      <c r="X919" s="80">
        <f t="shared" si="38"/>
        <v>1605</v>
      </c>
      <c r="Y919" s="82" t="s">
        <v>3584</v>
      </c>
    </row>
    <row r="920" spans="1:25" ht="15.45" customHeight="1" x14ac:dyDescent="0.25">
      <c r="A920" s="29" t="s">
        <v>1332</v>
      </c>
      <c r="C920" s="37" t="s">
        <v>1188</v>
      </c>
      <c r="E920" s="37" t="s">
        <v>2832</v>
      </c>
      <c r="F920" s="24" t="s">
        <v>5443</v>
      </c>
      <c r="J920" s="214" t="s">
        <v>3690</v>
      </c>
      <c r="K920" s="10" t="s">
        <v>3685</v>
      </c>
      <c r="P920" s="37" t="s">
        <v>1746</v>
      </c>
      <c r="S920" s="10" t="s">
        <v>3412</v>
      </c>
      <c r="U920" s="21">
        <v>1</v>
      </c>
      <c r="V920" s="21">
        <v>1</v>
      </c>
      <c r="W920" s="73">
        <f t="shared" si="39"/>
        <v>397</v>
      </c>
      <c r="X920" s="80">
        <f t="shared" si="38"/>
        <v>1606</v>
      </c>
      <c r="Y920" s="82" t="s">
        <v>3584</v>
      </c>
    </row>
    <row r="921" spans="1:25" ht="15.45" customHeight="1" x14ac:dyDescent="0.25">
      <c r="A921" s="29" t="s">
        <v>1550</v>
      </c>
      <c r="C921" s="37" t="s">
        <v>1188</v>
      </c>
      <c r="E921" s="37" t="s">
        <v>2832</v>
      </c>
      <c r="F921" s="24" t="s">
        <v>5443</v>
      </c>
      <c r="J921" s="214" t="s">
        <v>3690</v>
      </c>
      <c r="K921" s="10" t="s">
        <v>3685</v>
      </c>
      <c r="P921" s="37" t="s">
        <v>2076</v>
      </c>
      <c r="S921" s="10" t="s">
        <v>3412</v>
      </c>
      <c r="U921" s="21">
        <v>1</v>
      </c>
      <c r="V921" s="21">
        <v>1</v>
      </c>
      <c r="W921" s="73">
        <f t="shared" si="39"/>
        <v>398</v>
      </c>
      <c r="X921" s="80">
        <f t="shared" si="38"/>
        <v>1607</v>
      </c>
      <c r="Y921" s="82" t="s">
        <v>3584</v>
      </c>
    </row>
    <row r="922" spans="1:25" ht="15.45" customHeight="1" x14ac:dyDescent="0.25">
      <c r="A922" s="29" t="s">
        <v>1355</v>
      </c>
      <c r="C922" s="37" t="s">
        <v>1188</v>
      </c>
      <c r="E922" s="37" t="s">
        <v>2832</v>
      </c>
      <c r="F922" s="24" t="s">
        <v>5443</v>
      </c>
      <c r="J922" s="214" t="s">
        <v>3690</v>
      </c>
      <c r="K922" s="10" t="s">
        <v>3685</v>
      </c>
      <c r="P922" s="37" t="s">
        <v>1982</v>
      </c>
      <c r="S922" s="10" t="s">
        <v>3412</v>
      </c>
      <c r="U922" s="21">
        <v>1</v>
      </c>
      <c r="V922" s="21">
        <v>2</v>
      </c>
      <c r="W922" s="73">
        <f t="shared" si="39"/>
        <v>400</v>
      </c>
      <c r="X922" s="80">
        <f t="shared" si="38"/>
        <v>1609</v>
      </c>
      <c r="Y922" s="82" t="s">
        <v>3584</v>
      </c>
    </row>
    <row r="923" spans="1:25" ht="15.45" customHeight="1" x14ac:dyDescent="0.25">
      <c r="A923" s="29" t="s">
        <v>1318</v>
      </c>
      <c r="C923" s="37" t="s">
        <v>1188</v>
      </c>
      <c r="E923" s="37" t="s">
        <v>2832</v>
      </c>
      <c r="F923" s="24" t="s">
        <v>5443</v>
      </c>
      <c r="J923" s="214" t="s">
        <v>3690</v>
      </c>
      <c r="K923" s="10" t="s">
        <v>3685</v>
      </c>
      <c r="P923" s="37" t="s">
        <v>1736</v>
      </c>
      <c r="S923" s="10" t="s">
        <v>3412</v>
      </c>
      <c r="U923" s="21">
        <v>1</v>
      </c>
      <c r="V923" s="21">
        <v>2</v>
      </c>
      <c r="W923" s="73">
        <f t="shared" si="39"/>
        <v>402</v>
      </c>
      <c r="X923" s="80">
        <f t="shared" si="38"/>
        <v>1611</v>
      </c>
      <c r="Y923" s="82" t="s">
        <v>3584</v>
      </c>
    </row>
    <row r="924" spans="1:25" ht="15.45" customHeight="1" x14ac:dyDescent="0.25">
      <c r="A924" s="29" t="s">
        <v>3256</v>
      </c>
      <c r="C924" s="37" t="s">
        <v>1188</v>
      </c>
      <c r="E924" s="37" t="s">
        <v>2832</v>
      </c>
      <c r="F924" s="24" t="s">
        <v>5443</v>
      </c>
      <c r="J924" s="214" t="s">
        <v>3690</v>
      </c>
      <c r="K924" s="10" t="s">
        <v>3685</v>
      </c>
      <c r="P924" s="37" t="s">
        <v>1736</v>
      </c>
      <c r="S924" s="10" t="s">
        <v>3412</v>
      </c>
      <c r="U924" s="21">
        <v>1</v>
      </c>
      <c r="V924" s="21">
        <v>1</v>
      </c>
      <c r="W924" s="73">
        <f t="shared" si="39"/>
        <v>403</v>
      </c>
      <c r="X924" s="80">
        <f t="shared" si="38"/>
        <v>1612</v>
      </c>
      <c r="Y924" s="82" t="s">
        <v>3584</v>
      </c>
    </row>
    <row r="925" spans="1:25" ht="15.45" customHeight="1" x14ac:dyDescent="0.25">
      <c r="A925" s="29" t="s">
        <v>3257</v>
      </c>
      <c r="C925" s="37" t="s">
        <v>1188</v>
      </c>
      <c r="E925" s="37" t="s">
        <v>2832</v>
      </c>
      <c r="F925" s="24" t="s">
        <v>5443</v>
      </c>
      <c r="J925" s="214" t="s">
        <v>3690</v>
      </c>
      <c r="K925" s="10" t="s">
        <v>3685</v>
      </c>
      <c r="P925" s="37" t="s">
        <v>1642</v>
      </c>
      <c r="S925" s="10" t="s">
        <v>3412</v>
      </c>
      <c r="U925" s="21">
        <v>1</v>
      </c>
      <c r="V925" s="21">
        <v>1</v>
      </c>
      <c r="W925" s="73">
        <f t="shared" si="39"/>
        <v>404</v>
      </c>
      <c r="X925" s="80">
        <f t="shared" si="38"/>
        <v>1613</v>
      </c>
      <c r="Y925" s="82" t="s">
        <v>3584</v>
      </c>
    </row>
    <row r="926" spans="1:25" ht="15.45" customHeight="1" x14ac:dyDescent="0.25">
      <c r="A926" s="29" t="s">
        <v>1476</v>
      </c>
      <c r="C926" s="37" t="s">
        <v>1188</v>
      </c>
      <c r="E926" s="37" t="s">
        <v>2832</v>
      </c>
      <c r="F926" s="24" t="s">
        <v>5443</v>
      </c>
      <c r="J926" s="214" t="s">
        <v>3690</v>
      </c>
      <c r="K926" s="10" t="s">
        <v>3685</v>
      </c>
      <c r="P926" s="37" t="s">
        <v>1603</v>
      </c>
      <c r="S926" s="10" t="s">
        <v>3412</v>
      </c>
      <c r="U926" s="21">
        <v>3</v>
      </c>
      <c r="V926" s="21">
        <v>3</v>
      </c>
      <c r="W926" s="73">
        <f t="shared" si="39"/>
        <v>407</v>
      </c>
      <c r="X926" s="80">
        <f t="shared" si="38"/>
        <v>1616</v>
      </c>
      <c r="Y926" s="82" t="s">
        <v>3584</v>
      </c>
    </row>
    <row r="927" spans="1:25" ht="15.45" customHeight="1" x14ac:dyDescent="0.25">
      <c r="A927" s="29" t="s">
        <v>1475</v>
      </c>
      <c r="C927" s="37" t="s">
        <v>1188</v>
      </c>
      <c r="E927" s="37" t="s">
        <v>2832</v>
      </c>
      <c r="F927" s="24" t="s">
        <v>5443</v>
      </c>
      <c r="J927" s="214" t="s">
        <v>3690</v>
      </c>
      <c r="K927" s="10" t="s">
        <v>3685</v>
      </c>
      <c r="P927" s="37" t="s">
        <v>1642</v>
      </c>
      <c r="S927" s="10" t="s">
        <v>3412</v>
      </c>
      <c r="U927" s="21">
        <v>1</v>
      </c>
      <c r="V927" s="21">
        <v>1</v>
      </c>
      <c r="W927" s="73">
        <f t="shared" si="39"/>
        <v>408</v>
      </c>
      <c r="X927" s="80">
        <f t="shared" si="38"/>
        <v>1617</v>
      </c>
      <c r="Y927" s="82" t="s">
        <v>3584</v>
      </c>
    </row>
    <row r="928" spans="1:25" ht="15.45" customHeight="1" x14ac:dyDescent="0.25">
      <c r="A928" s="29" t="s">
        <v>3258</v>
      </c>
      <c r="C928" s="37" t="s">
        <v>1188</v>
      </c>
      <c r="E928" s="37" t="s">
        <v>2832</v>
      </c>
      <c r="F928" s="24" t="s">
        <v>5443</v>
      </c>
      <c r="J928" s="214" t="s">
        <v>3690</v>
      </c>
      <c r="K928" s="10" t="s">
        <v>3685</v>
      </c>
      <c r="P928" s="37" t="s">
        <v>1746</v>
      </c>
      <c r="S928" s="10" t="s">
        <v>3412</v>
      </c>
      <c r="U928" s="21">
        <v>1</v>
      </c>
      <c r="V928" s="21">
        <v>1</v>
      </c>
      <c r="W928" s="73">
        <f t="shared" si="39"/>
        <v>409</v>
      </c>
      <c r="X928" s="80">
        <f t="shared" si="38"/>
        <v>1618</v>
      </c>
      <c r="Y928" s="82" t="s">
        <v>3584</v>
      </c>
    </row>
    <row r="929" spans="1:29" ht="15.45" customHeight="1" x14ac:dyDescent="0.25">
      <c r="A929" s="29" t="s">
        <v>1210</v>
      </c>
      <c r="C929" s="37" t="s">
        <v>1188</v>
      </c>
      <c r="E929" s="37" t="s">
        <v>2832</v>
      </c>
      <c r="F929" s="24" t="s">
        <v>5443</v>
      </c>
      <c r="J929" s="214" t="s">
        <v>3802</v>
      </c>
      <c r="P929" s="37" t="s">
        <v>1463</v>
      </c>
      <c r="S929" s="10" t="s">
        <v>3412</v>
      </c>
      <c r="U929" s="21">
        <v>4</v>
      </c>
      <c r="V929" s="21">
        <v>4</v>
      </c>
      <c r="W929" s="73">
        <f t="shared" si="39"/>
        <v>413</v>
      </c>
      <c r="X929" s="80">
        <f t="shared" si="38"/>
        <v>1622</v>
      </c>
      <c r="Y929" s="82" t="s">
        <v>3584</v>
      </c>
    </row>
    <row r="930" spans="1:29" ht="15.45" customHeight="1" x14ac:dyDescent="0.25">
      <c r="A930" s="29" t="s">
        <v>1209</v>
      </c>
      <c r="C930" s="37" t="s">
        <v>1188</v>
      </c>
      <c r="E930" s="37" t="s">
        <v>2832</v>
      </c>
      <c r="F930" s="24" t="s">
        <v>5443</v>
      </c>
      <c r="J930" s="214" t="s">
        <v>3802</v>
      </c>
      <c r="P930" s="37" t="s">
        <v>1463</v>
      </c>
      <c r="S930" s="10" t="s">
        <v>3412</v>
      </c>
      <c r="U930" s="21">
        <v>1</v>
      </c>
      <c r="V930" s="21">
        <v>1</v>
      </c>
      <c r="W930" s="73">
        <f t="shared" si="39"/>
        <v>414</v>
      </c>
      <c r="X930" s="80">
        <f t="shared" si="38"/>
        <v>1623</v>
      </c>
      <c r="Y930" s="82" t="s">
        <v>3584</v>
      </c>
    </row>
    <row r="931" spans="1:29" ht="15.45" customHeight="1" x14ac:dyDescent="0.25">
      <c r="A931" s="29" t="s">
        <v>1343</v>
      </c>
      <c r="C931" s="37" t="s">
        <v>1188</v>
      </c>
      <c r="E931" s="37" t="s">
        <v>2832</v>
      </c>
      <c r="F931" s="24" t="s">
        <v>5443</v>
      </c>
      <c r="J931" s="214" t="s">
        <v>3690</v>
      </c>
      <c r="K931" s="10" t="s">
        <v>3685</v>
      </c>
      <c r="P931" s="37" t="s">
        <v>1942</v>
      </c>
      <c r="S931" s="10" t="s">
        <v>3412</v>
      </c>
      <c r="U931" s="21">
        <v>2</v>
      </c>
      <c r="V931" s="21">
        <v>2</v>
      </c>
      <c r="W931" s="73">
        <f t="shared" si="39"/>
        <v>416</v>
      </c>
      <c r="X931" s="80">
        <f t="shared" si="38"/>
        <v>1625</v>
      </c>
      <c r="Y931" s="82" t="s">
        <v>3584</v>
      </c>
    </row>
    <row r="932" spans="1:29" ht="15.45" customHeight="1" x14ac:dyDescent="0.25">
      <c r="A932" s="29" t="s">
        <v>1359</v>
      </c>
      <c r="C932" s="37" t="s">
        <v>1188</v>
      </c>
      <c r="E932" s="37" t="s">
        <v>2832</v>
      </c>
      <c r="F932" s="24" t="s">
        <v>5443</v>
      </c>
      <c r="J932" s="214" t="s">
        <v>3690</v>
      </c>
      <c r="K932" s="10" t="s">
        <v>3685</v>
      </c>
      <c r="P932" s="37" t="s">
        <v>1939</v>
      </c>
      <c r="S932" s="10" t="s">
        <v>3412</v>
      </c>
      <c r="U932" s="21">
        <v>2</v>
      </c>
      <c r="V932" s="21">
        <v>2</v>
      </c>
      <c r="W932" s="73">
        <f t="shared" si="39"/>
        <v>418</v>
      </c>
      <c r="X932" s="80">
        <f t="shared" si="38"/>
        <v>1627</v>
      </c>
      <c r="Y932" s="82" t="s">
        <v>3584</v>
      </c>
    </row>
    <row r="933" spans="1:29" ht="15.45" customHeight="1" x14ac:dyDescent="0.25">
      <c r="A933" s="29" t="s">
        <v>1099</v>
      </c>
      <c r="C933" s="37" t="s">
        <v>1188</v>
      </c>
      <c r="E933" s="37" t="s">
        <v>2832</v>
      </c>
      <c r="F933" s="24" t="s">
        <v>5443</v>
      </c>
      <c r="J933" s="214" t="s">
        <v>3802</v>
      </c>
      <c r="P933" s="37" t="s">
        <v>1463</v>
      </c>
      <c r="S933" s="10" t="s">
        <v>3412</v>
      </c>
      <c r="U933" s="21">
        <v>1</v>
      </c>
      <c r="V933" s="21">
        <v>1</v>
      </c>
      <c r="W933" s="73">
        <f t="shared" si="39"/>
        <v>419</v>
      </c>
      <c r="X933" s="80">
        <f t="shared" si="38"/>
        <v>1628</v>
      </c>
      <c r="Y933" s="82" t="s">
        <v>3584</v>
      </c>
    </row>
    <row r="934" spans="1:29" ht="15.45" customHeight="1" x14ac:dyDescent="0.25">
      <c r="A934" s="29" t="s">
        <v>4997</v>
      </c>
      <c r="C934" s="37" t="s">
        <v>1188</v>
      </c>
      <c r="E934" s="37" t="s">
        <v>2832</v>
      </c>
      <c r="F934" s="24" t="s">
        <v>5443</v>
      </c>
      <c r="J934" s="214" t="s">
        <v>3690</v>
      </c>
      <c r="K934" s="10" t="s">
        <v>3685</v>
      </c>
      <c r="P934" s="37" t="s">
        <v>1642</v>
      </c>
      <c r="S934" s="10" t="s">
        <v>3412</v>
      </c>
      <c r="U934" s="21">
        <v>1</v>
      </c>
      <c r="V934" s="21">
        <v>1</v>
      </c>
      <c r="W934" s="73">
        <f t="shared" si="39"/>
        <v>420</v>
      </c>
      <c r="X934" s="80">
        <f t="shared" si="38"/>
        <v>1629</v>
      </c>
      <c r="Y934" s="82" t="s">
        <v>3584</v>
      </c>
    </row>
    <row r="935" spans="1:29" ht="15.45" customHeight="1" x14ac:dyDescent="0.25">
      <c r="A935" s="29" t="s">
        <v>1098</v>
      </c>
      <c r="C935" s="37" t="s">
        <v>1188</v>
      </c>
      <c r="E935" s="37" t="s">
        <v>2832</v>
      </c>
      <c r="F935" s="24" t="s">
        <v>5443</v>
      </c>
      <c r="J935" s="214" t="s">
        <v>3802</v>
      </c>
      <c r="P935" s="37" t="s">
        <v>1463</v>
      </c>
      <c r="S935" s="10" t="s">
        <v>3412</v>
      </c>
      <c r="U935" s="21">
        <v>1</v>
      </c>
      <c r="V935" s="21">
        <v>1</v>
      </c>
      <c r="W935" s="73">
        <f t="shared" si="39"/>
        <v>421</v>
      </c>
      <c r="X935" s="80">
        <f t="shared" si="38"/>
        <v>1630</v>
      </c>
      <c r="Y935" s="82" t="s">
        <v>3584</v>
      </c>
    </row>
    <row r="936" spans="1:29" ht="15.45" customHeight="1" x14ac:dyDescent="0.25">
      <c r="A936" s="29" t="s">
        <v>1358</v>
      </c>
      <c r="C936" s="37" t="s">
        <v>1188</v>
      </c>
      <c r="E936" s="37" t="s">
        <v>2832</v>
      </c>
      <c r="F936" s="24" t="s">
        <v>5443</v>
      </c>
      <c r="J936" s="214" t="s">
        <v>3690</v>
      </c>
      <c r="K936" s="10" t="s">
        <v>3685</v>
      </c>
      <c r="P936" s="37" t="s">
        <v>1938</v>
      </c>
      <c r="S936" s="10" t="s">
        <v>3412</v>
      </c>
      <c r="U936" s="21">
        <v>3</v>
      </c>
      <c r="V936" s="21">
        <v>3</v>
      </c>
      <c r="W936" s="73">
        <f t="shared" si="39"/>
        <v>424</v>
      </c>
      <c r="X936" s="80">
        <f t="shared" si="38"/>
        <v>1633</v>
      </c>
      <c r="Y936" s="82" t="s">
        <v>3584</v>
      </c>
    </row>
    <row r="937" spans="1:29" ht="15.45" customHeight="1" x14ac:dyDescent="0.25">
      <c r="A937" s="29" t="s">
        <v>1360</v>
      </c>
      <c r="C937" s="37" t="s">
        <v>1188</v>
      </c>
      <c r="E937" s="37" t="s">
        <v>2832</v>
      </c>
      <c r="F937" s="24" t="s">
        <v>5443</v>
      </c>
      <c r="J937" s="214" t="s">
        <v>3690</v>
      </c>
      <c r="K937" s="10" t="s">
        <v>3685</v>
      </c>
      <c r="P937" s="37" t="s">
        <v>1941</v>
      </c>
      <c r="S937" s="10" t="s">
        <v>3412</v>
      </c>
      <c r="U937" s="21">
        <v>2</v>
      </c>
      <c r="V937" s="21">
        <v>2</v>
      </c>
      <c r="W937" s="73">
        <f t="shared" si="39"/>
        <v>426</v>
      </c>
      <c r="X937" s="80">
        <f t="shared" si="38"/>
        <v>1635</v>
      </c>
      <c r="Y937" s="82" t="s">
        <v>3584</v>
      </c>
    </row>
    <row r="938" spans="1:29" ht="15.45" customHeight="1" x14ac:dyDescent="0.25">
      <c r="A938" s="29" t="s">
        <v>1339</v>
      </c>
      <c r="C938" s="37" t="s">
        <v>1188</v>
      </c>
      <c r="E938" s="37" t="s">
        <v>2832</v>
      </c>
      <c r="F938" s="24" t="s">
        <v>5443</v>
      </c>
      <c r="J938" s="214" t="s">
        <v>3690</v>
      </c>
      <c r="K938" s="10" t="s">
        <v>3685</v>
      </c>
      <c r="P938" s="37" t="s">
        <v>1940</v>
      </c>
      <c r="S938" s="10" t="s">
        <v>3412</v>
      </c>
      <c r="U938" s="21">
        <v>1</v>
      </c>
      <c r="V938" s="21">
        <v>1</v>
      </c>
      <c r="W938" s="73">
        <f t="shared" si="39"/>
        <v>427</v>
      </c>
      <c r="X938" s="80">
        <f t="shared" si="38"/>
        <v>1636</v>
      </c>
      <c r="Y938" s="82" t="s">
        <v>3584</v>
      </c>
    </row>
    <row r="939" spans="1:29" ht="15.45" customHeight="1" x14ac:dyDescent="0.25">
      <c r="A939" s="29" t="s">
        <v>3438</v>
      </c>
      <c r="C939" s="37" t="s">
        <v>1188</v>
      </c>
      <c r="E939" s="37" t="s">
        <v>2930</v>
      </c>
      <c r="F939" s="24" t="s">
        <v>5443</v>
      </c>
      <c r="H939" s="38" t="s">
        <v>6015</v>
      </c>
      <c r="J939" s="215">
        <v>2015</v>
      </c>
      <c r="O939" s="37" t="s">
        <v>1463</v>
      </c>
      <c r="P939" s="37" t="s">
        <v>1463</v>
      </c>
      <c r="S939" s="10" t="s">
        <v>3412</v>
      </c>
      <c r="U939" s="21">
        <v>1</v>
      </c>
      <c r="V939" s="21">
        <v>1</v>
      </c>
      <c r="W939" s="73">
        <f t="shared" si="39"/>
        <v>428</v>
      </c>
      <c r="X939" s="80">
        <f t="shared" si="38"/>
        <v>1637</v>
      </c>
      <c r="Y939" s="82" t="s">
        <v>3591</v>
      </c>
      <c r="Z939" s="24" t="s">
        <v>2885</v>
      </c>
      <c r="AB939" s="177">
        <v>42614</v>
      </c>
      <c r="AC939" s="84" t="s">
        <v>2885</v>
      </c>
    </row>
    <row r="940" spans="1:29" ht="15.45" customHeight="1" x14ac:dyDescent="0.25">
      <c r="A940" s="29" t="s">
        <v>6016</v>
      </c>
      <c r="C940" s="37" t="s">
        <v>1188</v>
      </c>
      <c r="E940" s="37" t="s">
        <v>2930</v>
      </c>
      <c r="F940" s="24" t="s">
        <v>5443</v>
      </c>
      <c r="J940" s="215">
        <v>1983</v>
      </c>
      <c r="P940" s="37" t="s">
        <v>1463</v>
      </c>
      <c r="S940" s="10" t="s">
        <v>3412</v>
      </c>
      <c r="U940" s="21">
        <v>1</v>
      </c>
      <c r="V940" s="21">
        <v>1</v>
      </c>
      <c r="W940" s="73">
        <f t="shared" si="39"/>
        <v>429</v>
      </c>
      <c r="X940" s="80">
        <f t="shared" si="38"/>
        <v>1638</v>
      </c>
      <c r="Y940" s="82" t="s">
        <v>3591</v>
      </c>
      <c r="Z940" s="24" t="s">
        <v>2885</v>
      </c>
      <c r="AB940" s="177">
        <v>44383</v>
      </c>
      <c r="AC940" s="84" t="s">
        <v>2885</v>
      </c>
    </row>
    <row r="941" spans="1:29" ht="15.45" customHeight="1" x14ac:dyDescent="0.25">
      <c r="A941" s="29" t="s">
        <v>1576</v>
      </c>
      <c r="C941" s="37" t="s">
        <v>1188</v>
      </c>
      <c r="E941" s="37" t="s">
        <v>2832</v>
      </c>
      <c r="F941" s="24" t="s">
        <v>5443</v>
      </c>
      <c r="J941" s="214" t="s">
        <v>3690</v>
      </c>
      <c r="K941" s="10" t="s">
        <v>3685</v>
      </c>
      <c r="P941" s="37" t="s">
        <v>1748</v>
      </c>
      <c r="S941" s="10" t="s">
        <v>3412</v>
      </c>
      <c r="U941" s="21">
        <v>1</v>
      </c>
      <c r="V941" s="21">
        <v>1</v>
      </c>
      <c r="W941" s="73">
        <f t="shared" si="39"/>
        <v>430</v>
      </c>
      <c r="X941" s="80">
        <f t="shared" si="38"/>
        <v>1639</v>
      </c>
      <c r="Y941" s="82" t="s">
        <v>3584</v>
      </c>
    </row>
    <row r="942" spans="1:29" ht="15.45" customHeight="1" x14ac:dyDescent="0.25">
      <c r="A942" s="29" t="s">
        <v>3252</v>
      </c>
      <c r="C942" s="37" t="s">
        <v>1188</v>
      </c>
      <c r="E942" s="37" t="s">
        <v>2832</v>
      </c>
      <c r="F942" s="24" t="s">
        <v>5443</v>
      </c>
      <c r="J942" s="214" t="s">
        <v>3690</v>
      </c>
      <c r="K942" s="10" t="s">
        <v>3685</v>
      </c>
      <c r="P942" s="37" t="s">
        <v>1642</v>
      </c>
      <c r="S942" s="10" t="s">
        <v>3412</v>
      </c>
      <c r="U942" s="21">
        <v>1</v>
      </c>
      <c r="V942" s="21">
        <v>1</v>
      </c>
      <c r="W942" s="73">
        <f t="shared" si="39"/>
        <v>431</v>
      </c>
      <c r="X942" s="80">
        <f t="shared" si="38"/>
        <v>1640</v>
      </c>
      <c r="Y942" s="82" t="s">
        <v>3584</v>
      </c>
    </row>
    <row r="943" spans="1:29" ht="15.45" customHeight="1" x14ac:dyDescent="0.25">
      <c r="A943" s="29" t="s">
        <v>1889</v>
      </c>
      <c r="C943" s="37" t="s">
        <v>1188</v>
      </c>
      <c r="E943" s="37" t="s">
        <v>2832</v>
      </c>
      <c r="F943" s="24" t="s">
        <v>5443</v>
      </c>
      <c r="J943" s="214" t="s">
        <v>3690</v>
      </c>
      <c r="K943" s="10" t="s">
        <v>3685</v>
      </c>
      <c r="P943" s="37" t="s">
        <v>546</v>
      </c>
      <c r="S943" s="10" t="s">
        <v>3412</v>
      </c>
      <c r="U943" s="21">
        <v>1</v>
      </c>
      <c r="V943" s="21">
        <v>1</v>
      </c>
      <c r="W943" s="73">
        <f t="shared" si="39"/>
        <v>432</v>
      </c>
      <c r="X943" s="80">
        <f t="shared" si="38"/>
        <v>1641</v>
      </c>
      <c r="Y943" s="82" t="s">
        <v>3584</v>
      </c>
    </row>
    <row r="944" spans="1:29" ht="15.45" customHeight="1" x14ac:dyDescent="0.25">
      <c r="A944" s="29" t="s">
        <v>5877</v>
      </c>
      <c r="C944" s="37" t="s">
        <v>1188</v>
      </c>
      <c r="E944" s="37" t="s">
        <v>2832</v>
      </c>
      <c r="F944" s="24" t="s">
        <v>5443</v>
      </c>
      <c r="J944" s="214" t="s">
        <v>5822</v>
      </c>
      <c r="P944" s="37" t="s">
        <v>1463</v>
      </c>
      <c r="S944" s="10" t="s">
        <v>3412</v>
      </c>
      <c r="U944" s="21">
        <v>1</v>
      </c>
      <c r="V944" s="21">
        <v>1</v>
      </c>
      <c r="W944" s="73">
        <f t="shared" si="39"/>
        <v>433</v>
      </c>
      <c r="X944" s="80">
        <f t="shared" si="38"/>
        <v>1642</v>
      </c>
      <c r="Y944" s="82" t="s">
        <v>3591</v>
      </c>
      <c r="Z944" s="24" t="s">
        <v>2885</v>
      </c>
      <c r="AB944" s="177">
        <v>44383</v>
      </c>
      <c r="AC944" s="84" t="s">
        <v>5308</v>
      </c>
    </row>
    <row r="945" spans="1:26" ht="15.45" customHeight="1" x14ac:dyDescent="0.25">
      <c r="A945" s="29" t="s">
        <v>3253</v>
      </c>
      <c r="C945" s="37" t="s">
        <v>1188</v>
      </c>
      <c r="E945" s="37" t="s">
        <v>2832</v>
      </c>
      <c r="F945" s="24" t="s">
        <v>5443</v>
      </c>
      <c r="J945" s="214" t="s">
        <v>3690</v>
      </c>
      <c r="K945" s="10" t="s">
        <v>3685</v>
      </c>
      <c r="P945" s="37" t="s">
        <v>1991</v>
      </c>
      <c r="S945" s="10" t="s">
        <v>3412</v>
      </c>
      <c r="U945" s="21">
        <v>1</v>
      </c>
      <c r="V945" s="21">
        <v>1</v>
      </c>
      <c r="W945" s="73">
        <f t="shared" si="39"/>
        <v>434</v>
      </c>
      <c r="X945" s="80">
        <f t="shared" si="38"/>
        <v>1643</v>
      </c>
      <c r="Y945" s="82" t="s">
        <v>3584</v>
      </c>
    </row>
    <row r="946" spans="1:26" ht="15.45" customHeight="1" x14ac:dyDescent="0.25">
      <c r="A946" s="29" t="s">
        <v>3254</v>
      </c>
      <c r="C946" s="37" t="s">
        <v>1188</v>
      </c>
      <c r="E946" s="37" t="s">
        <v>2832</v>
      </c>
      <c r="F946" s="24" t="s">
        <v>5443</v>
      </c>
      <c r="J946" s="214" t="s">
        <v>3690</v>
      </c>
      <c r="K946" s="10" t="s">
        <v>3685</v>
      </c>
      <c r="P946" s="37" t="s">
        <v>1862</v>
      </c>
      <c r="S946" s="10" t="s">
        <v>3412</v>
      </c>
      <c r="U946" s="21">
        <v>1</v>
      </c>
      <c r="V946" s="21">
        <v>1</v>
      </c>
      <c r="W946" s="73">
        <f t="shared" si="39"/>
        <v>435</v>
      </c>
      <c r="X946" s="80">
        <f t="shared" si="38"/>
        <v>1644</v>
      </c>
      <c r="Y946" s="82" t="s">
        <v>3584</v>
      </c>
    </row>
    <row r="947" spans="1:26" ht="15.45" customHeight="1" x14ac:dyDescent="0.25">
      <c r="A947" s="29" t="s">
        <v>1586</v>
      </c>
      <c r="C947" s="37" t="s">
        <v>1188</v>
      </c>
      <c r="E947" s="37" t="s">
        <v>2832</v>
      </c>
      <c r="F947" s="24" t="s">
        <v>5443</v>
      </c>
      <c r="J947" s="214" t="s">
        <v>3690</v>
      </c>
      <c r="K947" s="10" t="s">
        <v>3685</v>
      </c>
      <c r="P947" s="37" t="s">
        <v>1933</v>
      </c>
      <c r="S947" s="10" t="s">
        <v>3412</v>
      </c>
      <c r="U947" s="21">
        <v>1</v>
      </c>
      <c r="V947" s="21">
        <v>1</v>
      </c>
      <c r="W947" s="73">
        <f t="shared" si="39"/>
        <v>436</v>
      </c>
      <c r="X947" s="80">
        <f t="shared" si="38"/>
        <v>1645</v>
      </c>
      <c r="Y947" s="82" t="s">
        <v>3584</v>
      </c>
    </row>
    <row r="948" spans="1:26" ht="15.45" customHeight="1" x14ac:dyDescent="0.25">
      <c r="A948" s="29" t="s">
        <v>3255</v>
      </c>
      <c r="C948" s="37" t="s">
        <v>1188</v>
      </c>
      <c r="E948" s="37" t="s">
        <v>2832</v>
      </c>
      <c r="F948" s="24" t="s">
        <v>5443</v>
      </c>
      <c r="J948" s="214" t="s">
        <v>3690</v>
      </c>
      <c r="K948" s="10" t="s">
        <v>3685</v>
      </c>
      <c r="P948" s="37" t="s">
        <v>363</v>
      </c>
      <c r="S948" s="10" t="s">
        <v>3412</v>
      </c>
      <c r="U948" s="21">
        <v>1</v>
      </c>
      <c r="V948" s="21">
        <v>1</v>
      </c>
      <c r="W948" s="73">
        <f t="shared" si="39"/>
        <v>437</v>
      </c>
      <c r="X948" s="80">
        <f t="shared" si="38"/>
        <v>1646</v>
      </c>
      <c r="Y948" s="82" t="s">
        <v>3584</v>
      </c>
    </row>
    <row r="949" spans="1:26" ht="15.45" customHeight="1" x14ac:dyDescent="0.25">
      <c r="A949" s="29" t="s">
        <v>1250</v>
      </c>
      <c r="C949" s="37" t="s">
        <v>1188</v>
      </c>
      <c r="E949" s="37" t="s">
        <v>2832</v>
      </c>
      <c r="F949" s="24" t="s">
        <v>5443</v>
      </c>
      <c r="H949" s="38" t="s">
        <v>4996</v>
      </c>
      <c r="J949" s="214" t="s">
        <v>3690</v>
      </c>
      <c r="K949" s="10" t="s">
        <v>3685</v>
      </c>
      <c r="P949" s="37" t="s">
        <v>1642</v>
      </c>
      <c r="S949" s="10" t="s">
        <v>3412</v>
      </c>
      <c r="U949" s="21">
        <v>1</v>
      </c>
      <c r="V949" s="21">
        <v>1</v>
      </c>
      <c r="W949" s="73">
        <f t="shared" si="39"/>
        <v>438</v>
      </c>
      <c r="X949" s="80">
        <f t="shared" si="38"/>
        <v>1647</v>
      </c>
      <c r="Y949" s="82" t="s">
        <v>3584</v>
      </c>
    </row>
    <row r="950" spans="1:26" ht="15.45" customHeight="1" x14ac:dyDescent="0.25">
      <c r="A950" s="29" t="s">
        <v>1798</v>
      </c>
      <c r="C950" s="37" t="s">
        <v>1188</v>
      </c>
      <c r="E950" s="37" t="s">
        <v>2832</v>
      </c>
      <c r="F950" s="24" t="s">
        <v>5443</v>
      </c>
      <c r="J950" s="214" t="s">
        <v>3803</v>
      </c>
      <c r="P950" s="37" t="s">
        <v>1603</v>
      </c>
      <c r="S950" s="10" t="s">
        <v>3412</v>
      </c>
      <c r="U950" s="21">
        <v>2</v>
      </c>
      <c r="V950" s="21">
        <v>2</v>
      </c>
      <c r="W950" s="73">
        <f t="shared" si="39"/>
        <v>440</v>
      </c>
      <c r="X950" s="80">
        <f t="shared" si="38"/>
        <v>1649</v>
      </c>
      <c r="Y950" s="82" t="s">
        <v>3592</v>
      </c>
      <c r="Z950" s="24" t="s">
        <v>2884</v>
      </c>
    </row>
    <row r="951" spans="1:26" ht="15.45" customHeight="1" x14ac:dyDescent="0.25">
      <c r="A951" s="29" t="s">
        <v>1251</v>
      </c>
      <c r="C951" s="37" t="s">
        <v>1188</v>
      </c>
      <c r="E951" s="37" t="s">
        <v>2832</v>
      </c>
      <c r="F951" s="24" t="s">
        <v>5443</v>
      </c>
      <c r="J951" s="214" t="s">
        <v>3803</v>
      </c>
      <c r="S951" s="10" t="s">
        <v>3412</v>
      </c>
      <c r="U951" s="21">
        <v>1</v>
      </c>
      <c r="V951" s="21">
        <v>1</v>
      </c>
      <c r="W951" s="73">
        <f t="shared" si="39"/>
        <v>441</v>
      </c>
      <c r="X951" s="80">
        <f t="shared" si="38"/>
        <v>1650</v>
      </c>
      <c r="Y951" s="82" t="s">
        <v>3592</v>
      </c>
      <c r="Z951" s="24" t="s">
        <v>1643</v>
      </c>
    </row>
    <row r="952" spans="1:26" ht="15.45" customHeight="1" x14ac:dyDescent="0.25">
      <c r="A952" s="29" t="s">
        <v>3272</v>
      </c>
      <c r="C952" s="37" t="s">
        <v>1188</v>
      </c>
      <c r="E952" s="37" t="s">
        <v>2832</v>
      </c>
      <c r="F952" s="24" t="s">
        <v>5443</v>
      </c>
      <c r="J952" s="214" t="s">
        <v>3690</v>
      </c>
      <c r="K952" s="10" t="s">
        <v>3685</v>
      </c>
      <c r="P952" s="37" t="s">
        <v>1870</v>
      </c>
      <c r="S952" s="10" t="s">
        <v>3412</v>
      </c>
      <c r="U952" s="21">
        <v>1</v>
      </c>
      <c r="V952" s="21">
        <v>1</v>
      </c>
      <c r="W952" s="73">
        <f t="shared" si="39"/>
        <v>442</v>
      </c>
      <c r="X952" s="80">
        <f t="shared" si="38"/>
        <v>1651</v>
      </c>
      <c r="Y952" s="82" t="s">
        <v>3584</v>
      </c>
    </row>
    <row r="953" spans="1:26" ht="15.45" customHeight="1" x14ac:dyDescent="0.25">
      <c r="A953" s="29" t="s">
        <v>3273</v>
      </c>
      <c r="C953" s="37" t="s">
        <v>1188</v>
      </c>
      <c r="E953" s="37" t="s">
        <v>2832</v>
      </c>
      <c r="F953" s="24" t="s">
        <v>5443</v>
      </c>
      <c r="J953" s="214" t="s">
        <v>3690</v>
      </c>
      <c r="K953" s="10" t="s">
        <v>3685</v>
      </c>
      <c r="P953" s="37" t="s">
        <v>2066</v>
      </c>
      <c r="S953" s="10" t="s">
        <v>3412</v>
      </c>
      <c r="U953" s="21">
        <v>1</v>
      </c>
      <c r="V953" s="21">
        <v>1</v>
      </c>
      <c r="W953" s="73">
        <f t="shared" si="39"/>
        <v>443</v>
      </c>
      <c r="X953" s="80">
        <f t="shared" si="38"/>
        <v>1652</v>
      </c>
      <c r="Y953" s="82" t="s">
        <v>3584</v>
      </c>
    </row>
    <row r="954" spans="1:26" ht="15.45" customHeight="1" x14ac:dyDescent="0.25">
      <c r="A954" s="29" t="s">
        <v>3274</v>
      </c>
      <c r="C954" s="37" t="s">
        <v>1188</v>
      </c>
      <c r="E954" s="37" t="s">
        <v>2832</v>
      </c>
      <c r="F954" s="24" t="s">
        <v>5443</v>
      </c>
      <c r="J954" s="214" t="s">
        <v>3690</v>
      </c>
      <c r="K954" s="10" t="s">
        <v>3685</v>
      </c>
      <c r="P954" s="37" t="s">
        <v>1960</v>
      </c>
      <c r="S954" s="10" t="s">
        <v>3412</v>
      </c>
      <c r="U954" s="21">
        <v>1</v>
      </c>
      <c r="V954" s="21">
        <v>1</v>
      </c>
      <c r="W954" s="73">
        <f t="shared" si="39"/>
        <v>444</v>
      </c>
      <c r="X954" s="80">
        <f t="shared" si="38"/>
        <v>1653</v>
      </c>
      <c r="Y954" s="82" t="s">
        <v>3584</v>
      </c>
    </row>
    <row r="955" spans="1:26" ht="15.45" customHeight="1" x14ac:dyDescent="0.25">
      <c r="A955" s="29" t="s">
        <v>1183</v>
      </c>
      <c r="C955" s="37" t="s">
        <v>1188</v>
      </c>
      <c r="E955" s="37" t="s">
        <v>2832</v>
      </c>
      <c r="F955" s="24" t="s">
        <v>5443</v>
      </c>
      <c r="J955" s="214" t="s">
        <v>3690</v>
      </c>
      <c r="K955" s="10" t="s">
        <v>3685</v>
      </c>
      <c r="P955" s="37" t="s">
        <v>61</v>
      </c>
      <c r="S955" s="10" t="s">
        <v>3412</v>
      </c>
      <c r="U955" s="21">
        <v>1</v>
      </c>
      <c r="V955" s="21">
        <v>2</v>
      </c>
      <c r="W955" s="73">
        <f t="shared" si="39"/>
        <v>446</v>
      </c>
      <c r="X955" s="80">
        <f t="shared" si="38"/>
        <v>1655</v>
      </c>
      <c r="Y955" s="82" t="s">
        <v>3584</v>
      </c>
    </row>
    <row r="956" spans="1:26" ht="15.45" customHeight="1" x14ac:dyDescent="0.25">
      <c r="A956" s="29" t="s">
        <v>6232</v>
      </c>
      <c r="C956" s="37" t="s">
        <v>1188</v>
      </c>
      <c r="E956" s="37" t="s">
        <v>2832</v>
      </c>
      <c r="F956" s="24" t="s">
        <v>5443</v>
      </c>
      <c r="J956" s="214" t="s">
        <v>3690</v>
      </c>
      <c r="K956" s="10" t="s">
        <v>3685</v>
      </c>
      <c r="P956" s="37" t="s">
        <v>1982</v>
      </c>
      <c r="S956" s="10" t="s">
        <v>3412</v>
      </c>
      <c r="U956" s="21">
        <v>1</v>
      </c>
      <c r="V956" s="21">
        <v>1</v>
      </c>
      <c r="W956" s="73">
        <f t="shared" si="39"/>
        <v>447</v>
      </c>
      <c r="X956" s="80">
        <f t="shared" si="38"/>
        <v>1656</v>
      </c>
      <c r="Y956" s="82" t="s">
        <v>3584</v>
      </c>
    </row>
    <row r="957" spans="1:26" ht="15.45" customHeight="1" x14ac:dyDescent="0.25">
      <c r="A957" s="29" t="s">
        <v>1556</v>
      </c>
      <c r="C957" s="37" t="s">
        <v>1188</v>
      </c>
      <c r="E957" s="37" t="s">
        <v>2832</v>
      </c>
      <c r="F957" s="24" t="s">
        <v>5443</v>
      </c>
      <c r="J957" s="214" t="s">
        <v>3690</v>
      </c>
      <c r="K957" s="10" t="s">
        <v>3685</v>
      </c>
      <c r="P957" s="37" t="s">
        <v>1603</v>
      </c>
      <c r="S957" s="10" t="s">
        <v>3412</v>
      </c>
      <c r="U957" s="21">
        <v>1</v>
      </c>
      <c r="V957" s="21">
        <v>1</v>
      </c>
      <c r="W957" s="73">
        <f t="shared" si="39"/>
        <v>448</v>
      </c>
      <c r="X957" s="80">
        <f t="shared" si="38"/>
        <v>1657</v>
      </c>
      <c r="Y957" s="82" t="s">
        <v>3584</v>
      </c>
    </row>
    <row r="958" spans="1:26" ht="15.45" customHeight="1" x14ac:dyDescent="0.25">
      <c r="A958" s="29" t="s">
        <v>79</v>
      </c>
      <c r="C958" s="37" t="s">
        <v>1188</v>
      </c>
      <c r="E958" s="37" t="s">
        <v>2832</v>
      </c>
      <c r="F958" s="24" t="s">
        <v>5443</v>
      </c>
      <c r="J958" s="214" t="s">
        <v>3803</v>
      </c>
      <c r="P958" s="37" t="s">
        <v>148</v>
      </c>
      <c r="S958" s="10" t="s">
        <v>3412</v>
      </c>
      <c r="U958" s="21">
        <v>1</v>
      </c>
      <c r="V958" s="21">
        <v>1</v>
      </c>
      <c r="W958" s="73">
        <f t="shared" si="39"/>
        <v>449</v>
      </c>
      <c r="X958" s="80">
        <f t="shared" si="38"/>
        <v>1658</v>
      </c>
      <c r="Y958" s="82" t="s">
        <v>3592</v>
      </c>
      <c r="Z958" s="24" t="s">
        <v>6230</v>
      </c>
    </row>
    <row r="959" spans="1:26" ht="15.45" customHeight="1" x14ac:dyDescent="0.25">
      <c r="A959" s="29" t="s">
        <v>1848</v>
      </c>
      <c r="C959" s="37" t="s">
        <v>1188</v>
      </c>
      <c r="E959" s="37" t="s">
        <v>2832</v>
      </c>
      <c r="F959" s="24" t="s">
        <v>5443</v>
      </c>
      <c r="J959" s="214" t="s">
        <v>3690</v>
      </c>
      <c r="K959" s="10" t="s">
        <v>3685</v>
      </c>
      <c r="P959" s="37" t="s">
        <v>2076</v>
      </c>
      <c r="S959" s="10" t="s">
        <v>3412</v>
      </c>
      <c r="U959" s="21">
        <v>1</v>
      </c>
      <c r="V959" s="21">
        <v>2</v>
      </c>
      <c r="W959" s="73">
        <f t="shared" si="39"/>
        <v>451</v>
      </c>
      <c r="X959" s="80">
        <f t="shared" si="38"/>
        <v>1660</v>
      </c>
      <c r="Y959" s="82" t="s">
        <v>3584</v>
      </c>
    </row>
    <row r="960" spans="1:26" ht="15.45" customHeight="1" x14ac:dyDescent="0.25">
      <c r="A960" s="29" t="s">
        <v>994</v>
      </c>
      <c r="C960" s="37" t="s">
        <v>1188</v>
      </c>
      <c r="E960" s="37" t="s">
        <v>2832</v>
      </c>
      <c r="F960" s="24" t="s">
        <v>5443</v>
      </c>
      <c r="J960" s="214" t="s">
        <v>3690</v>
      </c>
      <c r="K960" s="10" t="s">
        <v>3685</v>
      </c>
      <c r="P960" s="37" t="s">
        <v>1792</v>
      </c>
      <c r="S960" s="10" t="s">
        <v>3412</v>
      </c>
      <c r="U960" s="21">
        <v>1</v>
      </c>
      <c r="V960" s="21">
        <v>1</v>
      </c>
      <c r="W960" s="73">
        <f t="shared" si="39"/>
        <v>452</v>
      </c>
      <c r="X960" s="80">
        <f t="shared" si="38"/>
        <v>1661</v>
      </c>
      <c r="Y960" s="82" t="s">
        <v>3584</v>
      </c>
    </row>
    <row r="961" spans="1:26" ht="15.45" customHeight="1" x14ac:dyDescent="0.25">
      <c r="A961" s="29" t="s">
        <v>1026</v>
      </c>
      <c r="C961" s="37" t="s">
        <v>1188</v>
      </c>
      <c r="E961" s="37" t="s">
        <v>2832</v>
      </c>
      <c r="F961" s="24" t="s">
        <v>5443</v>
      </c>
      <c r="J961" s="214" t="s">
        <v>3690</v>
      </c>
      <c r="K961" s="10" t="s">
        <v>3685</v>
      </c>
      <c r="P961" s="37" t="s">
        <v>1792</v>
      </c>
      <c r="S961" s="10" t="s">
        <v>3412</v>
      </c>
      <c r="U961" s="21">
        <v>1</v>
      </c>
      <c r="V961" s="21">
        <v>1</v>
      </c>
      <c r="W961" s="73">
        <f t="shared" si="39"/>
        <v>453</v>
      </c>
      <c r="X961" s="80">
        <f t="shared" si="38"/>
        <v>1662</v>
      </c>
      <c r="Y961" s="82" t="s">
        <v>3584</v>
      </c>
    </row>
    <row r="962" spans="1:26" ht="15.45" customHeight="1" x14ac:dyDescent="0.25">
      <c r="A962" s="29" t="s">
        <v>921</v>
      </c>
      <c r="C962" s="37" t="s">
        <v>1188</v>
      </c>
      <c r="E962" s="37" t="s">
        <v>2832</v>
      </c>
      <c r="F962" s="24" t="s">
        <v>5443</v>
      </c>
      <c r="J962" s="214" t="s">
        <v>3690</v>
      </c>
      <c r="K962" s="10" t="s">
        <v>3685</v>
      </c>
      <c r="P962" s="37" t="s">
        <v>1792</v>
      </c>
      <c r="S962" s="10" t="s">
        <v>3412</v>
      </c>
      <c r="U962" s="21">
        <v>5</v>
      </c>
      <c r="V962" s="21">
        <v>5</v>
      </c>
      <c r="W962" s="73">
        <f t="shared" si="39"/>
        <v>458</v>
      </c>
      <c r="X962" s="80">
        <f t="shared" si="38"/>
        <v>1667</v>
      </c>
      <c r="Y962" s="82" t="s">
        <v>3584</v>
      </c>
    </row>
    <row r="963" spans="1:26" ht="15.45" customHeight="1" x14ac:dyDescent="0.25">
      <c r="A963" s="29" t="s">
        <v>1129</v>
      </c>
      <c r="C963" s="37" t="s">
        <v>1188</v>
      </c>
      <c r="E963" s="37" t="s">
        <v>2832</v>
      </c>
      <c r="F963" s="24" t="s">
        <v>5443</v>
      </c>
      <c r="J963" s="214" t="s">
        <v>3690</v>
      </c>
      <c r="K963" s="10" t="s">
        <v>3685</v>
      </c>
      <c r="P963" s="37" t="s">
        <v>1864</v>
      </c>
      <c r="S963" s="10" t="s">
        <v>3412</v>
      </c>
      <c r="U963" s="21">
        <v>3</v>
      </c>
      <c r="V963" s="21">
        <v>3</v>
      </c>
      <c r="W963" s="73">
        <f t="shared" si="39"/>
        <v>461</v>
      </c>
      <c r="X963" s="80">
        <f t="shared" si="38"/>
        <v>1670</v>
      </c>
      <c r="Y963" s="82" t="s">
        <v>3584</v>
      </c>
    </row>
    <row r="964" spans="1:26" ht="15.45" customHeight="1" x14ac:dyDescent="0.25">
      <c r="A964" s="29" t="s">
        <v>3275</v>
      </c>
      <c r="C964" s="37" t="s">
        <v>1188</v>
      </c>
      <c r="E964" s="37" t="s">
        <v>2832</v>
      </c>
      <c r="F964" s="24" t="s">
        <v>5443</v>
      </c>
      <c r="J964" s="214" t="s">
        <v>3690</v>
      </c>
      <c r="K964" s="10" t="s">
        <v>3685</v>
      </c>
      <c r="P964" s="37" t="s">
        <v>2074</v>
      </c>
      <c r="S964" s="10" t="s">
        <v>3412</v>
      </c>
      <c r="U964" s="21">
        <v>1</v>
      </c>
      <c r="V964" s="21">
        <v>1</v>
      </c>
      <c r="W964" s="73">
        <f t="shared" si="39"/>
        <v>462</v>
      </c>
      <c r="X964" s="80">
        <f t="shared" si="38"/>
        <v>1671</v>
      </c>
      <c r="Y964" s="82" t="s">
        <v>3584</v>
      </c>
    </row>
    <row r="965" spans="1:26" ht="15.45" customHeight="1" x14ac:dyDescent="0.25">
      <c r="A965" s="29" t="s">
        <v>7258</v>
      </c>
      <c r="C965" s="37" t="s">
        <v>1188</v>
      </c>
      <c r="E965" s="37" t="s">
        <v>2832</v>
      </c>
      <c r="F965" s="24" t="s">
        <v>5443</v>
      </c>
      <c r="H965" s="233" t="s">
        <v>7259</v>
      </c>
      <c r="J965" s="214" t="s">
        <v>3690</v>
      </c>
      <c r="K965" s="10" t="s">
        <v>3685</v>
      </c>
      <c r="P965" s="37" t="s">
        <v>1933</v>
      </c>
      <c r="S965" s="10" t="s">
        <v>3412</v>
      </c>
      <c r="U965" s="21">
        <v>1</v>
      </c>
      <c r="V965" s="21">
        <v>1</v>
      </c>
      <c r="W965" s="73">
        <f t="shared" si="39"/>
        <v>463</v>
      </c>
      <c r="X965" s="80">
        <f t="shared" si="38"/>
        <v>1672</v>
      </c>
      <c r="Y965" s="82" t="s">
        <v>3584</v>
      </c>
    </row>
    <row r="966" spans="1:26" ht="15.45" customHeight="1" x14ac:dyDescent="0.25">
      <c r="A966" s="29" t="s">
        <v>3276</v>
      </c>
      <c r="C966" s="37" t="s">
        <v>1188</v>
      </c>
      <c r="E966" s="37" t="s">
        <v>2832</v>
      </c>
      <c r="F966" s="24" t="s">
        <v>5443</v>
      </c>
      <c r="J966" s="214" t="s">
        <v>3690</v>
      </c>
      <c r="K966" s="10" t="s">
        <v>3685</v>
      </c>
      <c r="P966" s="37" t="s">
        <v>1792</v>
      </c>
      <c r="S966" s="10" t="s">
        <v>3412</v>
      </c>
      <c r="U966" s="21">
        <v>1</v>
      </c>
      <c r="V966" s="21">
        <v>1</v>
      </c>
      <c r="W966" s="73">
        <f t="shared" si="39"/>
        <v>464</v>
      </c>
      <c r="X966" s="80">
        <f t="shared" si="38"/>
        <v>1673</v>
      </c>
      <c r="Y966" s="82" t="s">
        <v>3584</v>
      </c>
    </row>
    <row r="967" spans="1:26" ht="15.45" customHeight="1" x14ac:dyDescent="0.25">
      <c r="A967" s="29" t="s">
        <v>3277</v>
      </c>
      <c r="C967" s="37" t="s">
        <v>1188</v>
      </c>
      <c r="E967" s="37" t="s">
        <v>2832</v>
      </c>
      <c r="F967" s="24" t="s">
        <v>5443</v>
      </c>
      <c r="J967" s="214" t="s">
        <v>3690</v>
      </c>
      <c r="K967" s="10" t="s">
        <v>3685</v>
      </c>
      <c r="P967" s="37" t="s">
        <v>60</v>
      </c>
      <c r="S967" s="10" t="s">
        <v>3412</v>
      </c>
      <c r="U967" s="21">
        <v>1</v>
      </c>
      <c r="V967" s="21">
        <v>1</v>
      </c>
      <c r="W967" s="73">
        <f t="shared" si="39"/>
        <v>465</v>
      </c>
      <c r="X967" s="80">
        <f t="shared" si="38"/>
        <v>1674</v>
      </c>
      <c r="Y967" s="82" t="s">
        <v>3584</v>
      </c>
    </row>
    <row r="968" spans="1:26" ht="15.45" customHeight="1" x14ac:dyDescent="0.25">
      <c r="A968" s="29" t="s">
        <v>1961</v>
      </c>
      <c r="C968" s="37" t="s">
        <v>1188</v>
      </c>
      <c r="E968" s="37" t="s">
        <v>2832</v>
      </c>
      <c r="F968" s="24" t="s">
        <v>5443</v>
      </c>
      <c r="J968" s="214" t="s">
        <v>3690</v>
      </c>
      <c r="K968" s="10" t="s">
        <v>3685</v>
      </c>
      <c r="P968" s="37" t="s">
        <v>1836</v>
      </c>
      <c r="S968" s="10" t="s">
        <v>3412</v>
      </c>
      <c r="U968" s="21">
        <v>1</v>
      </c>
      <c r="V968" s="21">
        <v>1</v>
      </c>
      <c r="W968" s="73">
        <f t="shared" si="39"/>
        <v>466</v>
      </c>
      <c r="X968" s="80">
        <f t="shared" ref="X968:X1031" si="40">V968+X967</f>
        <v>1675</v>
      </c>
      <c r="Y968" s="82" t="s">
        <v>3584</v>
      </c>
    </row>
    <row r="969" spans="1:26" ht="15.45" customHeight="1" x14ac:dyDescent="0.25">
      <c r="A969" s="29" t="s">
        <v>1242</v>
      </c>
      <c r="C969" s="37" t="s">
        <v>1188</v>
      </c>
      <c r="E969" s="37" t="s">
        <v>2832</v>
      </c>
      <c r="F969" s="24" t="s">
        <v>5443</v>
      </c>
      <c r="J969" s="214" t="s">
        <v>3803</v>
      </c>
      <c r="S969" s="10" t="s">
        <v>3412</v>
      </c>
      <c r="U969" s="21">
        <v>1</v>
      </c>
      <c r="V969" s="21">
        <v>1</v>
      </c>
      <c r="W969" s="73">
        <f t="shared" si="39"/>
        <v>467</v>
      </c>
      <c r="X969" s="80">
        <f t="shared" si="40"/>
        <v>1676</v>
      </c>
      <c r="Y969" s="82" t="s">
        <v>3592</v>
      </c>
      <c r="Z969" s="24" t="s">
        <v>1643</v>
      </c>
    </row>
    <row r="970" spans="1:26" ht="15.45" customHeight="1" x14ac:dyDescent="0.25">
      <c r="A970" s="29" t="s">
        <v>1021</v>
      </c>
      <c r="C970" s="37" t="s">
        <v>1188</v>
      </c>
      <c r="E970" s="37" t="s">
        <v>2832</v>
      </c>
      <c r="F970" s="24" t="s">
        <v>5443</v>
      </c>
      <c r="J970" s="214" t="s">
        <v>3803</v>
      </c>
      <c r="S970" s="10" t="s">
        <v>3412</v>
      </c>
      <c r="U970" s="21">
        <v>1</v>
      </c>
      <c r="V970" s="21">
        <v>1</v>
      </c>
      <c r="W970" s="73">
        <f t="shared" si="39"/>
        <v>468</v>
      </c>
      <c r="X970" s="80">
        <f t="shared" si="40"/>
        <v>1677</v>
      </c>
      <c r="Y970" s="82" t="s">
        <v>3592</v>
      </c>
      <c r="Z970" s="24" t="s">
        <v>1643</v>
      </c>
    </row>
    <row r="971" spans="1:26" ht="15.45" customHeight="1" x14ac:dyDescent="0.25">
      <c r="A971" s="29" t="s">
        <v>1484</v>
      </c>
      <c r="C971" s="37" t="s">
        <v>1188</v>
      </c>
      <c r="E971" s="37" t="s">
        <v>2832</v>
      </c>
      <c r="F971" s="24" t="s">
        <v>5443</v>
      </c>
      <c r="J971" s="214" t="s">
        <v>3803</v>
      </c>
      <c r="S971" s="10" t="s">
        <v>3412</v>
      </c>
      <c r="U971" s="21">
        <v>2</v>
      </c>
      <c r="V971" s="21">
        <v>2</v>
      </c>
      <c r="W971" s="73">
        <f t="shared" si="39"/>
        <v>470</v>
      </c>
      <c r="X971" s="80">
        <f t="shared" si="40"/>
        <v>1679</v>
      </c>
      <c r="Y971" s="82" t="s">
        <v>3592</v>
      </c>
      <c r="Z971" s="24" t="s">
        <v>1643</v>
      </c>
    </row>
    <row r="972" spans="1:26" ht="15.45" customHeight="1" x14ac:dyDescent="0.25">
      <c r="A972" s="29" t="s">
        <v>1120</v>
      </c>
      <c r="C972" s="37" t="s">
        <v>1188</v>
      </c>
      <c r="E972" s="37" t="s">
        <v>2832</v>
      </c>
      <c r="F972" s="24" t="s">
        <v>5443</v>
      </c>
      <c r="J972" s="214" t="s">
        <v>3803</v>
      </c>
      <c r="S972" s="10" t="s">
        <v>3412</v>
      </c>
      <c r="U972" s="21">
        <v>1</v>
      </c>
      <c r="V972" s="21">
        <v>1</v>
      </c>
      <c r="W972" s="73">
        <f t="shared" ref="W972:W1036" si="41">W971+V972</f>
        <v>471</v>
      </c>
      <c r="X972" s="80">
        <f t="shared" si="40"/>
        <v>1680</v>
      </c>
      <c r="Y972" s="82" t="s">
        <v>3592</v>
      </c>
      <c r="Z972" s="24" t="s">
        <v>1643</v>
      </c>
    </row>
    <row r="973" spans="1:26" ht="15.45" customHeight="1" x14ac:dyDescent="0.25">
      <c r="A973" s="29" t="s">
        <v>1237</v>
      </c>
      <c r="C973" s="37" t="s">
        <v>1188</v>
      </c>
      <c r="E973" s="37" t="s">
        <v>2832</v>
      </c>
      <c r="F973" s="24" t="s">
        <v>5443</v>
      </c>
      <c r="J973" s="214" t="s">
        <v>3803</v>
      </c>
      <c r="S973" s="10" t="s">
        <v>3412</v>
      </c>
      <c r="U973" s="21">
        <v>1</v>
      </c>
      <c r="V973" s="21">
        <v>1</v>
      </c>
      <c r="W973" s="73">
        <f t="shared" si="41"/>
        <v>472</v>
      </c>
      <c r="X973" s="80">
        <f t="shared" si="40"/>
        <v>1681</v>
      </c>
      <c r="Y973" s="82" t="s">
        <v>3592</v>
      </c>
      <c r="Z973" s="24" t="s">
        <v>1643</v>
      </c>
    </row>
    <row r="974" spans="1:26" ht="15.45" customHeight="1" x14ac:dyDescent="0.25">
      <c r="A974" s="29" t="s">
        <v>1483</v>
      </c>
      <c r="C974" s="37" t="s">
        <v>1188</v>
      </c>
      <c r="E974" s="37" t="s">
        <v>2832</v>
      </c>
      <c r="F974" s="24" t="s">
        <v>5443</v>
      </c>
      <c r="J974" s="214" t="s">
        <v>3803</v>
      </c>
      <c r="S974" s="10" t="s">
        <v>3412</v>
      </c>
      <c r="U974" s="21">
        <v>1</v>
      </c>
      <c r="V974" s="21">
        <v>1</v>
      </c>
      <c r="W974" s="73">
        <f t="shared" si="41"/>
        <v>473</v>
      </c>
      <c r="X974" s="80">
        <f t="shared" si="40"/>
        <v>1682</v>
      </c>
      <c r="Y974" s="82" t="s">
        <v>3592</v>
      </c>
      <c r="Z974" s="24" t="s">
        <v>1643</v>
      </c>
    </row>
    <row r="975" spans="1:26" ht="15.45" customHeight="1" x14ac:dyDescent="0.25">
      <c r="A975" s="29" t="s">
        <v>1396</v>
      </c>
      <c r="C975" s="37" t="s">
        <v>1188</v>
      </c>
      <c r="E975" s="37" t="s">
        <v>2832</v>
      </c>
      <c r="F975" s="24" t="s">
        <v>5443</v>
      </c>
      <c r="J975" s="214" t="s">
        <v>3803</v>
      </c>
      <c r="S975" s="10" t="s">
        <v>3412</v>
      </c>
      <c r="U975" s="21">
        <v>1</v>
      </c>
      <c r="V975" s="21">
        <v>1</v>
      </c>
      <c r="W975" s="73">
        <f t="shared" si="41"/>
        <v>474</v>
      </c>
      <c r="X975" s="80">
        <f t="shared" si="40"/>
        <v>1683</v>
      </c>
      <c r="Y975" s="82" t="s">
        <v>3592</v>
      </c>
      <c r="Z975" s="24" t="s">
        <v>1643</v>
      </c>
    </row>
    <row r="976" spans="1:26" ht="15.45" customHeight="1" x14ac:dyDescent="0.25">
      <c r="A976" s="29" t="s">
        <v>1378</v>
      </c>
      <c r="C976" s="37" t="s">
        <v>1188</v>
      </c>
      <c r="E976" s="37" t="s">
        <v>2832</v>
      </c>
      <c r="F976" s="24" t="s">
        <v>5443</v>
      </c>
      <c r="J976" s="214" t="s">
        <v>3803</v>
      </c>
      <c r="S976" s="10" t="s">
        <v>3412</v>
      </c>
      <c r="U976" s="21">
        <v>1</v>
      </c>
      <c r="V976" s="21">
        <v>1</v>
      </c>
      <c r="W976" s="73">
        <f t="shared" si="41"/>
        <v>475</v>
      </c>
      <c r="X976" s="80">
        <f t="shared" si="40"/>
        <v>1684</v>
      </c>
      <c r="Y976" s="82" t="s">
        <v>3592</v>
      </c>
      <c r="Z976" s="24" t="s">
        <v>1643</v>
      </c>
    </row>
    <row r="977" spans="1:29" ht="15.45" customHeight="1" x14ac:dyDescent="0.25">
      <c r="A977" s="29" t="s">
        <v>1121</v>
      </c>
      <c r="C977" s="37" t="s">
        <v>1188</v>
      </c>
      <c r="E977" s="37" t="s">
        <v>2832</v>
      </c>
      <c r="F977" s="24" t="s">
        <v>5443</v>
      </c>
      <c r="J977" s="214" t="s">
        <v>3803</v>
      </c>
      <c r="S977" s="10" t="s">
        <v>3412</v>
      </c>
      <c r="U977" s="21">
        <v>1</v>
      </c>
      <c r="V977" s="21">
        <v>1</v>
      </c>
      <c r="W977" s="73">
        <f t="shared" si="41"/>
        <v>476</v>
      </c>
      <c r="X977" s="80">
        <f t="shared" si="40"/>
        <v>1685</v>
      </c>
      <c r="Y977" s="82" t="s">
        <v>3592</v>
      </c>
      <c r="Z977" s="24" t="s">
        <v>1643</v>
      </c>
    </row>
    <row r="978" spans="1:29" ht="15.45" customHeight="1" x14ac:dyDescent="0.25">
      <c r="A978" s="29" t="s">
        <v>3646</v>
      </c>
      <c r="C978" s="37" t="s">
        <v>1188</v>
      </c>
      <c r="E978" s="37" t="s">
        <v>2832</v>
      </c>
      <c r="F978" s="24" t="s">
        <v>5443</v>
      </c>
      <c r="J978" s="214" t="s">
        <v>3802</v>
      </c>
      <c r="S978" s="10" t="s">
        <v>3412</v>
      </c>
      <c r="U978" s="21">
        <v>1</v>
      </c>
      <c r="V978" s="21">
        <v>1</v>
      </c>
      <c r="W978" s="73">
        <f t="shared" si="41"/>
        <v>477</v>
      </c>
      <c r="X978" s="80">
        <f t="shared" si="40"/>
        <v>1686</v>
      </c>
      <c r="Y978" s="82" t="s">
        <v>3584</v>
      </c>
      <c r="AB978" s="177">
        <v>43175</v>
      </c>
      <c r="AC978" s="84" t="s">
        <v>2885</v>
      </c>
    </row>
    <row r="979" spans="1:29" ht="15.45" customHeight="1" x14ac:dyDescent="0.25">
      <c r="A979" s="29" t="s">
        <v>1962</v>
      </c>
      <c r="C979" s="37" t="s">
        <v>1188</v>
      </c>
      <c r="E979" s="37" t="s">
        <v>2832</v>
      </c>
      <c r="F979" s="24" t="s">
        <v>5443</v>
      </c>
      <c r="J979" s="214" t="s">
        <v>3690</v>
      </c>
      <c r="K979" s="10" t="s">
        <v>3685</v>
      </c>
      <c r="P979" s="37" t="s">
        <v>1748</v>
      </c>
      <c r="S979" s="10" t="s">
        <v>3412</v>
      </c>
      <c r="U979" s="21">
        <v>1</v>
      </c>
      <c r="V979" s="21">
        <v>3</v>
      </c>
      <c r="W979" s="73">
        <f t="shared" si="41"/>
        <v>480</v>
      </c>
      <c r="X979" s="80">
        <f t="shared" si="40"/>
        <v>1689</v>
      </c>
      <c r="Y979" s="82" t="s">
        <v>3584</v>
      </c>
    </row>
    <row r="980" spans="1:29" ht="15.45" customHeight="1" x14ac:dyDescent="0.25">
      <c r="A980" s="29" t="s">
        <v>1575</v>
      </c>
      <c r="C980" s="37" t="s">
        <v>1188</v>
      </c>
      <c r="E980" s="37" t="s">
        <v>2832</v>
      </c>
      <c r="F980" s="24" t="s">
        <v>5443</v>
      </c>
      <c r="J980" s="214" t="s">
        <v>3690</v>
      </c>
      <c r="K980" s="10" t="s">
        <v>3685</v>
      </c>
      <c r="P980" s="37" t="s">
        <v>1748</v>
      </c>
      <c r="S980" s="10" t="s">
        <v>3412</v>
      </c>
      <c r="U980" s="21">
        <v>1</v>
      </c>
      <c r="V980" s="21">
        <v>2</v>
      </c>
      <c r="W980" s="73">
        <f t="shared" si="41"/>
        <v>482</v>
      </c>
      <c r="X980" s="80">
        <f t="shared" si="40"/>
        <v>1691</v>
      </c>
      <c r="Y980" s="82" t="s">
        <v>3584</v>
      </c>
    </row>
    <row r="981" spans="1:29" ht="15.45" customHeight="1" x14ac:dyDescent="0.25">
      <c r="A981" s="29" t="s">
        <v>1574</v>
      </c>
      <c r="C981" s="37" t="s">
        <v>1188</v>
      </c>
      <c r="E981" s="37" t="s">
        <v>2832</v>
      </c>
      <c r="F981" s="24" t="s">
        <v>5443</v>
      </c>
      <c r="J981" s="214" t="s">
        <v>3690</v>
      </c>
      <c r="K981" s="10" t="s">
        <v>3685</v>
      </c>
      <c r="P981" s="37" t="s">
        <v>62</v>
      </c>
      <c r="S981" s="10" t="s">
        <v>3412</v>
      </c>
      <c r="U981" s="21">
        <v>1</v>
      </c>
      <c r="V981" s="21">
        <v>2</v>
      </c>
      <c r="W981" s="73">
        <f t="shared" si="41"/>
        <v>484</v>
      </c>
      <c r="X981" s="80">
        <f t="shared" si="40"/>
        <v>1693</v>
      </c>
      <c r="Y981" s="82" t="s">
        <v>3584</v>
      </c>
    </row>
    <row r="982" spans="1:29" ht="15.45" customHeight="1" x14ac:dyDescent="0.25">
      <c r="A982" s="29" t="s">
        <v>1582</v>
      </c>
      <c r="C982" s="37" t="s">
        <v>1188</v>
      </c>
      <c r="E982" s="37" t="s">
        <v>2832</v>
      </c>
      <c r="F982" s="24" t="s">
        <v>5443</v>
      </c>
      <c r="J982" s="214" t="s">
        <v>3690</v>
      </c>
      <c r="K982" s="10" t="s">
        <v>3685</v>
      </c>
      <c r="P982" s="37" t="s">
        <v>1870</v>
      </c>
      <c r="S982" s="10" t="s">
        <v>3412</v>
      </c>
      <c r="U982" s="21">
        <v>1</v>
      </c>
      <c r="V982" s="21">
        <v>1</v>
      </c>
      <c r="W982" s="73">
        <f t="shared" si="41"/>
        <v>485</v>
      </c>
      <c r="X982" s="80">
        <f t="shared" si="40"/>
        <v>1694</v>
      </c>
      <c r="Y982" s="82" t="s">
        <v>3584</v>
      </c>
    </row>
    <row r="983" spans="1:29" ht="15.45" customHeight="1" x14ac:dyDescent="0.25">
      <c r="A983" s="29" t="s">
        <v>1248</v>
      </c>
      <c r="C983" s="37" t="s">
        <v>1188</v>
      </c>
      <c r="E983" s="37" t="s">
        <v>2832</v>
      </c>
      <c r="F983" s="24" t="s">
        <v>5443</v>
      </c>
      <c r="J983" s="214" t="s">
        <v>3690</v>
      </c>
      <c r="K983" s="10" t="s">
        <v>3685</v>
      </c>
      <c r="P983" s="37" t="s">
        <v>1792</v>
      </c>
      <c r="S983" s="10" t="s">
        <v>3412</v>
      </c>
      <c r="U983" s="21">
        <v>1</v>
      </c>
      <c r="V983" s="21">
        <v>3</v>
      </c>
      <c r="W983" s="73">
        <f t="shared" si="41"/>
        <v>488</v>
      </c>
      <c r="X983" s="80">
        <f t="shared" si="40"/>
        <v>1697</v>
      </c>
      <c r="Y983" s="82" t="s">
        <v>3584</v>
      </c>
    </row>
    <row r="984" spans="1:29" ht="15.45" customHeight="1" x14ac:dyDescent="0.25">
      <c r="A984" s="29" t="s">
        <v>3278</v>
      </c>
      <c r="C984" s="37" t="s">
        <v>1188</v>
      </c>
      <c r="E984" s="37" t="s">
        <v>2832</v>
      </c>
      <c r="F984" s="24" t="s">
        <v>5443</v>
      </c>
      <c r="J984" s="214" t="s">
        <v>3690</v>
      </c>
      <c r="K984" s="10" t="s">
        <v>3685</v>
      </c>
      <c r="P984" s="37" t="s">
        <v>1792</v>
      </c>
      <c r="S984" s="10" t="s">
        <v>3412</v>
      </c>
      <c r="U984" s="21">
        <v>2</v>
      </c>
      <c r="V984" s="21">
        <v>2</v>
      </c>
      <c r="W984" s="73">
        <f t="shared" si="41"/>
        <v>490</v>
      </c>
      <c r="X984" s="80">
        <f t="shared" si="40"/>
        <v>1699</v>
      </c>
      <c r="Y984" s="82" t="s">
        <v>3584</v>
      </c>
    </row>
    <row r="985" spans="1:29" ht="15.45" customHeight="1" x14ac:dyDescent="0.25">
      <c r="A985" s="29" t="s">
        <v>1233</v>
      </c>
      <c r="C985" s="37" t="s">
        <v>1188</v>
      </c>
      <c r="E985" s="37" t="s">
        <v>2832</v>
      </c>
      <c r="F985" s="24" t="s">
        <v>5443</v>
      </c>
      <c r="J985" s="214" t="s">
        <v>3690</v>
      </c>
      <c r="K985" s="10" t="s">
        <v>3685</v>
      </c>
      <c r="Q985" s="37" t="s">
        <v>1991</v>
      </c>
      <c r="R985" s="37" t="s">
        <v>1811</v>
      </c>
      <c r="S985" s="10" t="s">
        <v>3412</v>
      </c>
      <c r="U985" s="21">
        <v>1</v>
      </c>
      <c r="V985" s="21">
        <v>1</v>
      </c>
      <c r="W985" s="73">
        <f t="shared" si="41"/>
        <v>491</v>
      </c>
      <c r="X985" s="80">
        <f t="shared" si="40"/>
        <v>1700</v>
      </c>
      <c r="Y985" s="82" t="s">
        <v>3584</v>
      </c>
    </row>
    <row r="986" spans="1:29" ht="15.45" customHeight="1" x14ac:dyDescent="0.25">
      <c r="A986" s="29" t="s">
        <v>1572</v>
      </c>
      <c r="C986" s="37" t="s">
        <v>1188</v>
      </c>
      <c r="E986" s="37" t="s">
        <v>2832</v>
      </c>
      <c r="F986" s="24" t="s">
        <v>5443</v>
      </c>
      <c r="J986" s="214" t="s">
        <v>3690</v>
      </c>
      <c r="K986" s="10" t="s">
        <v>3685</v>
      </c>
      <c r="P986" s="37" t="s">
        <v>1860</v>
      </c>
      <c r="S986" s="10" t="s">
        <v>3412</v>
      </c>
      <c r="U986" s="21">
        <v>1</v>
      </c>
      <c r="V986" s="21">
        <v>1</v>
      </c>
      <c r="W986" s="73">
        <f t="shared" si="41"/>
        <v>492</v>
      </c>
      <c r="X986" s="80">
        <f t="shared" si="40"/>
        <v>1701</v>
      </c>
      <c r="Y986" s="82" t="s">
        <v>3584</v>
      </c>
    </row>
    <row r="987" spans="1:29" ht="15.45" customHeight="1" x14ac:dyDescent="0.25">
      <c r="A987" s="29" t="s">
        <v>3279</v>
      </c>
      <c r="C987" s="37" t="s">
        <v>1188</v>
      </c>
      <c r="E987" s="37" t="s">
        <v>2832</v>
      </c>
      <c r="F987" s="24" t="s">
        <v>5443</v>
      </c>
      <c r="J987" s="214" t="s">
        <v>3690</v>
      </c>
      <c r="K987" s="10" t="s">
        <v>3685</v>
      </c>
      <c r="P987" s="37" t="s">
        <v>1644</v>
      </c>
      <c r="S987" s="10" t="s">
        <v>3412</v>
      </c>
      <c r="U987" s="21">
        <v>1</v>
      </c>
      <c r="V987" s="21">
        <v>1</v>
      </c>
      <c r="W987" s="73">
        <f t="shared" si="41"/>
        <v>493</v>
      </c>
      <c r="X987" s="80">
        <f t="shared" si="40"/>
        <v>1702</v>
      </c>
      <c r="Y987" s="82" t="s">
        <v>3584</v>
      </c>
    </row>
    <row r="988" spans="1:29" ht="15.45" customHeight="1" x14ac:dyDescent="0.25">
      <c r="A988" s="29" t="s">
        <v>1587</v>
      </c>
      <c r="C988" s="37" t="s">
        <v>1188</v>
      </c>
      <c r="E988" s="37" t="s">
        <v>2832</v>
      </c>
      <c r="F988" s="24" t="s">
        <v>5443</v>
      </c>
      <c r="J988" s="214" t="s">
        <v>3690</v>
      </c>
      <c r="K988" s="10" t="s">
        <v>3685</v>
      </c>
      <c r="P988" s="37" t="s">
        <v>1642</v>
      </c>
      <c r="S988" s="10" t="s">
        <v>3412</v>
      </c>
      <c r="U988" s="21">
        <v>1</v>
      </c>
      <c r="V988" s="21">
        <v>1</v>
      </c>
      <c r="W988" s="73">
        <f t="shared" si="41"/>
        <v>494</v>
      </c>
      <c r="X988" s="80">
        <f t="shared" si="40"/>
        <v>1703</v>
      </c>
      <c r="Y988" s="82" t="s">
        <v>3584</v>
      </c>
    </row>
    <row r="989" spans="1:29" ht="15.45" customHeight="1" x14ac:dyDescent="0.25">
      <c r="A989" s="29" t="s">
        <v>1333</v>
      </c>
      <c r="C989" s="37" t="s">
        <v>1188</v>
      </c>
      <c r="E989" s="37" t="s">
        <v>2832</v>
      </c>
      <c r="F989" s="24" t="s">
        <v>5443</v>
      </c>
      <c r="J989" s="214" t="s">
        <v>3690</v>
      </c>
      <c r="K989" s="10" t="s">
        <v>3685</v>
      </c>
      <c r="P989" s="37" t="s">
        <v>1792</v>
      </c>
      <c r="S989" s="10" t="s">
        <v>3412</v>
      </c>
      <c r="U989" s="21">
        <v>1</v>
      </c>
      <c r="V989" s="21">
        <v>1</v>
      </c>
      <c r="W989" s="73">
        <f t="shared" si="41"/>
        <v>495</v>
      </c>
      <c r="X989" s="80">
        <f t="shared" si="40"/>
        <v>1704</v>
      </c>
      <c r="Y989" s="82" t="s">
        <v>3584</v>
      </c>
    </row>
    <row r="990" spans="1:29" ht="15.45" customHeight="1" x14ac:dyDescent="0.25">
      <c r="A990" s="29" t="s">
        <v>3280</v>
      </c>
      <c r="C990" s="37" t="s">
        <v>1188</v>
      </c>
      <c r="E990" s="37" t="s">
        <v>2832</v>
      </c>
      <c r="F990" s="24" t="s">
        <v>5443</v>
      </c>
      <c r="J990" s="214" t="s">
        <v>3690</v>
      </c>
      <c r="K990" s="10" t="s">
        <v>3685</v>
      </c>
      <c r="P990" s="37" t="s">
        <v>1792</v>
      </c>
      <c r="S990" s="10" t="s">
        <v>3412</v>
      </c>
      <c r="U990" s="21">
        <v>1</v>
      </c>
      <c r="V990" s="21">
        <v>1</v>
      </c>
      <c r="W990" s="73">
        <f t="shared" si="41"/>
        <v>496</v>
      </c>
      <c r="X990" s="80">
        <f t="shared" si="40"/>
        <v>1705</v>
      </c>
      <c r="Y990" s="82" t="s">
        <v>3584</v>
      </c>
    </row>
    <row r="991" spans="1:29" ht="15.45" customHeight="1" x14ac:dyDescent="0.25">
      <c r="A991" s="29" t="s">
        <v>3281</v>
      </c>
      <c r="C991" s="37" t="s">
        <v>1188</v>
      </c>
      <c r="E991" s="37" t="s">
        <v>2832</v>
      </c>
      <c r="F991" s="24" t="s">
        <v>5443</v>
      </c>
      <c r="J991" s="214" t="s">
        <v>3690</v>
      </c>
      <c r="K991" s="10" t="s">
        <v>3685</v>
      </c>
      <c r="P991" s="37" t="s">
        <v>1982</v>
      </c>
      <c r="S991" s="10" t="s">
        <v>3412</v>
      </c>
      <c r="U991" s="21">
        <v>1</v>
      </c>
      <c r="V991" s="21">
        <v>1</v>
      </c>
      <c r="W991" s="73">
        <f t="shared" si="41"/>
        <v>497</v>
      </c>
      <c r="X991" s="80">
        <f t="shared" si="40"/>
        <v>1706</v>
      </c>
      <c r="Y991" s="82" t="s">
        <v>3584</v>
      </c>
    </row>
    <row r="992" spans="1:29" ht="15.45" customHeight="1" x14ac:dyDescent="0.25">
      <c r="A992" s="29" t="s">
        <v>3282</v>
      </c>
      <c r="C992" s="37" t="s">
        <v>1188</v>
      </c>
      <c r="E992" s="37" t="s">
        <v>2832</v>
      </c>
      <c r="F992" s="24" t="s">
        <v>5443</v>
      </c>
      <c r="J992" s="214" t="s">
        <v>3690</v>
      </c>
      <c r="K992" s="10" t="s">
        <v>3685</v>
      </c>
      <c r="P992" s="37" t="s">
        <v>1990</v>
      </c>
      <c r="S992" s="10" t="s">
        <v>3412</v>
      </c>
      <c r="U992" s="21">
        <v>1</v>
      </c>
      <c r="V992" s="21">
        <v>1</v>
      </c>
      <c r="W992" s="73">
        <f t="shared" si="41"/>
        <v>498</v>
      </c>
      <c r="X992" s="80">
        <f t="shared" si="40"/>
        <v>1707</v>
      </c>
      <c r="Y992" s="82" t="s">
        <v>3584</v>
      </c>
    </row>
    <row r="993" spans="1:37" ht="15.45" customHeight="1" x14ac:dyDescent="0.25">
      <c r="A993" s="29" t="s">
        <v>1525</v>
      </c>
      <c r="C993" s="37" t="s">
        <v>1188</v>
      </c>
      <c r="E993" s="37" t="s">
        <v>2832</v>
      </c>
      <c r="F993" s="24" t="s">
        <v>5443</v>
      </c>
      <c r="J993" s="214" t="s">
        <v>3690</v>
      </c>
      <c r="K993" s="10" t="s">
        <v>3685</v>
      </c>
      <c r="P993" s="37" t="s">
        <v>1982</v>
      </c>
      <c r="S993" s="10" t="s">
        <v>3412</v>
      </c>
      <c r="U993" s="21">
        <v>1</v>
      </c>
      <c r="V993" s="21">
        <v>1</v>
      </c>
      <c r="W993" s="73">
        <f t="shared" si="41"/>
        <v>499</v>
      </c>
      <c r="X993" s="80">
        <f t="shared" si="40"/>
        <v>1708</v>
      </c>
      <c r="Y993" s="82" t="s">
        <v>3584</v>
      </c>
    </row>
    <row r="994" spans="1:37" ht="15.45" customHeight="1" x14ac:dyDescent="0.25">
      <c r="A994" s="29" t="s">
        <v>1537</v>
      </c>
      <c r="C994" s="37" t="s">
        <v>1188</v>
      </c>
      <c r="E994" s="37" t="s">
        <v>2832</v>
      </c>
      <c r="F994" s="24" t="s">
        <v>5443</v>
      </c>
      <c r="J994" s="214" t="s">
        <v>3690</v>
      </c>
      <c r="K994" s="10" t="s">
        <v>3685</v>
      </c>
      <c r="P994" s="37" t="s">
        <v>1792</v>
      </c>
      <c r="S994" s="10" t="s">
        <v>3412</v>
      </c>
      <c r="U994" s="21">
        <v>1</v>
      </c>
      <c r="V994" s="21">
        <v>1</v>
      </c>
      <c r="W994" s="73">
        <f t="shared" si="41"/>
        <v>500</v>
      </c>
      <c r="X994" s="80">
        <f t="shared" si="40"/>
        <v>1709</v>
      </c>
      <c r="Y994" s="82" t="s">
        <v>3584</v>
      </c>
    </row>
    <row r="995" spans="1:37" ht="15.45" customHeight="1" x14ac:dyDescent="0.25">
      <c r="A995" s="29" t="s">
        <v>1832</v>
      </c>
      <c r="C995" s="37" t="s">
        <v>1188</v>
      </c>
      <c r="E995" s="37" t="s">
        <v>2832</v>
      </c>
      <c r="F995" s="24" t="s">
        <v>5443</v>
      </c>
      <c r="J995" s="214" t="s">
        <v>3690</v>
      </c>
      <c r="K995" s="10" t="s">
        <v>3685</v>
      </c>
      <c r="P995" s="37" t="s">
        <v>1792</v>
      </c>
      <c r="S995" s="10" t="s">
        <v>3412</v>
      </c>
      <c r="U995" s="21">
        <v>1</v>
      </c>
      <c r="V995" s="21">
        <v>1</v>
      </c>
      <c r="W995" s="73">
        <f t="shared" si="41"/>
        <v>501</v>
      </c>
      <c r="X995" s="80">
        <f t="shared" si="40"/>
        <v>1710</v>
      </c>
      <c r="Y995" s="82" t="s">
        <v>3584</v>
      </c>
    </row>
    <row r="996" spans="1:37" ht="15.45" customHeight="1" x14ac:dyDescent="0.25">
      <c r="A996" s="31" t="s">
        <v>3283</v>
      </c>
      <c r="C996" s="37" t="s">
        <v>1188</v>
      </c>
      <c r="E996" s="37" t="s">
        <v>2832</v>
      </c>
      <c r="F996" s="24" t="s">
        <v>5443</v>
      </c>
      <c r="H996" s="39"/>
      <c r="J996" s="214" t="s">
        <v>3690</v>
      </c>
      <c r="K996" s="10" t="s">
        <v>3685</v>
      </c>
      <c r="P996" s="37" t="s">
        <v>1734</v>
      </c>
      <c r="S996" s="10" t="s">
        <v>3412</v>
      </c>
      <c r="T996" s="11"/>
      <c r="U996" s="21">
        <v>1</v>
      </c>
      <c r="V996" s="21">
        <v>1</v>
      </c>
      <c r="W996" s="73">
        <f t="shared" si="41"/>
        <v>502</v>
      </c>
      <c r="X996" s="80">
        <f t="shared" si="40"/>
        <v>1711</v>
      </c>
      <c r="Y996" s="82" t="s">
        <v>3584</v>
      </c>
      <c r="AF996" s="11"/>
      <c r="AG996" s="11"/>
      <c r="AH996" s="11"/>
      <c r="AI996" s="11"/>
      <c r="AJ996" s="11"/>
      <c r="AK996" s="11"/>
    </row>
    <row r="997" spans="1:37" ht="15.45" customHeight="1" x14ac:dyDescent="0.25">
      <c r="A997" s="29" t="s">
        <v>3284</v>
      </c>
      <c r="C997" s="37" t="s">
        <v>1188</v>
      </c>
      <c r="E997" s="37" t="s">
        <v>2832</v>
      </c>
      <c r="F997" s="24" t="s">
        <v>5443</v>
      </c>
      <c r="J997" s="214" t="s">
        <v>3690</v>
      </c>
      <c r="K997" s="10" t="s">
        <v>3685</v>
      </c>
      <c r="P997" s="37" t="s">
        <v>1642</v>
      </c>
      <c r="S997" s="10" t="s">
        <v>3412</v>
      </c>
      <c r="U997" s="21">
        <v>1</v>
      </c>
      <c r="V997" s="21">
        <v>1</v>
      </c>
      <c r="W997" s="73">
        <f t="shared" si="41"/>
        <v>503</v>
      </c>
      <c r="X997" s="80">
        <f t="shared" si="40"/>
        <v>1712</v>
      </c>
      <c r="Y997" s="82" t="s">
        <v>3584</v>
      </c>
    </row>
    <row r="998" spans="1:37" ht="15.45" customHeight="1" x14ac:dyDescent="0.25">
      <c r="A998" s="29" t="s">
        <v>730</v>
      </c>
      <c r="C998" s="37" t="s">
        <v>1188</v>
      </c>
      <c r="E998" s="37" t="s">
        <v>2832</v>
      </c>
      <c r="F998" s="24" t="s">
        <v>5443</v>
      </c>
      <c r="J998" s="214" t="s">
        <v>3690</v>
      </c>
      <c r="K998" s="10" t="s">
        <v>3685</v>
      </c>
      <c r="P998" s="37" t="s">
        <v>1642</v>
      </c>
      <c r="S998" s="10" t="s">
        <v>3412</v>
      </c>
      <c r="U998" s="21">
        <v>1</v>
      </c>
      <c r="V998" s="21">
        <v>1</v>
      </c>
      <c r="W998" s="73">
        <f t="shared" si="41"/>
        <v>504</v>
      </c>
      <c r="X998" s="80">
        <f t="shared" si="40"/>
        <v>1713</v>
      </c>
      <c r="Y998" s="82" t="s">
        <v>3584</v>
      </c>
    </row>
    <row r="999" spans="1:37" ht="15.45" customHeight="1" x14ac:dyDescent="0.25">
      <c r="A999" s="29" t="s">
        <v>3285</v>
      </c>
      <c r="C999" s="37" t="s">
        <v>1188</v>
      </c>
      <c r="E999" s="37" t="s">
        <v>2832</v>
      </c>
      <c r="F999" s="24" t="s">
        <v>5443</v>
      </c>
      <c r="J999" s="214" t="s">
        <v>3690</v>
      </c>
      <c r="K999" s="10" t="s">
        <v>3685</v>
      </c>
      <c r="P999" s="37" t="s">
        <v>1736</v>
      </c>
      <c r="S999" s="10" t="s">
        <v>3412</v>
      </c>
      <c r="U999" s="21">
        <v>1</v>
      </c>
      <c r="V999" s="21">
        <v>1</v>
      </c>
      <c r="W999" s="73">
        <f t="shared" si="41"/>
        <v>505</v>
      </c>
      <c r="X999" s="80">
        <f t="shared" si="40"/>
        <v>1714</v>
      </c>
      <c r="Y999" s="82" t="s">
        <v>3584</v>
      </c>
    </row>
    <row r="1000" spans="1:37" ht="15.45" customHeight="1" x14ac:dyDescent="0.25">
      <c r="A1000" s="29" t="s">
        <v>3286</v>
      </c>
      <c r="C1000" s="37" t="s">
        <v>1188</v>
      </c>
      <c r="E1000" s="37" t="s">
        <v>2832</v>
      </c>
      <c r="F1000" s="24" t="s">
        <v>5443</v>
      </c>
      <c r="J1000" s="214" t="s">
        <v>3690</v>
      </c>
      <c r="K1000" s="10" t="s">
        <v>3685</v>
      </c>
      <c r="P1000" s="37" t="s">
        <v>1933</v>
      </c>
      <c r="S1000" s="10" t="s">
        <v>3412</v>
      </c>
      <c r="U1000" s="21">
        <v>1</v>
      </c>
      <c r="V1000" s="21">
        <v>1</v>
      </c>
      <c r="W1000" s="73">
        <f t="shared" si="41"/>
        <v>506</v>
      </c>
      <c r="X1000" s="80">
        <f t="shared" si="40"/>
        <v>1715</v>
      </c>
      <c r="Y1000" s="82" t="s">
        <v>3584</v>
      </c>
    </row>
    <row r="1001" spans="1:37" ht="15.45" customHeight="1" x14ac:dyDescent="0.25">
      <c r="A1001" s="29" t="s">
        <v>3287</v>
      </c>
      <c r="C1001" s="37" t="s">
        <v>1188</v>
      </c>
      <c r="E1001" s="37" t="s">
        <v>2832</v>
      </c>
      <c r="F1001" s="24" t="s">
        <v>5443</v>
      </c>
      <c r="J1001" s="214" t="s">
        <v>3690</v>
      </c>
      <c r="K1001" s="10" t="s">
        <v>3685</v>
      </c>
      <c r="P1001" s="37" t="s">
        <v>1642</v>
      </c>
      <c r="S1001" s="10" t="s">
        <v>3412</v>
      </c>
      <c r="U1001" s="21">
        <v>1</v>
      </c>
      <c r="V1001" s="21">
        <v>1</v>
      </c>
      <c r="W1001" s="73">
        <f t="shared" si="41"/>
        <v>507</v>
      </c>
      <c r="X1001" s="80">
        <f t="shared" si="40"/>
        <v>1716</v>
      </c>
      <c r="Y1001" s="82" t="s">
        <v>3584</v>
      </c>
    </row>
    <row r="1002" spans="1:37" ht="15.45" customHeight="1" x14ac:dyDescent="0.25">
      <c r="A1002" s="29" t="s">
        <v>7123</v>
      </c>
      <c r="C1002" s="37" t="s">
        <v>1188</v>
      </c>
      <c r="E1002" s="37" t="s">
        <v>2832</v>
      </c>
      <c r="F1002" s="24" t="s">
        <v>5443</v>
      </c>
      <c r="H1002" s="38" t="s">
        <v>7124</v>
      </c>
      <c r="J1002" s="214" t="s">
        <v>3690</v>
      </c>
      <c r="K1002" s="10" t="s">
        <v>3685</v>
      </c>
      <c r="P1002" s="37" t="s">
        <v>1736</v>
      </c>
      <c r="S1002" s="10" t="s">
        <v>3412</v>
      </c>
      <c r="U1002" s="21">
        <v>1</v>
      </c>
      <c r="V1002" s="21">
        <v>1</v>
      </c>
      <c r="W1002" s="73">
        <f t="shared" si="41"/>
        <v>508</v>
      </c>
      <c r="X1002" s="80">
        <f t="shared" si="40"/>
        <v>1717</v>
      </c>
      <c r="Y1002" s="82" t="s">
        <v>3584</v>
      </c>
    </row>
    <row r="1003" spans="1:37" ht="15.45" customHeight="1" x14ac:dyDescent="0.25">
      <c r="A1003" s="29" t="s">
        <v>7122</v>
      </c>
      <c r="C1003" s="37" t="s">
        <v>1188</v>
      </c>
      <c r="E1003" s="37" t="s">
        <v>2832</v>
      </c>
      <c r="F1003" s="24" t="s">
        <v>5443</v>
      </c>
      <c r="H1003" s="38" t="s">
        <v>7125</v>
      </c>
      <c r="J1003" s="214" t="s">
        <v>3690</v>
      </c>
      <c r="K1003" s="10" t="s">
        <v>3685</v>
      </c>
      <c r="P1003" s="37" t="s">
        <v>1642</v>
      </c>
      <c r="S1003" s="10" t="s">
        <v>3412</v>
      </c>
      <c r="U1003" s="21">
        <v>1</v>
      </c>
      <c r="V1003" s="21">
        <v>1</v>
      </c>
      <c r="W1003" s="73">
        <f t="shared" si="41"/>
        <v>509</v>
      </c>
      <c r="X1003" s="80">
        <f t="shared" si="40"/>
        <v>1718</v>
      </c>
      <c r="Y1003" s="82" t="s">
        <v>3584</v>
      </c>
    </row>
    <row r="1004" spans="1:37" ht="15.45" customHeight="1" x14ac:dyDescent="0.25">
      <c r="A1004" s="29" t="s">
        <v>2306</v>
      </c>
      <c r="C1004" s="37" t="s">
        <v>1188</v>
      </c>
      <c r="E1004" s="37" t="s">
        <v>2832</v>
      </c>
      <c r="F1004" s="24" t="s">
        <v>5443</v>
      </c>
      <c r="J1004" s="214" t="s">
        <v>3690</v>
      </c>
      <c r="K1004" s="10" t="s">
        <v>3685</v>
      </c>
      <c r="P1004" s="37" t="s">
        <v>1642</v>
      </c>
      <c r="S1004" s="10" t="s">
        <v>3412</v>
      </c>
      <c r="U1004" s="21">
        <v>1</v>
      </c>
      <c r="V1004" s="21">
        <v>1</v>
      </c>
      <c r="W1004" s="73">
        <f t="shared" si="41"/>
        <v>510</v>
      </c>
      <c r="X1004" s="80">
        <f t="shared" si="40"/>
        <v>1719</v>
      </c>
      <c r="Y1004" s="82" t="s">
        <v>3584</v>
      </c>
    </row>
    <row r="1005" spans="1:37" ht="15.45" customHeight="1" x14ac:dyDescent="0.25">
      <c r="A1005" s="29" t="s">
        <v>731</v>
      </c>
      <c r="C1005" s="37" t="s">
        <v>1188</v>
      </c>
      <c r="E1005" s="37" t="s">
        <v>2832</v>
      </c>
      <c r="F1005" s="24" t="s">
        <v>5443</v>
      </c>
      <c r="J1005" s="214" t="s">
        <v>3690</v>
      </c>
      <c r="K1005" s="10" t="s">
        <v>3685</v>
      </c>
      <c r="P1005" s="37" t="s">
        <v>2074</v>
      </c>
      <c r="S1005" s="10" t="s">
        <v>3412</v>
      </c>
      <c r="U1005" s="21">
        <v>1</v>
      </c>
      <c r="V1005" s="21">
        <v>1</v>
      </c>
      <c r="W1005" s="73">
        <f t="shared" si="41"/>
        <v>511</v>
      </c>
      <c r="X1005" s="80">
        <f t="shared" si="40"/>
        <v>1720</v>
      </c>
      <c r="Y1005" s="82" t="s">
        <v>3584</v>
      </c>
    </row>
    <row r="1006" spans="1:37" ht="15.45" customHeight="1" x14ac:dyDescent="0.25">
      <c r="A1006" s="29" t="s">
        <v>1519</v>
      </c>
      <c r="C1006" s="37" t="s">
        <v>1188</v>
      </c>
      <c r="E1006" s="37" t="s">
        <v>2832</v>
      </c>
      <c r="F1006" s="24" t="s">
        <v>5443</v>
      </c>
      <c r="J1006" s="214" t="s">
        <v>3690</v>
      </c>
      <c r="K1006" s="10" t="s">
        <v>3685</v>
      </c>
      <c r="P1006" s="37" t="s">
        <v>363</v>
      </c>
      <c r="S1006" s="10" t="s">
        <v>3412</v>
      </c>
      <c r="U1006" s="21">
        <v>1</v>
      </c>
      <c r="V1006" s="21">
        <v>1</v>
      </c>
      <c r="W1006" s="73">
        <f t="shared" si="41"/>
        <v>512</v>
      </c>
      <c r="X1006" s="80">
        <f t="shared" si="40"/>
        <v>1721</v>
      </c>
      <c r="Y1006" s="82" t="s">
        <v>3584</v>
      </c>
    </row>
    <row r="1007" spans="1:37" ht="15.45" customHeight="1" x14ac:dyDescent="0.25">
      <c r="A1007" s="29" t="s">
        <v>3288</v>
      </c>
      <c r="C1007" s="37" t="s">
        <v>1188</v>
      </c>
      <c r="E1007" s="37" t="s">
        <v>2832</v>
      </c>
      <c r="F1007" s="24" t="s">
        <v>5443</v>
      </c>
      <c r="J1007" s="214" t="s">
        <v>3690</v>
      </c>
      <c r="K1007" s="10" t="s">
        <v>3685</v>
      </c>
      <c r="P1007" s="37" t="s">
        <v>1642</v>
      </c>
      <c r="S1007" s="10" t="s">
        <v>3412</v>
      </c>
      <c r="U1007" s="21">
        <v>1</v>
      </c>
      <c r="V1007" s="21">
        <v>1</v>
      </c>
      <c r="W1007" s="73">
        <f t="shared" si="41"/>
        <v>513</v>
      </c>
      <c r="X1007" s="80">
        <f t="shared" si="40"/>
        <v>1722</v>
      </c>
      <c r="Y1007" s="82" t="s">
        <v>3584</v>
      </c>
    </row>
    <row r="1008" spans="1:37" ht="15.45" customHeight="1" x14ac:dyDescent="0.25">
      <c r="A1008" s="29" t="s">
        <v>1921</v>
      </c>
      <c r="C1008" s="37" t="s">
        <v>1188</v>
      </c>
      <c r="E1008" s="37" t="s">
        <v>2832</v>
      </c>
      <c r="F1008" s="24" t="s">
        <v>5443</v>
      </c>
      <c r="J1008" s="214" t="s">
        <v>3690</v>
      </c>
      <c r="K1008" s="10" t="s">
        <v>3685</v>
      </c>
      <c r="P1008" s="37" t="s">
        <v>1982</v>
      </c>
      <c r="S1008" s="10" t="s">
        <v>3412</v>
      </c>
      <c r="U1008" s="21">
        <v>1</v>
      </c>
      <c r="V1008" s="21">
        <v>1</v>
      </c>
      <c r="W1008" s="73">
        <f t="shared" si="41"/>
        <v>514</v>
      </c>
      <c r="X1008" s="80">
        <f t="shared" si="40"/>
        <v>1723</v>
      </c>
      <c r="Y1008" s="82" t="s">
        <v>3584</v>
      </c>
    </row>
    <row r="1009" spans="1:29" ht="15.45" customHeight="1" x14ac:dyDescent="0.25">
      <c r="A1009" s="29" t="s">
        <v>1726</v>
      </c>
      <c r="C1009" s="37" t="s">
        <v>1188</v>
      </c>
      <c r="E1009" s="37" t="s">
        <v>2832</v>
      </c>
      <c r="F1009" s="24" t="s">
        <v>5443</v>
      </c>
      <c r="J1009" s="214" t="s">
        <v>3690</v>
      </c>
      <c r="K1009" s="10" t="s">
        <v>3685</v>
      </c>
      <c r="P1009" s="37" t="s">
        <v>1867</v>
      </c>
      <c r="S1009" s="10" t="s">
        <v>3412</v>
      </c>
      <c r="U1009" s="21">
        <v>1</v>
      </c>
      <c r="V1009" s="21">
        <v>1</v>
      </c>
      <c r="W1009" s="73">
        <f t="shared" si="41"/>
        <v>515</v>
      </c>
      <c r="X1009" s="80">
        <f t="shared" si="40"/>
        <v>1724</v>
      </c>
      <c r="Y1009" s="82" t="s">
        <v>3584</v>
      </c>
    </row>
    <row r="1010" spans="1:29" ht="15.45" customHeight="1" x14ac:dyDescent="0.25">
      <c r="A1010" s="29" t="s">
        <v>2033</v>
      </c>
      <c r="C1010" s="37" t="s">
        <v>1188</v>
      </c>
      <c r="E1010" s="37" t="s">
        <v>2926</v>
      </c>
      <c r="F1010" s="24" t="s">
        <v>5443</v>
      </c>
      <c r="J1010" s="214" t="s">
        <v>3690</v>
      </c>
      <c r="K1010" s="10" t="s">
        <v>3685</v>
      </c>
      <c r="P1010" s="37" t="s">
        <v>1966</v>
      </c>
      <c r="S1010" s="10" t="s">
        <v>3412</v>
      </c>
      <c r="U1010" s="21">
        <v>1</v>
      </c>
      <c r="V1010" s="21">
        <v>2</v>
      </c>
      <c r="W1010" s="73">
        <f t="shared" si="41"/>
        <v>517</v>
      </c>
      <c r="X1010" s="80">
        <f t="shared" si="40"/>
        <v>1726</v>
      </c>
      <c r="Y1010" s="82" t="s">
        <v>3584</v>
      </c>
    </row>
    <row r="1011" spans="1:29" ht="15.45" customHeight="1" x14ac:dyDescent="0.25">
      <c r="A1011" s="29" t="s">
        <v>6310</v>
      </c>
      <c r="C1011" s="37" t="s">
        <v>1188</v>
      </c>
      <c r="E1011" s="37" t="s">
        <v>2926</v>
      </c>
      <c r="F1011" s="24" t="s">
        <v>5443</v>
      </c>
      <c r="H1011" s="201" t="s">
        <v>6312</v>
      </c>
      <c r="J1011" s="214" t="s">
        <v>6311</v>
      </c>
      <c r="O1011" s="37" t="s">
        <v>1642</v>
      </c>
      <c r="R1011" s="37" t="s">
        <v>2014</v>
      </c>
      <c r="S1011" s="10" t="s">
        <v>3412</v>
      </c>
      <c r="U1011" s="21">
        <v>1</v>
      </c>
      <c r="V1011" s="21">
        <v>1</v>
      </c>
      <c r="W1011" s="73">
        <f t="shared" si="41"/>
        <v>518</v>
      </c>
      <c r="X1011" s="80">
        <f t="shared" si="40"/>
        <v>1727</v>
      </c>
      <c r="Y1011" s="82" t="s">
        <v>3591</v>
      </c>
      <c r="Z1011" s="24" t="s">
        <v>2885</v>
      </c>
      <c r="AB1011" s="177">
        <v>44512</v>
      </c>
      <c r="AC1011" s="84" t="s">
        <v>5308</v>
      </c>
    </row>
    <row r="1012" spans="1:29" ht="15.45" customHeight="1" x14ac:dyDescent="0.25">
      <c r="A1012" s="29" t="s">
        <v>1166</v>
      </c>
      <c r="C1012" s="37" t="s">
        <v>1188</v>
      </c>
      <c r="E1012" s="37" t="s">
        <v>2832</v>
      </c>
      <c r="F1012" s="24" t="s">
        <v>5443</v>
      </c>
      <c r="J1012" s="214" t="s">
        <v>3690</v>
      </c>
      <c r="K1012" s="10" t="s">
        <v>3685</v>
      </c>
      <c r="P1012" s="37" t="s">
        <v>2012</v>
      </c>
      <c r="S1012" s="10" t="s">
        <v>3412</v>
      </c>
      <c r="U1012" s="21">
        <v>1</v>
      </c>
      <c r="V1012" s="21">
        <v>1</v>
      </c>
      <c r="W1012" s="73">
        <f t="shared" si="41"/>
        <v>519</v>
      </c>
      <c r="X1012" s="80">
        <f t="shared" si="40"/>
        <v>1728</v>
      </c>
      <c r="Y1012" s="82" t="s">
        <v>3584</v>
      </c>
    </row>
    <row r="1013" spans="1:29" ht="15.45" customHeight="1" x14ac:dyDescent="0.25">
      <c r="A1013" s="29" t="s">
        <v>1536</v>
      </c>
      <c r="C1013" s="37" t="s">
        <v>1188</v>
      </c>
      <c r="E1013" s="37" t="s">
        <v>2832</v>
      </c>
      <c r="F1013" s="24" t="s">
        <v>5443</v>
      </c>
      <c r="J1013" s="214" t="s">
        <v>3690</v>
      </c>
      <c r="K1013" s="10" t="s">
        <v>3685</v>
      </c>
      <c r="P1013" s="37" t="s">
        <v>1868</v>
      </c>
      <c r="S1013" s="10" t="s">
        <v>3412</v>
      </c>
      <c r="U1013" s="21">
        <v>1</v>
      </c>
      <c r="V1013" s="21">
        <v>2</v>
      </c>
      <c r="W1013" s="73">
        <f t="shared" si="41"/>
        <v>521</v>
      </c>
      <c r="X1013" s="80">
        <f t="shared" si="40"/>
        <v>1730</v>
      </c>
      <c r="Y1013" s="82" t="s">
        <v>3584</v>
      </c>
    </row>
    <row r="1014" spans="1:29" ht="15.45" customHeight="1" x14ac:dyDescent="0.25">
      <c r="A1014" s="29" t="s">
        <v>1262</v>
      </c>
      <c r="C1014" s="37" t="s">
        <v>1188</v>
      </c>
      <c r="E1014" s="37" t="s">
        <v>2832</v>
      </c>
      <c r="F1014" s="24" t="s">
        <v>5443</v>
      </c>
      <c r="J1014" s="214" t="s">
        <v>3690</v>
      </c>
      <c r="K1014" s="10" t="s">
        <v>3685</v>
      </c>
      <c r="P1014" s="37" t="s">
        <v>2012</v>
      </c>
      <c r="S1014" s="10" t="s">
        <v>3412</v>
      </c>
      <c r="U1014" s="21">
        <v>1</v>
      </c>
      <c r="V1014" s="21">
        <v>1</v>
      </c>
      <c r="W1014" s="73">
        <f t="shared" si="41"/>
        <v>522</v>
      </c>
      <c r="X1014" s="80">
        <f t="shared" si="40"/>
        <v>1731</v>
      </c>
      <c r="Y1014" s="82" t="s">
        <v>3584</v>
      </c>
    </row>
    <row r="1015" spans="1:29" ht="15.45" customHeight="1" x14ac:dyDescent="0.25">
      <c r="A1015" s="29" t="s">
        <v>974</v>
      </c>
      <c r="C1015" s="37" t="s">
        <v>1188</v>
      </c>
      <c r="E1015" s="37" t="s">
        <v>2832</v>
      </c>
      <c r="F1015" s="24" t="s">
        <v>5443</v>
      </c>
      <c r="J1015" s="214" t="s">
        <v>3690</v>
      </c>
      <c r="K1015" s="10" t="s">
        <v>3685</v>
      </c>
      <c r="P1015" s="37" t="s">
        <v>1933</v>
      </c>
      <c r="S1015" s="10" t="s">
        <v>3412</v>
      </c>
      <c r="U1015" s="21">
        <v>1</v>
      </c>
      <c r="V1015" s="21">
        <v>1</v>
      </c>
      <c r="W1015" s="73">
        <f t="shared" si="41"/>
        <v>523</v>
      </c>
      <c r="X1015" s="80">
        <f t="shared" si="40"/>
        <v>1732</v>
      </c>
      <c r="Y1015" s="82" t="s">
        <v>3584</v>
      </c>
    </row>
    <row r="1016" spans="1:29" ht="15.45" customHeight="1" x14ac:dyDescent="0.25">
      <c r="A1016" s="29" t="s">
        <v>3289</v>
      </c>
      <c r="C1016" s="37" t="s">
        <v>1188</v>
      </c>
      <c r="E1016" s="37" t="s">
        <v>2832</v>
      </c>
      <c r="F1016" s="24" t="s">
        <v>5443</v>
      </c>
      <c r="J1016" s="214" t="s">
        <v>3690</v>
      </c>
      <c r="K1016" s="10" t="s">
        <v>3685</v>
      </c>
      <c r="P1016" s="37" t="s">
        <v>1642</v>
      </c>
      <c r="S1016" s="10" t="s">
        <v>3412</v>
      </c>
      <c r="U1016" s="21">
        <v>1</v>
      </c>
      <c r="V1016" s="21">
        <v>1</v>
      </c>
      <c r="W1016" s="73">
        <f t="shared" si="41"/>
        <v>524</v>
      </c>
      <c r="X1016" s="80">
        <f t="shared" si="40"/>
        <v>1733</v>
      </c>
      <c r="Y1016" s="82" t="s">
        <v>3584</v>
      </c>
    </row>
    <row r="1017" spans="1:29" ht="15.45" customHeight="1" x14ac:dyDescent="0.25">
      <c r="A1017" s="29" t="s">
        <v>3290</v>
      </c>
      <c r="C1017" s="37" t="s">
        <v>1188</v>
      </c>
      <c r="E1017" s="37" t="s">
        <v>2832</v>
      </c>
      <c r="F1017" s="24" t="s">
        <v>5443</v>
      </c>
      <c r="J1017" s="214" t="s">
        <v>3690</v>
      </c>
      <c r="K1017" s="10" t="s">
        <v>3685</v>
      </c>
      <c r="P1017" s="37" t="s">
        <v>1642</v>
      </c>
      <c r="S1017" s="10" t="s">
        <v>3412</v>
      </c>
      <c r="U1017" s="21">
        <v>1</v>
      </c>
      <c r="V1017" s="21">
        <v>1</v>
      </c>
      <c r="W1017" s="73">
        <f t="shared" si="41"/>
        <v>525</v>
      </c>
      <c r="X1017" s="80">
        <f t="shared" si="40"/>
        <v>1734</v>
      </c>
      <c r="Y1017" s="82" t="s">
        <v>3584</v>
      </c>
    </row>
    <row r="1018" spans="1:29" ht="15.45" customHeight="1" x14ac:dyDescent="0.25">
      <c r="A1018" s="29" t="s">
        <v>1633</v>
      </c>
      <c r="C1018" s="37" t="s">
        <v>1188</v>
      </c>
      <c r="E1018" s="37" t="s">
        <v>2832</v>
      </c>
      <c r="F1018" s="24" t="s">
        <v>5443</v>
      </c>
      <c r="J1018" s="214" t="s">
        <v>3690</v>
      </c>
      <c r="K1018" s="10" t="s">
        <v>3685</v>
      </c>
      <c r="P1018" s="37" t="s">
        <v>1746</v>
      </c>
      <c r="S1018" s="10" t="s">
        <v>3412</v>
      </c>
      <c r="U1018" s="21">
        <v>1</v>
      </c>
      <c r="V1018" s="21">
        <v>1</v>
      </c>
      <c r="W1018" s="73">
        <f t="shared" si="41"/>
        <v>526</v>
      </c>
      <c r="X1018" s="80">
        <f t="shared" si="40"/>
        <v>1735</v>
      </c>
      <c r="Y1018" s="82" t="s">
        <v>3584</v>
      </c>
    </row>
    <row r="1019" spans="1:29" ht="15.45" customHeight="1" x14ac:dyDescent="0.25">
      <c r="A1019" s="29" t="s">
        <v>3291</v>
      </c>
      <c r="C1019" s="37" t="s">
        <v>1188</v>
      </c>
      <c r="E1019" s="37" t="s">
        <v>2832</v>
      </c>
      <c r="F1019" s="24" t="s">
        <v>5443</v>
      </c>
      <c r="J1019" s="214" t="s">
        <v>3690</v>
      </c>
      <c r="K1019" s="10" t="s">
        <v>3685</v>
      </c>
      <c r="P1019" s="37" t="s">
        <v>1642</v>
      </c>
      <c r="S1019" s="10" t="s">
        <v>3412</v>
      </c>
      <c r="U1019" s="21">
        <v>1</v>
      </c>
      <c r="V1019" s="21">
        <v>1</v>
      </c>
      <c r="W1019" s="73">
        <f t="shared" si="41"/>
        <v>527</v>
      </c>
      <c r="X1019" s="80">
        <f t="shared" si="40"/>
        <v>1736</v>
      </c>
      <c r="Y1019" s="82" t="s">
        <v>3584</v>
      </c>
    </row>
    <row r="1020" spans="1:29" ht="15.45" customHeight="1" x14ac:dyDescent="0.25">
      <c r="A1020" s="29" t="s">
        <v>969</v>
      </c>
      <c r="C1020" s="37" t="s">
        <v>1188</v>
      </c>
      <c r="E1020" s="37" t="s">
        <v>2832</v>
      </c>
      <c r="F1020" s="24" t="s">
        <v>5443</v>
      </c>
      <c r="J1020" s="214" t="s">
        <v>3690</v>
      </c>
      <c r="K1020" s="10" t="s">
        <v>3685</v>
      </c>
      <c r="P1020" s="37" t="s">
        <v>1736</v>
      </c>
      <c r="S1020" s="10" t="s">
        <v>3412</v>
      </c>
      <c r="U1020" s="21">
        <v>1</v>
      </c>
      <c r="V1020" s="21">
        <v>2</v>
      </c>
      <c r="W1020" s="73">
        <f t="shared" si="41"/>
        <v>529</v>
      </c>
      <c r="X1020" s="80">
        <f t="shared" si="40"/>
        <v>1738</v>
      </c>
      <c r="Y1020" s="82" t="s">
        <v>3584</v>
      </c>
    </row>
    <row r="1021" spans="1:29" ht="15.45" customHeight="1" x14ac:dyDescent="0.25">
      <c r="A1021" s="29" t="s">
        <v>635</v>
      </c>
      <c r="C1021" s="37" t="s">
        <v>1188</v>
      </c>
      <c r="E1021" s="37" t="s">
        <v>2832</v>
      </c>
      <c r="F1021" s="24" t="s">
        <v>5443</v>
      </c>
      <c r="J1021" s="214" t="s">
        <v>3690</v>
      </c>
      <c r="K1021" s="10" t="s">
        <v>3685</v>
      </c>
      <c r="P1021" s="37" t="s">
        <v>2011</v>
      </c>
      <c r="S1021" s="10" t="s">
        <v>3412</v>
      </c>
      <c r="U1021" s="21">
        <v>1</v>
      </c>
      <c r="V1021" s="21">
        <v>1</v>
      </c>
      <c r="W1021" s="73">
        <f t="shared" si="41"/>
        <v>530</v>
      </c>
      <c r="X1021" s="80">
        <f t="shared" si="40"/>
        <v>1739</v>
      </c>
      <c r="Y1021" s="82" t="s">
        <v>3584</v>
      </c>
    </row>
    <row r="1022" spans="1:29" ht="15.45" customHeight="1" x14ac:dyDescent="0.25">
      <c r="A1022" s="29" t="s">
        <v>3292</v>
      </c>
      <c r="C1022" s="37" t="s">
        <v>1188</v>
      </c>
      <c r="E1022" s="37" t="s">
        <v>2832</v>
      </c>
      <c r="F1022" s="24" t="s">
        <v>5443</v>
      </c>
      <c r="J1022" s="214" t="s">
        <v>3690</v>
      </c>
      <c r="K1022" s="10" t="s">
        <v>3685</v>
      </c>
      <c r="P1022" s="37" t="s">
        <v>1933</v>
      </c>
      <c r="S1022" s="10" t="s">
        <v>3412</v>
      </c>
      <c r="U1022" s="21">
        <v>1</v>
      </c>
      <c r="V1022" s="21">
        <v>2</v>
      </c>
      <c r="W1022" s="73">
        <f t="shared" si="41"/>
        <v>532</v>
      </c>
      <c r="X1022" s="80">
        <f t="shared" si="40"/>
        <v>1741</v>
      </c>
      <c r="Y1022" s="82" t="s">
        <v>3584</v>
      </c>
    </row>
    <row r="1023" spans="1:29" ht="15.45" customHeight="1" x14ac:dyDescent="0.25">
      <c r="A1023" s="29" t="s">
        <v>1175</v>
      </c>
      <c r="C1023" s="37" t="s">
        <v>1188</v>
      </c>
      <c r="E1023" s="37" t="s">
        <v>2832</v>
      </c>
      <c r="F1023" s="24" t="s">
        <v>5443</v>
      </c>
      <c r="J1023" s="214" t="s">
        <v>3690</v>
      </c>
      <c r="K1023" s="10" t="s">
        <v>3685</v>
      </c>
      <c r="P1023" s="37" t="s">
        <v>2012</v>
      </c>
      <c r="S1023" s="10" t="s">
        <v>3412</v>
      </c>
      <c r="U1023" s="21">
        <v>1</v>
      </c>
      <c r="V1023" s="21">
        <v>2</v>
      </c>
      <c r="W1023" s="73">
        <f t="shared" si="41"/>
        <v>534</v>
      </c>
      <c r="X1023" s="80">
        <f t="shared" si="40"/>
        <v>1743</v>
      </c>
      <c r="Y1023" s="82" t="s">
        <v>3584</v>
      </c>
    </row>
    <row r="1024" spans="1:29" ht="15.45" customHeight="1" x14ac:dyDescent="0.25">
      <c r="A1024" s="29" t="s">
        <v>1520</v>
      </c>
      <c r="C1024" s="37" t="s">
        <v>1188</v>
      </c>
      <c r="E1024" s="37" t="s">
        <v>2832</v>
      </c>
      <c r="F1024" s="24" t="s">
        <v>5443</v>
      </c>
      <c r="J1024" s="214" t="s">
        <v>3690</v>
      </c>
      <c r="K1024" s="10" t="s">
        <v>3685</v>
      </c>
      <c r="P1024" s="37" t="s">
        <v>1746</v>
      </c>
      <c r="S1024" s="10" t="s">
        <v>3412</v>
      </c>
      <c r="U1024" s="21">
        <v>1</v>
      </c>
      <c r="V1024" s="21">
        <v>2</v>
      </c>
      <c r="W1024" s="73">
        <f t="shared" si="41"/>
        <v>536</v>
      </c>
      <c r="X1024" s="80">
        <f t="shared" si="40"/>
        <v>1745</v>
      </c>
      <c r="Y1024" s="82" t="s">
        <v>3584</v>
      </c>
    </row>
    <row r="1025" spans="1:25" ht="15.45" customHeight="1" x14ac:dyDescent="0.25">
      <c r="A1025" s="29" t="s">
        <v>3293</v>
      </c>
      <c r="C1025" s="37" t="s">
        <v>1188</v>
      </c>
      <c r="E1025" s="37" t="s">
        <v>2832</v>
      </c>
      <c r="F1025" s="24" t="s">
        <v>5443</v>
      </c>
      <c r="J1025" s="214" t="s">
        <v>3690</v>
      </c>
      <c r="K1025" s="10" t="s">
        <v>3685</v>
      </c>
      <c r="P1025" s="37" t="s">
        <v>1642</v>
      </c>
      <c r="S1025" s="10" t="s">
        <v>3412</v>
      </c>
      <c r="U1025" s="21">
        <v>1</v>
      </c>
      <c r="V1025" s="21">
        <v>1</v>
      </c>
      <c r="W1025" s="73">
        <f t="shared" si="41"/>
        <v>537</v>
      </c>
      <c r="X1025" s="80">
        <f t="shared" si="40"/>
        <v>1746</v>
      </c>
      <c r="Y1025" s="82" t="s">
        <v>3584</v>
      </c>
    </row>
    <row r="1026" spans="1:25" ht="15.45" customHeight="1" x14ac:dyDescent="0.25">
      <c r="A1026" s="29" t="s">
        <v>3294</v>
      </c>
      <c r="C1026" s="37" t="s">
        <v>1188</v>
      </c>
      <c r="E1026" s="37" t="s">
        <v>2832</v>
      </c>
      <c r="F1026" s="24" t="s">
        <v>5443</v>
      </c>
      <c r="J1026" s="214" t="s">
        <v>3690</v>
      </c>
      <c r="K1026" s="10" t="s">
        <v>3685</v>
      </c>
      <c r="P1026" s="37" t="s">
        <v>1736</v>
      </c>
      <c r="S1026" s="10" t="s">
        <v>3412</v>
      </c>
      <c r="U1026" s="21">
        <v>1</v>
      </c>
      <c r="V1026" s="21">
        <v>1</v>
      </c>
      <c r="W1026" s="73">
        <f t="shared" si="41"/>
        <v>538</v>
      </c>
      <c r="X1026" s="80">
        <f t="shared" si="40"/>
        <v>1747</v>
      </c>
      <c r="Y1026" s="82" t="s">
        <v>3584</v>
      </c>
    </row>
    <row r="1027" spans="1:25" ht="15.45" customHeight="1" x14ac:dyDescent="0.25">
      <c r="A1027" s="29" t="s">
        <v>3295</v>
      </c>
      <c r="C1027" s="37" t="s">
        <v>1188</v>
      </c>
      <c r="E1027" s="37" t="s">
        <v>2832</v>
      </c>
      <c r="F1027" s="24" t="s">
        <v>5443</v>
      </c>
      <c r="J1027" s="214" t="s">
        <v>3690</v>
      </c>
      <c r="K1027" s="10" t="s">
        <v>3685</v>
      </c>
      <c r="P1027" s="37" t="s">
        <v>1736</v>
      </c>
      <c r="S1027" s="10" t="s">
        <v>3412</v>
      </c>
      <c r="U1027" s="21">
        <v>1</v>
      </c>
      <c r="V1027" s="21">
        <v>1</v>
      </c>
      <c r="W1027" s="73">
        <f t="shared" si="41"/>
        <v>539</v>
      </c>
      <c r="X1027" s="80">
        <f t="shared" si="40"/>
        <v>1748</v>
      </c>
      <c r="Y1027" s="82" t="s">
        <v>3584</v>
      </c>
    </row>
    <row r="1028" spans="1:25" ht="15.45" customHeight="1" x14ac:dyDescent="0.25">
      <c r="A1028" s="29" t="s">
        <v>1719</v>
      </c>
      <c r="C1028" s="37" t="s">
        <v>1188</v>
      </c>
      <c r="E1028" s="37" t="s">
        <v>2832</v>
      </c>
      <c r="F1028" s="24" t="s">
        <v>5443</v>
      </c>
      <c r="J1028" s="214" t="s">
        <v>3690</v>
      </c>
      <c r="K1028" s="10" t="s">
        <v>3685</v>
      </c>
      <c r="P1028" s="37" t="s">
        <v>2074</v>
      </c>
      <c r="S1028" s="10" t="s">
        <v>3412</v>
      </c>
      <c r="U1028" s="21">
        <v>1</v>
      </c>
      <c r="V1028" s="21">
        <v>1</v>
      </c>
      <c r="W1028" s="73">
        <f t="shared" si="41"/>
        <v>540</v>
      </c>
      <c r="X1028" s="80">
        <f t="shared" si="40"/>
        <v>1749</v>
      </c>
      <c r="Y1028" s="82" t="s">
        <v>3584</v>
      </c>
    </row>
    <row r="1029" spans="1:25" ht="15.45" customHeight="1" x14ac:dyDescent="0.25">
      <c r="A1029" s="29" t="s">
        <v>1045</v>
      </c>
      <c r="C1029" s="37" t="s">
        <v>1188</v>
      </c>
      <c r="E1029" s="37" t="s">
        <v>2832</v>
      </c>
      <c r="F1029" s="24" t="s">
        <v>5443</v>
      </c>
      <c r="J1029" s="214" t="s">
        <v>3690</v>
      </c>
      <c r="K1029" s="10" t="s">
        <v>3685</v>
      </c>
      <c r="P1029" s="37" t="s">
        <v>2005</v>
      </c>
      <c r="S1029" s="10" t="s">
        <v>3412</v>
      </c>
      <c r="U1029" s="21">
        <v>1</v>
      </c>
      <c r="V1029" s="21">
        <v>1</v>
      </c>
      <c r="W1029" s="73">
        <f t="shared" si="41"/>
        <v>541</v>
      </c>
      <c r="X1029" s="80">
        <f t="shared" si="40"/>
        <v>1750</v>
      </c>
      <c r="Y1029" s="82" t="s">
        <v>3584</v>
      </c>
    </row>
    <row r="1030" spans="1:25" ht="15.45" customHeight="1" x14ac:dyDescent="0.25">
      <c r="A1030" s="29" t="s">
        <v>1738</v>
      </c>
      <c r="C1030" s="37" t="s">
        <v>1188</v>
      </c>
      <c r="E1030" s="37" t="s">
        <v>2832</v>
      </c>
      <c r="F1030" s="24" t="s">
        <v>5443</v>
      </c>
      <c r="J1030" s="214" t="s">
        <v>3690</v>
      </c>
      <c r="K1030" s="10" t="s">
        <v>3685</v>
      </c>
      <c r="P1030" s="37" t="s">
        <v>62</v>
      </c>
      <c r="S1030" s="10" t="s">
        <v>3412</v>
      </c>
      <c r="U1030" s="21">
        <v>1</v>
      </c>
      <c r="V1030" s="21">
        <v>1</v>
      </c>
      <c r="W1030" s="73">
        <f t="shared" si="41"/>
        <v>542</v>
      </c>
      <c r="X1030" s="80">
        <f t="shared" si="40"/>
        <v>1751</v>
      </c>
      <c r="Y1030" s="82" t="s">
        <v>3584</v>
      </c>
    </row>
    <row r="1031" spans="1:25" ht="15.45" customHeight="1" x14ac:dyDescent="0.25">
      <c r="A1031" s="29" t="s">
        <v>1291</v>
      </c>
      <c r="C1031" s="37" t="s">
        <v>1188</v>
      </c>
      <c r="E1031" s="37" t="s">
        <v>2832</v>
      </c>
      <c r="F1031" s="24" t="s">
        <v>5443</v>
      </c>
      <c r="J1031" s="214" t="s">
        <v>3690</v>
      </c>
      <c r="K1031" s="10" t="s">
        <v>3685</v>
      </c>
      <c r="P1031" s="37" t="s">
        <v>1867</v>
      </c>
      <c r="S1031" s="10" t="s">
        <v>3412</v>
      </c>
      <c r="U1031" s="21">
        <v>1</v>
      </c>
      <c r="V1031" s="21">
        <v>1</v>
      </c>
      <c r="W1031" s="73">
        <f t="shared" si="41"/>
        <v>543</v>
      </c>
      <c r="X1031" s="80">
        <f t="shared" si="40"/>
        <v>1752</v>
      </c>
      <c r="Y1031" s="82" t="s">
        <v>3584</v>
      </c>
    </row>
    <row r="1032" spans="1:25" ht="15.45" customHeight="1" x14ac:dyDescent="0.25">
      <c r="A1032" s="29" t="s">
        <v>1486</v>
      </c>
      <c r="C1032" s="37" t="s">
        <v>1188</v>
      </c>
      <c r="E1032" s="37" t="s">
        <v>2832</v>
      </c>
      <c r="F1032" s="24" t="s">
        <v>5443</v>
      </c>
      <c r="J1032" s="214" t="s">
        <v>3690</v>
      </c>
      <c r="K1032" s="10" t="s">
        <v>3685</v>
      </c>
      <c r="P1032" s="37" t="s">
        <v>2004</v>
      </c>
      <c r="S1032" s="10" t="s">
        <v>3412</v>
      </c>
      <c r="U1032" s="21">
        <v>1</v>
      </c>
      <c r="V1032" s="21">
        <v>2</v>
      </c>
      <c r="W1032" s="73">
        <f t="shared" si="41"/>
        <v>545</v>
      </c>
      <c r="X1032" s="80">
        <f t="shared" ref="X1032:X1095" si="42">V1032+X1031</f>
        <v>1754</v>
      </c>
      <c r="Y1032" s="82" t="s">
        <v>3584</v>
      </c>
    </row>
    <row r="1033" spans="1:25" ht="15.45" customHeight="1" x14ac:dyDescent="0.25">
      <c r="A1033" s="29" t="s">
        <v>1625</v>
      </c>
      <c r="C1033" s="37" t="s">
        <v>1188</v>
      </c>
      <c r="E1033" s="37" t="s">
        <v>2832</v>
      </c>
      <c r="F1033" s="24" t="s">
        <v>5443</v>
      </c>
      <c r="J1033" s="214" t="s">
        <v>3690</v>
      </c>
      <c r="K1033" s="10" t="s">
        <v>3685</v>
      </c>
      <c r="P1033" s="37" t="s">
        <v>2074</v>
      </c>
      <c r="S1033" s="10" t="s">
        <v>3412</v>
      </c>
      <c r="U1033" s="21">
        <v>1</v>
      </c>
      <c r="V1033" s="21">
        <v>1</v>
      </c>
      <c r="W1033" s="73">
        <f t="shared" si="41"/>
        <v>546</v>
      </c>
      <c r="X1033" s="80">
        <f t="shared" si="42"/>
        <v>1755</v>
      </c>
      <c r="Y1033" s="82" t="s">
        <v>3584</v>
      </c>
    </row>
    <row r="1034" spans="1:25" ht="15.45" customHeight="1" x14ac:dyDescent="0.25">
      <c r="A1034" s="29" t="s">
        <v>1711</v>
      </c>
      <c r="C1034" s="37" t="s">
        <v>1188</v>
      </c>
      <c r="E1034" s="37" t="s">
        <v>2832</v>
      </c>
      <c r="F1034" s="24" t="s">
        <v>5443</v>
      </c>
      <c r="J1034" s="214" t="s">
        <v>3690</v>
      </c>
      <c r="K1034" s="10" t="s">
        <v>3685</v>
      </c>
      <c r="P1034" s="37" t="s">
        <v>1642</v>
      </c>
      <c r="S1034" s="10" t="s">
        <v>3412</v>
      </c>
      <c r="U1034" s="21">
        <v>1</v>
      </c>
      <c r="V1034" s="21">
        <v>1</v>
      </c>
      <c r="W1034" s="73">
        <f t="shared" si="41"/>
        <v>547</v>
      </c>
      <c r="X1034" s="80">
        <f t="shared" si="42"/>
        <v>1756</v>
      </c>
      <c r="Y1034" s="82" t="s">
        <v>3584</v>
      </c>
    </row>
    <row r="1035" spans="1:25" ht="15.45" customHeight="1" x14ac:dyDescent="0.25">
      <c r="A1035" s="29" t="s">
        <v>1932</v>
      </c>
      <c r="C1035" s="37" t="s">
        <v>1188</v>
      </c>
      <c r="E1035" s="37" t="s">
        <v>2832</v>
      </c>
      <c r="F1035" s="24" t="s">
        <v>5443</v>
      </c>
      <c r="J1035" s="214" t="s">
        <v>3690</v>
      </c>
      <c r="K1035" s="10" t="s">
        <v>3685</v>
      </c>
      <c r="P1035" s="37" t="s">
        <v>1842</v>
      </c>
      <c r="S1035" s="10" t="s">
        <v>3412</v>
      </c>
      <c r="U1035" s="21">
        <v>1</v>
      </c>
      <c r="V1035" s="21">
        <v>1</v>
      </c>
      <c r="W1035" s="73">
        <f t="shared" si="41"/>
        <v>548</v>
      </c>
      <c r="X1035" s="80">
        <f t="shared" si="42"/>
        <v>1757</v>
      </c>
      <c r="Y1035" s="82" t="s">
        <v>3584</v>
      </c>
    </row>
    <row r="1036" spans="1:25" ht="15.45" customHeight="1" x14ac:dyDescent="0.25">
      <c r="A1036" s="29" t="s">
        <v>936</v>
      </c>
      <c r="C1036" s="37" t="s">
        <v>1188</v>
      </c>
      <c r="E1036" s="37" t="s">
        <v>2832</v>
      </c>
      <c r="F1036" s="24" t="s">
        <v>5443</v>
      </c>
      <c r="J1036" s="214" t="s">
        <v>3690</v>
      </c>
      <c r="K1036" s="10" t="s">
        <v>3685</v>
      </c>
      <c r="P1036" s="37" t="s">
        <v>1642</v>
      </c>
      <c r="S1036" s="10" t="s">
        <v>3412</v>
      </c>
      <c r="U1036" s="21">
        <v>1</v>
      </c>
      <c r="V1036" s="21">
        <v>1</v>
      </c>
      <c r="W1036" s="73">
        <f t="shared" si="41"/>
        <v>549</v>
      </c>
      <c r="X1036" s="80">
        <f t="shared" si="42"/>
        <v>1758</v>
      </c>
      <c r="Y1036" s="82" t="s">
        <v>3584</v>
      </c>
    </row>
    <row r="1037" spans="1:25" ht="15.45" customHeight="1" x14ac:dyDescent="0.25">
      <c r="A1037" s="29" t="s">
        <v>1531</v>
      </c>
      <c r="C1037" s="37" t="s">
        <v>1188</v>
      </c>
      <c r="E1037" s="37" t="s">
        <v>2832</v>
      </c>
      <c r="F1037" s="24" t="s">
        <v>5443</v>
      </c>
      <c r="J1037" s="214" t="s">
        <v>3690</v>
      </c>
      <c r="K1037" s="10" t="s">
        <v>3685</v>
      </c>
      <c r="P1037" s="37" t="s">
        <v>1642</v>
      </c>
      <c r="S1037" s="10" t="s">
        <v>3412</v>
      </c>
      <c r="U1037" s="21">
        <v>1</v>
      </c>
      <c r="V1037" s="21">
        <v>1</v>
      </c>
      <c r="W1037" s="73">
        <f t="shared" ref="W1037:W1103" si="43">W1036+V1037</f>
        <v>550</v>
      </c>
      <c r="X1037" s="80">
        <f t="shared" si="42"/>
        <v>1759</v>
      </c>
      <c r="Y1037" s="82" t="s">
        <v>3584</v>
      </c>
    </row>
    <row r="1038" spans="1:25" ht="15.45" customHeight="1" x14ac:dyDescent="0.25">
      <c r="A1038" s="29" t="s">
        <v>1425</v>
      </c>
      <c r="C1038" s="37" t="s">
        <v>1188</v>
      </c>
      <c r="E1038" s="37" t="s">
        <v>2832</v>
      </c>
      <c r="F1038" s="24" t="s">
        <v>5443</v>
      </c>
      <c r="J1038" s="214" t="s">
        <v>3690</v>
      </c>
      <c r="K1038" s="10" t="s">
        <v>3685</v>
      </c>
      <c r="P1038" s="37" t="s">
        <v>1982</v>
      </c>
      <c r="S1038" s="10" t="s">
        <v>3412</v>
      </c>
      <c r="U1038" s="21">
        <v>1</v>
      </c>
      <c r="V1038" s="21">
        <v>1</v>
      </c>
      <c r="W1038" s="73">
        <f t="shared" si="43"/>
        <v>551</v>
      </c>
      <c r="X1038" s="80">
        <f t="shared" si="42"/>
        <v>1760</v>
      </c>
      <c r="Y1038" s="82" t="s">
        <v>3584</v>
      </c>
    </row>
    <row r="1039" spans="1:25" ht="15.45" customHeight="1" x14ac:dyDescent="0.25">
      <c r="A1039" s="29" t="s">
        <v>1426</v>
      </c>
      <c r="C1039" s="37" t="s">
        <v>1188</v>
      </c>
      <c r="E1039" s="37" t="s">
        <v>2832</v>
      </c>
      <c r="F1039" s="24" t="s">
        <v>5443</v>
      </c>
      <c r="J1039" s="214" t="s">
        <v>3690</v>
      </c>
      <c r="K1039" s="10" t="s">
        <v>3685</v>
      </c>
      <c r="P1039" s="37" t="s">
        <v>2076</v>
      </c>
      <c r="S1039" s="10" t="s">
        <v>3412</v>
      </c>
      <c r="U1039" s="21">
        <v>1</v>
      </c>
      <c r="V1039" s="21">
        <v>2</v>
      </c>
      <c r="W1039" s="73">
        <f t="shared" si="43"/>
        <v>553</v>
      </c>
      <c r="X1039" s="80">
        <f t="shared" si="42"/>
        <v>1762</v>
      </c>
      <c r="Y1039" s="82" t="s">
        <v>3584</v>
      </c>
    </row>
    <row r="1040" spans="1:25" ht="15.45" customHeight="1" x14ac:dyDescent="0.25">
      <c r="A1040" s="29" t="s">
        <v>3296</v>
      </c>
      <c r="C1040" s="37" t="s">
        <v>1188</v>
      </c>
      <c r="E1040" s="37" t="s">
        <v>2832</v>
      </c>
      <c r="F1040" s="24" t="s">
        <v>5443</v>
      </c>
      <c r="J1040" s="214" t="s">
        <v>3690</v>
      </c>
      <c r="K1040" s="10" t="s">
        <v>3685</v>
      </c>
      <c r="P1040" s="37" t="s">
        <v>2074</v>
      </c>
      <c r="S1040" s="10" t="s">
        <v>3412</v>
      </c>
      <c r="U1040" s="21">
        <v>1</v>
      </c>
      <c r="V1040" s="21">
        <v>1</v>
      </c>
      <c r="W1040" s="73">
        <f t="shared" si="43"/>
        <v>554</v>
      </c>
      <c r="X1040" s="80">
        <f t="shared" si="42"/>
        <v>1763</v>
      </c>
      <c r="Y1040" s="82" t="s">
        <v>3584</v>
      </c>
    </row>
    <row r="1041" spans="1:29" ht="15.45" customHeight="1" x14ac:dyDescent="0.25">
      <c r="A1041" s="29" t="s">
        <v>2304</v>
      </c>
      <c r="C1041" s="37" t="s">
        <v>1188</v>
      </c>
      <c r="E1041" s="37" t="s">
        <v>2832</v>
      </c>
      <c r="F1041" s="24" t="s">
        <v>5443</v>
      </c>
      <c r="J1041" s="214" t="s">
        <v>3690</v>
      </c>
      <c r="K1041" s="10" t="s">
        <v>3685</v>
      </c>
      <c r="P1041" s="37" t="s">
        <v>1603</v>
      </c>
      <c r="S1041" s="10" t="s">
        <v>3412</v>
      </c>
      <c r="U1041" s="21">
        <v>1</v>
      </c>
      <c r="V1041" s="21">
        <v>1</v>
      </c>
      <c r="W1041" s="73">
        <f t="shared" si="43"/>
        <v>555</v>
      </c>
      <c r="X1041" s="80">
        <f t="shared" si="42"/>
        <v>1764</v>
      </c>
      <c r="Y1041" s="82" t="s">
        <v>3584</v>
      </c>
    </row>
    <row r="1042" spans="1:29" ht="15.45" customHeight="1" x14ac:dyDescent="0.25">
      <c r="A1042" s="29" t="s">
        <v>5876</v>
      </c>
      <c r="C1042" s="37" t="s">
        <v>1188</v>
      </c>
      <c r="E1042" s="37" t="s">
        <v>2832</v>
      </c>
      <c r="F1042" s="24" t="s">
        <v>5443</v>
      </c>
      <c r="H1042" s="38" t="s">
        <v>5820</v>
      </c>
      <c r="J1042" s="214" t="s">
        <v>5796</v>
      </c>
      <c r="O1042" s="37" t="s">
        <v>1463</v>
      </c>
      <c r="P1042" s="37" t="s">
        <v>1603</v>
      </c>
      <c r="S1042" s="10" t="s">
        <v>3412</v>
      </c>
      <c r="U1042" s="21">
        <v>1</v>
      </c>
      <c r="V1042" s="21">
        <v>1</v>
      </c>
      <c r="W1042" s="73">
        <f t="shared" si="43"/>
        <v>556</v>
      </c>
      <c r="X1042" s="80">
        <f t="shared" si="42"/>
        <v>1765</v>
      </c>
      <c r="Y1042" s="82" t="s">
        <v>3591</v>
      </c>
      <c r="Z1042" s="24" t="s">
        <v>2885</v>
      </c>
      <c r="AB1042" s="177">
        <v>44383</v>
      </c>
      <c r="AC1042" s="84" t="s">
        <v>5308</v>
      </c>
    </row>
    <row r="1043" spans="1:29" ht="15.45" customHeight="1" x14ac:dyDescent="0.25">
      <c r="A1043" s="29" t="s">
        <v>945</v>
      </c>
      <c r="C1043" s="37" t="s">
        <v>1188</v>
      </c>
      <c r="E1043" s="37" t="s">
        <v>2832</v>
      </c>
      <c r="F1043" s="24" t="s">
        <v>5443</v>
      </c>
      <c r="J1043" s="214" t="s">
        <v>3690</v>
      </c>
      <c r="K1043" s="10" t="s">
        <v>3685</v>
      </c>
      <c r="P1043" s="37" t="s">
        <v>2076</v>
      </c>
      <c r="S1043" s="10" t="s">
        <v>3412</v>
      </c>
      <c r="U1043" s="21">
        <v>1</v>
      </c>
      <c r="V1043" s="21">
        <v>1</v>
      </c>
      <c r="W1043" s="73">
        <f t="shared" si="43"/>
        <v>557</v>
      </c>
      <c r="X1043" s="80">
        <f t="shared" si="42"/>
        <v>1766</v>
      </c>
      <c r="Y1043" s="82" t="s">
        <v>3584</v>
      </c>
    </row>
    <row r="1044" spans="1:29" ht="15.45" customHeight="1" x14ac:dyDescent="0.25">
      <c r="A1044" s="29" t="s">
        <v>863</v>
      </c>
      <c r="C1044" s="37" t="s">
        <v>1188</v>
      </c>
      <c r="E1044" s="37" t="s">
        <v>2832</v>
      </c>
      <c r="F1044" s="24" t="s">
        <v>5443</v>
      </c>
      <c r="J1044" s="214" t="s">
        <v>3690</v>
      </c>
      <c r="K1044" s="10" t="s">
        <v>3685</v>
      </c>
      <c r="P1044" s="37" t="s">
        <v>2010</v>
      </c>
      <c r="S1044" s="10" t="s">
        <v>3412</v>
      </c>
      <c r="U1044" s="21">
        <v>1</v>
      </c>
      <c r="V1044" s="21">
        <v>1</v>
      </c>
      <c r="W1044" s="73">
        <f t="shared" si="43"/>
        <v>558</v>
      </c>
      <c r="X1044" s="80">
        <f t="shared" si="42"/>
        <v>1767</v>
      </c>
      <c r="Y1044" s="82" t="s">
        <v>3584</v>
      </c>
    </row>
    <row r="1045" spans="1:29" ht="15.45" customHeight="1" x14ac:dyDescent="0.25">
      <c r="A1045" s="29" t="s">
        <v>1535</v>
      </c>
      <c r="C1045" s="37" t="s">
        <v>1188</v>
      </c>
      <c r="E1045" s="37" t="s">
        <v>2832</v>
      </c>
      <c r="F1045" s="24" t="s">
        <v>5443</v>
      </c>
      <c r="J1045" s="214" t="s">
        <v>3690</v>
      </c>
      <c r="K1045" s="10" t="s">
        <v>3685</v>
      </c>
      <c r="P1045" s="37" t="s">
        <v>2076</v>
      </c>
      <c r="S1045" s="10" t="s">
        <v>3412</v>
      </c>
      <c r="U1045" s="21">
        <v>1</v>
      </c>
      <c r="V1045" s="21">
        <v>15</v>
      </c>
      <c r="W1045" s="73">
        <f t="shared" si="43"/>
        <v>573</v>
      </c>
      <c r="X1045" s="80">
        <f t="shared" si="42"/>
        <v>1782</v>
      </c>
      <c r="Y1045" s="82" t="s">
        <v>3584</v>
      </c>
    </row>
    <row r="1046" spans="1:29" ht="15.45" customHeight="1" x14ac:dyDescent="0.25">
      <c r="A1046" s="29" t="s">
        <v>1532</v>
      </c>
      <c r="C1046" s="37" t="s">
        <v>1188</v>
      </c>
      <c r="E1046" s="37" t="s">
        <v>2832</v>
      </c>
      <c r="F1046" s="24" t="s">
        <v>5443</v>
      </c>
      <c r="J1046" s="214" t="s">
        <v>3690</v>
      </c>
      <c r="K1046" s="10" t="s">
        <v>3685</v>
      </c>
      <c r="P1046" s="37" t="s">
        <v>1642</v>
      </c>
      <c r="S1046" s="10" t="s">
        <v>3412</v>
      </c>
      <c r="U1046" s="21">
        <v>1</v>
      </c>
      <c r="V1046" s="21">
        <v>1</v>
      </c>
      <c r="W1046" s="73">
        <f t="shared" si="43"/>
        <v>574</v>
      </c>
      <c r="X1046" s="80">
        <f t="shared" si="42"/>
        <v>1783</v>
      </c>
      <c r="Y1046" s="82" t="s">
        <v>3584</v>
      </c>
    </row>
    <row r="1047" spans="1:29" ht="15.45" customHeight="1" x14ac:dyDescent="0.25">
      <c r="A1047" s="29" t="s">
        <v>32</v>
      </c>
      <c r="C1047" s="37" t="s">
        <v>2031</v>
      </c>
      <c r="E1047" s="37" t="s">
        <v>2832</v>
      </c>
      <c r="F1047" s="24" t="s">
        <v>5443</v>
      </c>
      <c r="J1047" s="214" t="s">
        <v>3690</v>
      </c>
      <c r="K1047" s="10" t="s">
        <v>3685</v>
      </c>
      <c r="P1047" s="37" t="s">
        <v>2038</v>
      </c>
      <c r="S1047" s="10" t="s">
        <v>3412</v>
      </c>
      <c r="U1047" s="21">
        <v>1</v>
      </c>
      <c r="V1047" s="21">
        <v>1</v>
      </c>
      <c r="W1047" s="73">
        <f t="shared" si="43"/>
        <v>575</v>
      </c>
      <c r="X1047" s="80">
        <f t="shared" si="42"/>
        <v>1784</v>
      </c>
      <c r="Y1047" s="82" t="s">
        <v>3584</v>
      </c>
    </row>
    <row r="1048" spans="1:29" ht="15.45" customHeight="1" x14ac:dyDescent="0.25">
      <c r="A1048" s="29" t="s">
        <v>1869</v>
      </c>
      <c r="C1048" s="37" t="s">
        <v>1188</v>
      </c>
      <c r="E1048" s="37" t="s">
        <v>2832</v>
      </c>
      <c r="F1048" s="24" t="s">
        <v>5443</v>
      </c>
      <c r="J1048" s="214" t="s">
        <v>3690</v>
      </c>
      <c r="K1048" s="10" t="s">
        <v>3685</v>
      </c>
      <c r="P1048" s="37" t="s">
        <v>1982</v>
      </c>
      <c r="S1048" s="10" t="s">
        <v>3412</v>
      </c>
      <c r="U1048" s="21">
        <v>1</v>
      </c>
      <c r="V1048" s="21">
        <v>1</v>
      </c>
      <c r="W1048" s="73">
        <f t="shared" si="43"/>
        <v>576</v>
      </c>
      <c r="X1048" s="80">
        <f t="shared" si="42"/>
        <v>1785</v>
      </c>
      <c r="Y1048" s="82" t="s">
        <v>3584</v>
      </c>
    </row>
    <row r="1049" spans="1:29" ht="15.45" customHeight="1" x14ac:dyDescent="0.25">
      <c r="A1049" s="29" t="s">
        <v>3297</v>
      </c>
      <c r="C1049" s="37" t="s">
        <v>2031</v>
      </c>
      <c r="E1049" s="37" t="s">
        <v>2832</v>
      </c>
      <c r="F1049" s="24" t="s">
        <v>5443</v>
      </c>
      <c r="J1049" s="214" t="s">
        <v>3690</v>
      </c>
      <c r="K1049" s="10" t="s">
        <v>3685</v>
      </c>
      <c r="P1049" s="37" t="s">
        <v>33</v>
      </c>
      <c r="S1049" s="10" t="s">
        <v>3412</v>
      </c>
      <c r="U1049" s="21">
        <v>1</v>
      </c>
      <c r="V1049" s="21">
        <v>1</v>
      </c>
      <c r="W1049" s="73">
        <f t="shared" si="43"/>
        <v>577</v>
      </c>
      <c r="X1049" s="80">
        <f t="shared" si="42"/>
        <v>1786</v>
      </c>
      <c r="Y1049" s="82" t="s">
        <v>3584</v>
      </c>
    </row>
    <row r="1050" spans="1:29" ht="15.45" customHeight="1" x14ac:dyDescent="0.25">
      <c r="A1050" s="29" t="s">
        <v>3298</v>
      </c>
      <c r="C1050" s="37" t="s">
        <v>1188</v>
      </c>
      <c r="E1050" s="37" t="s">
        <v>2832</v>
      </c>
      <c r="F1050" s="24" t="s">
        <v>5443</v>
      </c>
      <c r="J1050" s="214" t="s">
        <v>3690</v>
      </c>
      <c r="K1050" s="10" t="s">
        <v>3685</v>
      </c>
      <c r="P1050" s="37" t="s">
        <v>1642</v>
      </c>
      <c r="S1050" s="10" t="s">
        <v>3412</v>
      </c>
      <c r="U1050" s="21">
        <v>1</v>
      </c>
      <c r="V1050" s="21">
        <v>2</v>
      </c>
      <c r="W1050" s="73">
        <f t="shared" si="43"/>
        <v>579</v>
      </c>
      <c r="X1050" s="80">
        <f t="shared" si="42"/>
        <v>1788</v>
      </c>
      <c r="Y1050" s="82" t="s">
        <v>3584</v>
      </c>
    </row>
    <row r="1051" spans="1:29" ht="15.45" customHeight="1" x14ac:dyDescent="0.25">
      <c r="A1051" s="29" t="s">
        <v>1515</v>
      </c>
      <c r="C1051" s="37" t="s">
        <v>1188</v>
      </c>
      <c r="E1051" s="37" t="s">
        <v>2832</v>
      </c>
      <c r="F1051" s="24" t="s">
        <v>5443</v>
      </c>
      <c r="J1051" s="214" t="s">
        <v>3690</v>
      </c>
      <c r="K1051" s="10" t="s">
        <v>3685</v>
      </c>
      <c r="P1051" s="37" t="s">
        <v>1933</v>
      </c>
      <c r="S1051" s="10" t="s">
        <v>3412</v>
      </c>
      <c r="U1051" s="21">
        <v>1</v>
      </c>
      <c r="V1051" s="21">
        <v>2</v>
      </c>
      <c r="W1051" s="73">
        <f t="shared" si="43"/>
        <v>581</v>
      </c>
      <c r="X1051" s="80">
        <f t="shared" si="42"/>
        <v>1790</v>
      </c>
      <c r="Y1051" s="82" t="s">
        <v>3584</v>
      </c>
    </row>
    <row r="1052" spans="1:29" ht="15.45" customHeight="1" x14ac:dyDescent="0.25">
      <c r="A1052" s="29" t="s">
        <v>1514</v>
      </c>
      <c r="C1052" s="37" t="s">
        <v>1188</v>
      </c>
      <c r="E1052" s="37" t="s">
        <v>2832</v>
      </c>
      <c r="F1052" s="24" t="s">
        <v>5443</v>
      </c>
      <c r="J1052" s="214" t="s">
        <v>3690</v>
      </c>
      <c r="K1052" s="10" t="s">
        <v>3685</v>
      </c>
      <c r="P1052" s="37" t="s">
        <v>208</v>
      </c>
      <c r="S1052" s="10" t="s">
        <v>3412</v>
      </c>
      <c r="U1052" s="21">
        <v>1</v>
      </c>
      <c r="V1052" s="21">
        <v>1</v>
      </c>
      <c r="W1052" s="73">
        <f t="shared" si="43"/>
        <v>582</v>
      </c>
      <c r="X1052" s="80">
        <f t="shared" si="42"/>
        <v>1791</v>
      </c>
      <c r="Y1052" s="82" t="s">
        <v>3584</v>
      </c>
    </row>
    <row r="1053" spans="1:29" ht="15.45" customHeight="1" x14ac:dyDescent="0.25">
      <c r="A1053" s="29" t="s">
        <v>1712</v>
      </c>
      <c r="C1053" s="37" t="s">
        <v>1188</v>
      </c>
      <c r="E1053" s="37" t="s">
        <v>2832</v>
      </c>
      <c r="F1053" s="24" t="s">
        <v>5443</v>
      </c>
      <c r="J1053" s="214" t="s">
        <v>3690</v>
      </c>
      <c r="K1053" s="10" t="s">
        <v>3685</v>
      </c>
      <c r="P1053" s="37" t="s">
        <v>363</v>
      </c>
      <c r="S1053" s="10" t="s">
        <v>3412</v>
      </c>
      <c r="U1053" s="21">
        <v>1</v>
      </c>
      <c r="V1053" s="21">
        <v>1</v>
      </c>
      <c r="W1053" s="73">
        <f t="shared" si="43"/>
        <v>583</v>
      </c>
      <c r="X1053" s="80">
        <f t="shared" si="42"/>
        <v>1792</v>
      </c>
      <c r="Y1053" s="82" t="s">
        <v>3584</v>
      </c>
    </row>
    <row r="1054" spans="1:29" ht="15.45" customHeight="1" x14ac:dyDescent="0.25">
      <c r="A1054" s="29" t="s">
        <v>1833</v>
      </c>
      <c r="C1054" s="37" t="s">
        <v>1188</v>
      </c>
      <c r="E1054" s="37" t="s">
        <v>2832</v>
      </c>
      <c r="F1054" s="24" t="s">
        <v>5443</v>
      </c>
      <c r="J1054" s="214" t="s">
        <v>3690</v>
      </c>
      <c r="K1054" s="10" t="s">
        <v>3685</v>
      </c>
      <c r="P1054" s="37" t="s">
        <v>1736</v>
      </c>
      <c r="S1054" s="10" t="s">
        <v>3412</v>
      </c>
      <c r="U1054" s="21">
        <v>1</v>
      </c>
      <c r="V1054" s="21">
        <v>1</v>
      </c>
      <c r="W1054" s="73">
        <f t="shared" si="43"/>
        <v>584</v>
      </c>
      <c r="X1054" s="80">
        <f t="shared" si="42"/>
        <v>1793</v>
      </c>
      <c r="Y1054" s="82" t="s">
        <v>3584</v>
      </c>
    </row>
    <row r="1055" spans="1:29" ht="15.45" customHeight="1" x14ac:dyDescent="0.25">
      <c r="A1055" s="29" t="s">
        <v>1741</v>
      </c>
      <c r="C1055" s="37" t="s">
        <v>1188</v>
      </c>
      <c r="E1055" s="37" t="s">
        <v>2832</v>
      </c>
      <c r="F1055" s="24" t="s">
        <v>5443</v>
      </c>
      <c r="J1055" s="214" t="s">
        <v>3690</v>
      </c>
      <c r="K1055" s="10" t="s">
        <v>3685</v>
      </c>
      <c r="P1055" s="37" t="s">
        <v>2003</v>
      </c>
      <c r="S1055" s="10" t="s">
        <v>3412</v>
      </c>
      <c r="U1055" s="21">
        <v>1</v>
      </c>
      <c r="V1055" s="21">
        <v>1</v>
      </c>
      <c r="W1055" s="73">
        <f t="shared" si="43"/>
        <v>585</v>
      </c>
      <c r="X1055" s="80">
        <f t="shared" si="42"/>
        <v>1794</v>
      </c>
      <c r="Y1055" s="82" t="s">
        <v>3584</v>
      </c>
    </row>
    <row r="1056" spans="1:29" ht="15.45" customHeight="1" x14ac:dyDescent="0.25">
      <c r="A1056" s="29" t="s">
        <v>1740</v>
      </c>
      <c r="C1056" s="37" t="s">
        <v>1188</v>
      </c>
      <c r="E1056" s="37" t="s">
        <v>2832</v>
      </c>
      <c r="F1056" s="24" t="s">
        <v>5443</v>
      </c>
      <c r="J1056" s="214" t="s">
        <v>3690</v>
      </c>
      <c r="K1056" s="10" t="s">
        <v>3685</v>
      </c>
      <c r="P1056" s="37" t="s">
        <v>1967</v>
      </c>
      <c r="S1056" s="10" t="s">
        <v>3412</v>
      </c>
      <c r="U1056" s="21">
        <v>1</v>
      </c>
      <c r="V1056" s="21">
        <v>1</v>
      </c>
      <c r="W1056" s="73">
        <f t="shared" si="43"/>
        <v>586</v>
      </c>
      <c r="X1056" s="80">
        <f t="shared" si="42"/>
        <v>1795</v>
      </c>
      <c r="Y1056" s="82" t="s">
        <v>3584</v>
      </c>
    </row>
    <row r="1057" spans="1:25" ht="15.45" customHeight="1" x14ac:dyDescent="0.25">
      <c r="A1057" s="29" t="s">
        <v>3299</v>
      </c>
      <c r="C1057" s="37" t="s">
        <v>1188</v>
      </c>
      <c r="E1057" s="37" t="s">
        <v>2832</v>
      </c>
      <c r="F1057" s="24" t="s">
        <v>5443</v>
      </c>
      <c r="J1057" s="214" t="s">
        <v>3690</v>
      </c>
      <c r="K1057" s="10" t="s">
        <v>3685</v>
      </c>
      <c r="P1057" s="37" t="s">
        <v>1746</v>
      </c>
      <c r="S1057" s="10" t="s">
        <v>3412</v>
      </c>
      <c r="U1057" s="21">
        <v>1</v>
      </c>
      <c r="V1057" s="21">
        <v>2</v>
      </c>
      <c r="W1057" s="73">
        <f t="shared" si="43"/>
        <v>588</v>
      </c>
      <c r="X1057" s="80">
        <f t="shared" si="42"/>
        <v>1797</v>
      </c>
      <c r="Y1057" s="82" t="s">
        <v>3584</v>
      </c>
    </row>
    <row r="1058" spans="1:25" ht="15.45" customHeight="1" x14ac:dyDescent="0.25">
      <c r="A1058" s="29" t="s">
        <v>3300</v>
      </c>
      <c r="C1058" s="37" t="s">
        <v>1188</v>
      </c>
      <c r="E1058" s="37" t="s">
        <v>2832</v>
      </c>
      <c r="F1058" s="24" t="s">
        <v>5443</v>
      </c>
      <c r="J1058" s="214" t="s">
        <v>3690</v>
      </c>
      <c r="K1058" s="10" t="s">
        <v>3685</v>
      </c>
      <c r="P1058" s="37" t="s">
        <v>2012</v>
      </c>
      <c r="S1058" s="10" t="s">
        <v>3412</v>
      </c>
      <c r="U1058" s="21">
        <v>1</v>
      </c>
      <c r="V1058" s="21">
        <v>1</v>
      </c>
      <c r="W1058" s="73">
        <f t="shared" si="43"/>
        <v>589</v>
      </c>
      <c r="X1058" s="80">
        <f t="shared" si="42"/>
        <v>1798</v>
      </c>
      <c r="Y1058" s="82" t="s">
        <v>3584</v>
      </c>
    </row>
    <row r="1059" spans="1:25" ht="15.45" customHeight="1" x14ac:dyDescent="0.25">
      <c r="A1059" s="29" t="s">
        <v>1414</v>
      </c>
      <c r="C1059" s="37" t="s">
        <v>1188</v>
      </c>
      <c r="E1059" s="37" t="s">
        <v>2832</v>
      </c>
      <c r="F1059" s="24" t="s">
        <v>5443</v>
      </c>
      <c r="J1059" s="214" t="s">
        <v>3690</v>
      </c>
      <c r="K1059" s="10" t="s">
        <v>3685</v>
      </c>
      <c r="P1059" s="37" t="s">
        <v>1642</v>
      </c>
      <c r="S1059" s="10" t="s">
        <v>3412</v>
      </c>
      <c r="U1059" s="21">
        <v>1</v>
      </c>
      <c r="V1059" s="21">
        <v>1</v>
      </c>
      <c r="W1059" s="73">
        <f t="shared" si="43"/>
        <v>590</v>
      </c>
      <c r="X1059" s="80">
        <f t="shared" si="42"/>
        <v>1799</v>
      </c>
      <c r="Y1059" s="82" t="s">
        <v>3584</v>
      </c>
    </row>
    <row r="1060" spans="1:25" ht="15.45" customHeight="1" x14ac:dyDescent="0.25">
      <c r="A1060" s="29" t="s">
        <v>1290</v>
      </c>
      <c r="C1060" s="37" t="s">
        <v>1188</v>
      </c>
      <c r="E1060" s="37" t="s">
        <v>2832</v>
      </c>
      <c r="F1060" s="24" t="s">
        <v>5443</v>
      </c>
      <c r="J1060" s="214" t="s">
        <v>3690</v>
      </c>
      <c r="K1060" s="10" t="s">
        <v>3685</v>
      </c>
      <c r="P1060" s="37" t="s">
        <v>1991</v>
      </c>
      <c r="S1060" s="10" t="s">
        <v>3412</v>
      </c>
      <c r="U1060" s="21">
        <v>1</v>
      </c>
      <c r="V1060" s="21">
        <v>1</v>
      </c>
      <c r="W1060" s="73">
        <f t="shared" si="43"/>
        <v>591</v>
      </c>
      <c r="X1060" s="80">
        <f t="shared" si="42"/>
        <v>1800</v>
      </c>
      <c r="Y1060" s="82" t="s">
        <v>3584</v>
      </c>
    </row>
    <row r="1061" spans="1:25" ht="15.45" customHeight="1" x14ac:dyDescent="0.25">
      <c r="A1061" s="29" t="s">
        <v>1391</v>
      </c>
      <c r="C1061" s="37" t="s">
        <v>1188</v>
      </c>
      <c r="E1061" s="37" t="s">
        <v>2832</v>
      </c>
      <c r="F1061" s="24" t="s">
        <v>5443</v>
      </c>
      <c r="J1061" s="214" t="s">
        <v>3690</v>
      </c>
      <c r="K1061" s="10" t="s">
        <v>3685</v>
      </c>
      <c r="P1061" s="37" t="s">
        <v>1870</v>
      </c>
      <c r="S1061" s="10" t="s">
        <v>3412</v>
      </c>
      <c r="U1061" s="21">
        <v>1</v>
      </c>
      <c r="V1061" s="21">
        <v>2</v>
      </c>
      <c r="W1061" s="73">
        <f t="shared" si="43"/>
        <v>593</v>
      </c>
      <c r="X1061" s="80">
        <f t="shared" si="42"/>
        <v>1802</v>
      </c>
      <c r="Y1061" s="82" t="s">
        <v>3584</v>
      </c>
    </row>
    <row r="1062" spans="1:25" ht="15.45" customHeight="1" x14ac:dyDescent="0.25">
      <c r="A1062" s="29" t="s">
        <v>1390</v>
      </c>
      <c r="C1062" s="37" t="s">
        <v>1188</v>
      </c>
      <c r="E1062" s="37" t="s">
        <v>2832</v>
      </c>
      <c r="F1062" s="24" t="s">
        <v>5443</v>
      </c>
      <c r="J1062" s="214" t="s">
        <v>3690</v>
      </c>
      <c r="K1062" s="10" t="s">
        <v>3685</v>
      </c>
      <c r="P1062" s="37" t="s">
        <v>1867</v>
      </c>
      <c r="S1062" s="10" t="s">
        <v>3412</v>
      </c>
      <c r="U1062" s="21">
        <v>1</v>
      </c>
      <c r="V1062" s="21">
        <v>2</v>
      </c>
      <c r="W1062" s="73">
        <f t="shared" si="43"/>
        <v>595</v>
      </c>
      <c r="X1062" s="80">
        <f t="shared" si="42"/>
        <v>1804</v>
      </c>
      <c r="Y1062" s="82" t="s">
        <v>3584</v>
      </c>
    </row>
    <row r="1063" spans="1:25" ht="15.45" customHeight="1" x14ac:dyDescent="0.25">
      <c r="A1063" s="29" t="s">
        <v>1389</v>
      </c>
      <c r="C1063" s="37" t="s">
        <v>1188</v>
      </c>
      <c r="E1063" s="37" t="s">
        <v>2832</v>
      </c>
      <c r="F1063" s="24" t="s">
        <v>5443</v>
      </c>
      <c r="J1063" s="214" t="s">
        <v>3690</v>
      </c>
      <c r="K1063" s="10" t="s">
        <v>3685</v>
      </c>
      <c r="P1063" s="37" t="s">
        <v>1736</v>
      </c>
      <c r="S1063" s="10" t="s">
        <v>3412</v>
      </c>
      <c r="U1063" s="21">
        <v>1</v>
      </c>
      <c r="V1063" s="21">
        <v>2</v>
      </c>
      <c r="W1063" s="73">
        <f t="shared" si="43"/>
        <v>597</v>
      </c>
      <c r="X1063" s="80">
        <f t="shared" si="42"/>
        <v>1806</v>
      </c>
      <c r="Y1063" s="82" t="s">
        <v>3584</v>
      </c>
    </row>
    <row r="1064" spans="1:25" ht="15.45" customHeight="1" x14ac:dyDescent="0.25">
      <c r="A1064" s="29" t="s">
        <v>1424</v>
      </c>
      <c r="C1064" s="37" t="s">
        <v>1188</v>
      </c>
      <c r="E1064" s="37" t="s">
        <v>2832</v>
      </c>
      <c r="F1064" s="24" t="s">
        <v>5443</v>
      </c>
      <c r="J1064" s="214" t="s">
        <v>3690</v>
      </c>
      <c r="K1064" s="10" t="s">
        <v>3685</v>
      </c>
      <c r="P1064" s="37" t="s">
        <v>1982</v>
      </c>
      <c r="S1064" s="10" t="s">
        <v>3412</v>
      </c>
      <c r="U1064" s="21">
        <v>1</v>
      </c>
      <c r="V1064" s="21">
        <v>1</v>
      </c>
      <c r="W1064" s="73">
        <f t="shared" si="43"/>
        <v>598</v>
      </c>
      <c r="X1064" s="80">
        <f t="shared" si="42"/>
        <v>1807</v>
      </c>
      <c r="Y1064" s="82" t="s">
        <v>3584</v>
      </c>
    </row>
    <row r="1065" spans="1:25" ht="15.45" customHeight="1" x14ac:dyDescent="0.25">
      <c r="A1065" s="29" t="s">
        <v>1388</v>
      </c>
      <c r="C1065" s="37" t="s">
        <v>1188</v>
      </c>
      <c r="E1065" s="37" t="s">
        <v>2832</v>
      </c>
      <c r="F1065" s="24" t="s">
        <v>5443</v>
      </c>
      <c r="J1065" s="214" t="s">
        <v>3690</v>
      </c>
      <c r="K1065" s="10" t="s">
        <v>3685</v>
      </c>
      <c r="P1065" s="37" t="s">
        <v>1866</v>
      </c>
      <c r="S1065" s="10" t="s">
        <v>3412</v>
      </c>
      <c r="U1065" s="21">
        <v>1</v>
      </c>
      <c r="V1065" s="21">
        <v>1</v>
      </c>
      <c r="W1065" s="73">
        <f t="shared" si="43"/>
        <v>599</v>
      </c>
      <c r="X1065" s="80">
        <f t="shared" si="42"/>
        <v>1808</v>
      </c>
      <c r="Y1065" s="82" t="s">
        <v>3584</v>
      </c>
    </row>
    <row r="1066" spans="1:25" ht="15.45" customHeight="1" x14ac:dyDescent="0.25">
      <c r="A1066" s="29" t="s">
        <v>3301</v>
      </c>
      <c r="C1066" s="37" t="s">
        <v>1188</v>
      </c>
      <c r="E1066" s="37" t="s">
        <v>2832</v>
      </c>
      <c r="F1066" s="24" t="s">
        <v>5443</v>
      </c>
      <c r="J1066" s="214" t="s">
        <v>3690</v>
      </c>
      <c r="K1066" s="10" t="s">
        <v>3685</v>
      </c>
      <c r="P1066" s="37" t="s">
        <v>1642</v>
      </c>
      <c r="S1066" s="10" t="s">
        <v>3412</v>
      </c>
      <c r="U1066" s="21">
        <v>1</v>
      </c>
      <c r="V1066" s="21">
        <v>1</v>
      </c>
      <c r="W1066" s="73">
        <f t="shared" si="43"/>
        <v>600</v>
      </c>
      <c r="X1066" s="80">
        <f t="shared" si="42"/>
        <v>1809</v>
      </c>
      <c r="Y1066" s="82" t="s">
        <v>3584</v>
      </c>
    </row>
    <row r="1067" spans="1:25" ht="15.45" customHeight="1" x14ac:dyDescent="0.25">
      <c r="A1067" s="29" t="s">
        <v>3302</v>
      </c>
      <c r="C1067" s="37" t="s">
        <v>1188</v>
      </c>
      <c r="E1067" s="37" t="s">
        <v>2832</v>
      </c>
      <c r="F1067" s="24" t="s">
        <v>5443</v>
      </c>
      <c r="J1067" s="214" t="s">
        <v>3690</v>
      </c>
      <c r="K1067" s="10" t="s">
        <v>3685</v>
      </c>
      <c r="P1067" s="37" t="s">
        <v>1736</v>
      </c>
      <c r="S1067" s="10" t="s">
        <v>3412</v>
      </c>
      <c r="U1067" s="21">
        <v>1</v>
      </c>
      <c r="V1067" s="21">
        <v>1</v>
      </c>
      <c r="W1067" s="73">
        <f t="shared" si="43"/>
        <v>601</v>
      </c>
      <c r="X1067" s="80">
        <f t="shared" si="42"/>
        <v>1810</v>
      </c>
      <c r="Y1067" s="82" t="s">
        <v>3584</v>
      </c>
    </row>
    <row r="1068" spans="1:25" ht="15.45" customHeight="1" x14ac:dyDescent="0.25">
      <c r="A1068" s="29" t="s">
        <v>1167</v>
      </c>
      <c r="C1068" s="37" t="s">
        <v>1188</v>
      </c>
      <c r="E1068" s="37" t="s">
        <v>2832</v>
      </c>
      <c r="F1068" s="24" t="s">
        <v>5443</v>
      </c>
      <c r="J1068" s="214" t="s">
        <v>3690</v>
      </c>
      <c r="K1068" s="10" t="s">
        <v>3685</v>
      </c>
      <c r="P1068" s="37" t="s">
        <v>1792</v>
      </c>
      <c r="S1068" s="10" t="s">
        <v>3412</v>
      </c>
      <c r="U1068" s="21">
        <v>1</v>
      </c>
      <c r="V1068" s="21">
        <v>6</v>
      </c>
      <c r="W1068" s="73">
        <f t="shared" si="43"/>
        <v>607</v>
      </c>
      <c r="X1068" s="80">
        <f t="shared" si="42"/>
        <v>1816</v>
      </c>
      <c r="Y1068" s="82" t="s">
        <v>3584</v>
      </c>
    </row>
    <row r="1069" spans="1:25" ht="15.45" customHeight="1" x14ac:dyDescent="0.25">
      <c r="A1069" s="29" t="s">
        <v>3303</v>
      </c>
      <c r="C1069" s="37" t="s">
        <v>1188</v>
      </c>
      <c r="E1069" s="37" t="s">
        <v>2832</v>
      </c>
      <c r="F1069" s="24" t="s">
        <v>5443</v>
      </c>
      <c r="J1069" s="214" t="s">
        <v>3690</v>
      </c>
      <c r="K1069" s="10" t="s">
        <v>3685</v>
      </c>
      <c r="P1069" s="37" t="s">
        <v>1642</v>
      </c>
      <c r="S1069" s="10" t="s">
        <v>3412</v>
      </c>
      <c r="U1069" s="21">
        <v>1</v>
      </c>
      <c r="V1069" s="21">
        <v>1</v>
      </c>
      <c r="W1069" s="73">
        <f t="shared" si="43"/>
        <v>608</v>
      </c>
      <c r="X1069" s="80">
        <f t="shared" si="42"/>
        <v>1817</v>
      </c>
      <c r="Y1069" s="82" t="s">
        <v>3584</v>
      </c>
    </row>
    <row r="1070" spans="1:25" ht="15.45" customHeight="1" x14ac:dyDescent="0.25">
      <c r="A1070" s="29" t="s">
        <v>3304</v>
      </c>
      <c r="C1070" s="37" t="s">
        <v>1188</v>
      </c>
      <c r="E1070" s="37" t="s">
        <v>2832</v>
      </c>
      <c r="F1070" s="24" t="s">
        <v>5443</v>
      </c>
      <c r="J1070" s="214" t="s">
        <v>3690</v>
      </c>
      <c r="K1070" s="10" t="s">
        <v>3685</v>
      </c>
      <c r="P1070" s="37" t="s">
        <v>1642</v>
      </c>
      <c r="S1070" s="10" t="s">
        <v>3412</v>
      </c>
      <c r="U1070" s="21">
        <v>1</v>
      </c>
      <c r="V1070" s="21">
        <v>1</v>
      </c>
      <c r="W1070" s="73">
        <f t="shared" si="43"/>
        <v>609</v>
      </c>
      <c r="X1070" s="80">
        <f t="shared" si="42"/>
        <v>1818</v>
      </c>
      <c r="Y1070" s="82" t="s">
        <v>3584</v>
      </c>
    </row>
    <row r="1071" spans="1:25" ht="15.45" customHeight="1" x14ac:dyDescent="0.25">
      <c r="A1071" s="29" t="s">
        <v>3305</v>
      </c>
      <c r="C1071" s="37" t="s">
        <v>1188</v>
      </c>
      <c r="E1071" s="37" t="s">
        <v>2832</v>
      </c>
      <c r="F1071" s="24" t="s">
        <v>5443</v>
      </c>
      <c r="J1071" s="214" t="s">
        <v>3690</v>
      </c>
      <c r="K1071" s="10" t="s">
        <v>3685</v>
      </c>
      <c r="P1071" s="37" t="s">
        <v>1642</v>
      </c>
      <c r="S1071" s="10" t="s">
        <v>3412</v>
      </c>
      <c r="U1071" s="21">
        <v>1</v>
      </c>
      <c r="V1071" s="21">
        <v>1</v>
      </c>
      <c r="W1071" s="73">
        <f t="shared" si="43"/>
        <v>610</v>
      </c>
      <c r="X1071" s="80">
        <f t="shared" si="42"/>
        <v>1819</v>
      </c>
      <c r="Y1071" s="82" t="s">
        <v>3584</v>
      </c>
    </row>
    <row r="1072" spans="1:25" ht="15.45" customHeight="1" x14ac:dyDescent="0.25">
      <c r="A1072" s="29" t="s">
        <v>3306</v>
      </c>
      <c r="C1072" s="37" t="s">
        <v>1188</v>
      </c>
      <c r="E1072" s="37" t="s">
        <v>2832</v>
      </c>
      <c r="F1072" s="24" t="s">
        <v>5443</v>
      </c>
      <c r="J1072" s="214" t="s">
        <v>3690</v>
      </c>
      <c r="K1072" s="10" t="s">
        <v>3685</v>
      </c>
      <c r="P1072" s="37" t="s">
        <v>1642</v>
      </c>
      <c r="S1072" s="10" t="s">
        <v>3412</v>
      </c>
      <c r="U1072" s="21">
        <v>1</v>
      </c>
      <c r="V1072" s="21">
        <v>1</v>
      </c>
      <c r="W1072" s="73">
        <f t="shared" si="43"/>
        <v>611</v>
      </c>
      <c r="X1072" s="80">
        <f t="shared" si="42"/>
        <v>1820</v>
      </c>
      <c r="Y1072" s="82" t="s">
        <v>3584</v>
      </c>
    </row>
    <row r="1073" spans="1:29" ht="15.45" customHeight="1" x14ac:dyDescent="0.25">
      <c r="A1073" s="29" t="s">
        <v>1387</v>
      </c>
      <c r="C1073" s="37" t="s">
        <v>1188</v>
      </c>
      <c r="E1073" s="37" t="s">
        <v>2832</v>
      </c>
      <c r="F1073" s="24" t="s">
        <v>5443</v>
      </c>
      <c r="J1073" s="214" t="s">
        <v>3690</v>
      </c>
      <c r="K1073" s="10" t="s">
        <v>3685</v>
      </c>
      <c r="P1073" s="37" t="s">
        <v>1642</v>
      </c>
      <c r="S1073" s="10" t="s">
        <v>3412</v>
      </c>
      <c r="U1073" s="21">
        <v>1</v>
      </c>
      <c r="V1073" s="21">
        <v>1</v>
      </c>
      <c r="W1073" s="73">
        <f t="shared" si="43"/>
        <v>612</v>
      </c>
      <c r="X1073" s="80">
        <f t="shared" si="42"/>
        <v>1821</v>
      </c>
      <c r="Y1073" s="82" t="s">
        <v>3584</v>
      </c>
    </row>
    <row r="1074" spans="1:29" ht="15.45" customHeight="1" x14ac:dyDescent="0.25">
      <c r="A1074" s="29" t="s">
        <v>3307</v>
      </c>
      <c r="C1074" s="37" t="s">
        <v>1188</v>
      </c>
      <c r="E1074" s="37" t="s">
        <v>2832</v>
      </c>
      <c r="F1074" s="24" t="s">
        <v>5443</v>
      </c>
      <c r="J1074" s="214" t="s">
        <v>3690</v>
      </c>
      <c r="K1074" s="10" t="s">
        <v>3685</v>
      </c>
      <c r="P1074" s="37" t="s">
        <v>1642</v>
      </c>
      <c r="S1074" s="10" t="s">
        <v>3412</v>
      </c>
      <c r="U1074" s="21">
        <v>1</v>
      </c>
      <c r="V1074" s="21">
        <v>1</v>
      </c>
      <c r="W1074" s="73">
        <f t="shared" si="43"/>
        <v>613</v>
      </c>
      <c r="X1074" s="80">
        <f t="shared" si="42"/>
        <v>1822</v>
      </c>
      <c r="Y1074" s="82" t="s">
        <v>3584</v>
      </c>
    </row>
    <row r="1075" spans="1:29" ht="15.45" customHeight="1" x14ac:dyDescent="0.25">
      <c r="A1075" s="29" t="s">
        <v>6017</v>
      </c>
      <c r="C1075" s="37" t="s">
        <v>1188</v>
      </c>
      <c r="E1075" s="37" t="s">
        <v>2832</v>
      </c>
      <c r="F1075" s="24" t="s">
        <v>5443</v>
      </c>
      <c r="H1075" s="201" t="s">
        <v>6018</v>
      </c>
      <c r="J1075" s="214" t="s">
        <v>5796</v>
      </c>
      <c r="O1075" s="37" t="s">
        <v>5821</v>
      </c>
      <c r="P1075" s="37" t="s">
        <v>1603</v>
      </c>
      <c r="S1075" s="10" t="s">
        <v>2983</v>
      </c>
      <c r="U1075" s="21">
        <v>1</v>
      </c>
      <c r="V1075" s="21">
        <v>1</v>
      </c>
      <c r="W1075" s="73">
        <f t="shared" si="43"/>
        <v>614</v>
      </c>
      <c r="X1075" s="80">
        <f t="shared" si="42"/>
        <v>1823</v>
      </c>
      <c r="Y1075" s="82" t="s">
        <v>3591</v>
      </c>
      <c r="Z1075" s="24" t="s">
        <v>2885</v>
      </c>
      <c r="AB1075" s="177">
        <v>44383</v>
      </c>
      <c r="AC1075" s="84" t="s">
        <v>5308</v>
      </c>
    </row>
    <row r="1076" spans="1:29" ht="15.45" customHeight="1" x14ac:dyDescent="0.25">
      <c r="A1076" s="29" t="s">
        <v>1281</v>
      </c>
      <c r="C1076" s="37" t="s">
        <v>1188</v>
      </c>
      <c r="E1076" s="37" t="s">
        <v>2832</v>
      </c>
      <c r="F1076" s="24" t="s">
        <v>5443</v>
      </c>
      <c r="J1076" s="214" t="s">
        <v>3690</v>
      </c>
      <c r="K1076" s="10" t="s">
        <v>3685</v>
      </c>
      <c r="P1076" s="37" t="s">
        <v>1792</v>
      </c>
      <c r="S1076" s="10" t="s">
        <v>3412</v>
      </c>
      <c r="U1076" s="21">
        <v>1</v>
      </c>
      <c r="V1076" s="21">
        <v>12</v>
      </c>
      <c r="W1076" s="73">
        <f t="shared" si="43"/>
        <v>626</v>
      </c>
      <c r="X1076" s="80">
        <f t="shared" si="42"/>
        <v>1835</v>
      </c>
      <c r="Y1076" s="82" t="s">
        <v>3584</v>
      </c>
    </row>
    <row r="1077" spans="1:29" ht="15.45" customHeight="1" x14ac:dyDescent="0.25">
      <c r="A1077" s="29" t="s">
        <v>1294</v>
      </c>
      <c r="C1077" s="37" t="s">
        <v>1188</v>
      </c>
      <c r="E1077" s="37" t="s">
        <v>2832</v>
      </c>
      <c r="F1077" s="24" t="s">
        <v>5443</v>
      </c>
      <c r="J1077" s="214" t="s">
        <v>3690</v>
      </c>
      <c r="K1077" s="10" t="s">
        <v>3685</v>
      </c>
      <c r="P1077" s="37" t="s">
        <v>2074</v>
      </c>
      <c r="S1077" s="10" t="s">
        <v>3412</v>
      </c>
      <c r="U1077" s="21">
        <v>1</v>
      </c>
      <c r="V1077" s="21">
        <v>1</v>
      </c>
      <c r="W1077" s="73">
        <f t="shared" si="43"/>
        <v>627</v>
      </c>
      <c r="X1077" s="80">
        <f t="shared" si="42"/>
        <v>1836</v>
      </c>
      <c r="Y1077" s="82" t="s">
        <v>3584</v>
      </c>
    </row>
    <row r="1078" spans="1:29" ht="15.45" customHeight="1" x14ac:dyDescent="0.25">
      <c r="A1078" s="29" t="s">
        <v>1420</v>
      </c>
      <c r="C1078" s="37" t="s">
        <v>1188</v>
      </c>
      <c r="E1078" s="37" t="s">
        <v>2832</v>
      </c>
      <c r="F1078" s="24" t="s">
        <v>5443</v>
      </c>
      <c r="J1078" s="214" t="s">
        <v>3690</v>
      </c>
      <c r="K1078" s="10" t="s">
        <v>3685</v>
      </c>
      <c r="P1078" s="37" t="s">
        <v>1836</v>
      </c>
      <c r="S1078" s="10" t="s">
        <v>3412</v>
      </c>
      <c r="U1078" s="21">
        <v>1</v>
      </c>
      <c r="V1078" s="21">
        <v>1</v>
      </c>
      <c r="W1078" s="73">
        <f t="shared" si="43"/>
        <v>628</v>
      </c>
      <c r="X1078" s="80">
        <f t="shared" si="42"/>
        <v>1837</v>
      </c>
      <c r="Y1078" s="82" t="s">
        <v>3584</v>
      </c>
    </row>
    <row r="1079" spans="1:29" ht="15.45" customHeight="1" x14ac:dyDescent="0.25">
      <c r="A1079" s="29" t="s">
        <v>1502</v>
      </c>
      <c r="C1079" s="37" t="s">
        <v>1188</v>
      </c>
      <c r="E1079" s="37" t="s">
        <v>2832</v>
      </c>
      <c r="F1079" s="24" t="s">
        <v>5443</v>
      </c>
      <c r="J1079" s="214" t="s">
        <v>3690</v>
      </c>
      <c r="K1079" s="10" t="s">
        <v>3685</v>
      </c>
      <c r="P1079" s="37" t="s">
        <v>1748</v>
      </c>
      <c r="S1079" s="10" t="s">
        <v>3412</v>
      </c>
      <c r="U1079" s="21">
        <v>1</v>
      </c>
      <c r="V1079" s="21">
        <v>1</v>
      </c>
      <c r="W1079" s="73">
        <f t="shared" si="43"/>
        <v>629</v>
      </c>
      <c r="X1079" s="80">
        <f t="shared" si="42"/>
        <v>1838</v>
      </c>
      <c r="Y1079" s="82" t="s">
        <v>3584</v>
      </c>
    </row>
    <row r="1080" spans="1:29" ht="15.45" customHeight="1" x14ac:dyDescent="0.25">
      <c r="A1080" s="29" t="s">
        <v>3308</v>
      </c>
      <c r="C1080" s="37" t="s">
        <v>1188</v>
      </c>
      <c r="E1080" s="37" t="s">
        <v>2832</v>
      </c>
      <c r="F1080" s="24" t="s">
        <v>5443</v>
      </c>
      <c r="J1080" s="214" t="s">
        <v>3690</v>
      </c>
      <c r="K1080" s="10" t="s">
        <v>3685</v>
      </c>
      <c r="P1080" s="37" t="s">
        <v>1734</v>
      </c>
      <c r="S1080" s="10" t="s">
        <v>3412</v>
      </c>
      <c r="U1080" s="21">
        <v>1</v>
      </c>
      <c r="V1080" s="21">
        <v>1</v>
      </c>
      <c r="W1080" s="73">
        <f t="shared" si="43"/>
        <v>630</v>
      </c>
      <c r="X1080" s="80">
        <f t="shared" si="42"/>
        <v>1839</v>
      </c>
      <c r="Y1080" s="82" t="s">
        <v>3584</v>
      </c>
    </row>
    <row r="1081" spans="1:29" ht="15.45" customHeight="1" x14ac:dyDescent="0.25">
      <c r="A1081" s="29" t="s">
        <v>634</v>
      </c>
      <c r="C1081" s="37" t="s">
        <v>1188</v>
      </c>
      <c r="E1081" s="37" t="s">
        <v>2832</v>
      </c>
      <c r="F1081" s="24" t="s">
        <v>5443</v>
      </c>
      <c r="J1081" s="214" t="s">
        <v>3690</v>
      </c>
      <c r="K1081" s="10" t="s">
        <v>3685</v>
      </c>
      <c r="P1081" s="37" t="s">
        <v>1642</v>
      </c>
      <c r="S1081" s="10" t="s">
        <v>3412</v>
      </c>
      <c r="U1081" s="21">
        <v>1</v>
      </c>
      <c r="V1081" s="21">
        <v>1</v>
      </c>
      <c r="W1081" s="73">
        <f t="shared" si="43"/>
        <v>631</v>
      </c>
      <c r="X1081" s="80">
        <f t="shared" si="42"/>
        <v>1840</v>
      </c>
      <c r="Y1081" s="82" t="s">
        <v>3584</v>
      </c>
    </row>
    <row r="1082" spans="1:29" ht="15.45" customHeight="1" x14ac:dyDescent="0.25">
      <c r="A1082" s="29" t="s">
        <v>1046</v>
      </c>
      <c r="C1082" s="37" t="s">
        <v>1188</v>
      </c>
      <c r="E1082" s="37" t="s">
        <v>2832</v>
      </c>
      <c r="F1082" s="24" t="s">
        <v>5443</v>
      </c>
      <c r="J1082" s="214" t="s">
        <v>3690</v>
      </c>
      <c r="K1082" s="10" t="s">
        <v>3685</v>
      </c>
      <c r="P1082" s="37" t="s">
        <v>1867</v>
      </c>
      <c r="S1082" s="10" t="s">
        <v>3412</v>
      </c>
      <c r="U1082" s="21">
        <v>1</v>
      </c>
      <c r="V1082" s="21">
        <v>1</v>
      </c>
      <c r="W1082" s="73">
        <f t="shared" si="43"/>
        <v>632</v>
      </c>
      <c r="X1082" s="80">
        <f t="shared" si="42"/>
        <v>1841</v>
      </c>
      <c r="Y1082" s="82" t="s">
        <v>3584</v>
      </c>
    </row>
    <row r="1083" spans="1:29" ht="15.45" customHeight="1" x14ac:dyDescent="0.25">
      <c r="A1083" s="29" t="s">
        <v>935</v>
      </c>
      <c r="C1083" s="37" t="s">
        <v>1188</v>
      </c>
      <c r="E1083" s="37" t="s">
        <v>2832</v>
      </c>
      <c r="F1083" s="24" t="s">
        <v>5443</v>
      </c>
      <c r="J1083" s="214" t="s">
        <v>3690</v>
      </c>
      <c r="K1083" s="10" t="s">
        <v>3685</v>
      </c>
      <c r="P1083" s="37" t="s">
        <v>1642</v>
      </c>
      <c r="S1083" s="10" t="s">
        <v>3412</v>
      </c>
      <c r="U1083" s="21">
        <v>1</v>
      </c>
      <c r="V1083" s="21">
        <v>1</v>
      </c>
      <c r="W1083" s="73">
        <f t="shared" si="43"/>
        <v>633</v>
      </c>
      <c r="X1083" s="80">
        <f t="shared" si="42"/>
        <v>1842</v>
      </c>
      <c r="Y1083" s="82" t="s">
        <v>3584</v>
      </c>
    </row>
    <row r="1084" spans="1:29" ht="15.45" customHeight="1" x14ac:dyDescent="0.25">
      <c r="A1084" s="29" t="s">
        <v>1722</v>
      </c>
      <c r="C1084" s="37" t="s">
        <v>1188</v>
      </c>
      <c r="E1084" s="37" t="s">
        <v>2832</v>
      </c>
      <c r="F1084" s="24" t="s">
        <v>5443</v>
      </c>
      <c r="J1084" s="214" t="s">
        <v>3690</v>
      </c>
      <c r="K1084" s="10" t="s">
        <v>3685</v>
      </c>
      <c r="P1084" s="37" t="s">
        <v>1982</v>
      </c>
      <c r="S1084" s="10" t="s">
        <v>3412</v>
      </c>
      <c r="U1084" s="21">
        <v>1</v>
      </c>
      <c r="V1084" s="21">
        <v>1</v>
      </c>
      <c r="W1084" s="73">
        <f t="shared" si="43"/>
        <v>634</v>
      </c>
      <c r="X1084" s="80">
        <f t="shared" si="42"/>
        <v>1843</v>
      </c>
      <c r="Y1084" s="82" t="s">
        <v>3584</v>
      </c>
    </row>
    <row r="1085" spans="1:29" ht="15.45" customHeight="1" x14ac:dyDescent="0.25">
      <c r="A1085" s="29" t="s">
        <v>3309</v>
      </c>
      <c r="C1085" s="37" t="s">
        <v>1188</v>
      </c>
      <c r="E1085" s="37" t="s">
        <v>2832</v>
      </c>
      <c r="F1085" s="24" t="s">
        <v>5443</v>
      </c>
      <c r="J1085" s="214" t="s">
        <v>3690</v>
      </c>
      <c r="K1085" s="10" t="s">
        <v>3685</v>
      </c>
      <c r="P1085" s="37" t="s">
        <v>1736</v>
      </c>
      <c r="S1085" s="10" t="s">
        <v>3412</v>
      </c>
      <c r="U1085" s="21">
        <v>1</v>
      </c>
      <c r="V1085" s="21">
        <v>1</v>
      </c>
      <c r="W1085" s="73">
        <f t="shared" si="43"/>
        <v>635</v>
      </c>
      <c r="X1085" s="80">
        <f t="shared" si="42"/>
        <v>1844</v>
      </c>
      <c r="Y1085" s="82" t="s">
        <v>3584</v>
      </c>
    </row>
    <row r="1086" spans="1:29" ht="15.45" customHeight="1" x14ac:dyDescent="0.25">
      <c r="A1086" s="29" t="s">
        <v>3310</v>
      </c>
      <c r="C1086" s="37" t="s">
        <v>1188</v>
      </c>
      <c r="E1086" s="37" t="s">
        <v>2832</v>
      </c>
      <c r="F1086" s="24" t="s">
        <v>5443</v>
      </c>
      <c r="J1086" s="214" t="s">
        <v>3690</v>
      </c>
      <c r="K1086" s="10" t="s">
        <v>3685</v>
      </c>
      <c r="P1086" s="37" t="s">
        <v>1642</v>
      </c>
      <c r="S1086" s="10" t="s">
        <v>3412</v>
      </c>
      <c r="U1086" s="21">
        <v>1</v>
      </c>
      <c r="V1086" s="21">
        <v>1</v>
      </c>
      <c r="W1086" s="73">
        <f t="shared" si="43"/>
        <v>636</v>
      </c>
      <c r="X1086" s="80">
        <f t="shared" si="42"/>
        <v>1845</v>
      </c>
      <c r="Y1086" s="82" t="s">
        <v>3584</v>
      </c>
    </row>
    <row r="1087" spans="1:29" ht="15.45" customHeight="1" x14ac:dyDescent="0.25">
      <c r="A1087" s="29" t="s">
        <v>1264</v>
      </c>
      <c r="C1087" s="37" t="s">
        <v>1188</v>
      </c>
      <c r="E1087" s="37" t="s">
        <v>2832</v>
      </c>
      <c r="F1087" s="24" t="s">
        <v>5443</v>
      </c>
      <c r="J1087" s="214" t="s">
        <v>3690</v>
      </c>
      <c r="K1087" s="10" t="s">
        <v>3685</v>
      </c>
      <c r="P1087" s="37" t="s">
        <v>1991</v>
      </c>
      <c r="S1087" s="10" t="s">
        <v>3412</v>
      </c>
      <c r="U1087" s="21">
        <v>1</v>
      </c>
      <c r="V1087" s="21">
        <v>1</v>
      </c>
      <c r="W1087" s="73">
        <f t="shared" si="43"/>
        <v>637</v>
      </c>
      <c r="X1087" s="80">
        <f t="shared" si="42"/>
        <v>1846</v>
      </c>
      <c r="Y1087" s="82" t="s">
        <v>3584</v>
      </c>
    </row>
    <row r="1088" spans="1:29" ht="15.45" customHeight="1" x14ac:dyDescent="0.25">
      <c r="A1088" s="29" t="s">
        <v>1284</v>
      </c>
      <c r="C1088" s="37" t="s">
        <v>1188</v>
      </c>
      <c r="E1088" s="37" t="s">
        <v>2832</v>
      </c>
      <c r="F1088" s="24" t="s">
        <v>5443</v>
      </c>
      <c r="J1088" s="214" t="s">
        <v>3690</v>
      </c>
      <c r="K1088" s="10" t="s">
        <v>3685</v>
      </c>
      <c r="P1088" s="37" t="s">
        <v>1642</v>
      </c>
      <c r="S1088" s="10" t="s">
        <v>3412</v>
      </c>
      <c r="U1088" s="21">
        <v>1</v>
      </c>
      <c r="V1088" s="21">
        <v>1</v>
      </c>
      <c r="W1088" s="73">
        <f t="shared" si="43"/>
        <v>638</v>
      </c>
      <c r="X1088" s="80">
        <f t="shared" si="42"/>
        <v>1847</v>
      </c>
      <c r="Y1088" s="82" t="s">
        <v>3584</v>
      </c>
    </row>
    <row r="1089" spans="1:29" ht="15.45" customHeight="1" x14ac:dyDescent="0.25">
      <c r="A1089" s="29" t="s">
        <v>1529</v>
      </c>
      <c r="C1089" s="37" t="s">
        <v>1188</v>
      </c>
      <c r="E1089" s="37" t="s">
        <v>2832</v>
      </c>
      <c r="F1089" s="24" t="s">
        <v>5443</v>
      </c>
      <c r="J1089" s="214" t="s">
        <v>3690</v>
      </c>
      <c r="K1089" s="10" t="s">
        <v>3685</v>
      </c>
      <c r="P1089" s="37" t="s">
        <v>1991</v>
      </c>
      <c r="S1089" s="10" t="s">
        <v>3412</v>
      </c>
      <c r="U1089" s="21">
        <v>1</v>
      </c>
      <c r="V1089" s="21">
        <v>1</v>
      </c>
      <c r="W1089" s="73">
        <f t="shared" si="43"/>
        <v>639</v>
      </c>
      <c r="X1089" s="80">
        <f t="shared" si="42"/>
        <v>1848</v>
      </c>
      <c r="Y1089" s="82" t="s">
        <v>3584</v>
      </c>
    </row>
    <row r="1090" spans="1:29" ht="15.45" customHeight="1" x14ac:dyDescent="0.25">
      <c r="A1090" s="29" t="s">
        <v>1742</v>
      </c>
      <c r="C1090" s="37" t="s">
        <v>1188</v>
      </c>
      <c r="E1090" s="37" t="s">
        <v>2832</v>
      </c>
      <c r="F1090" s="24" t="s">
        <v>5443</v>
      </c>
      <c r="J1090" s="214" t="s">
        <v>3690</v>
      </c>
      <c r="K1090" s="10" t="s">
        <v>3685</v>
      </c>
      <c r="P1090" s="37" t="s">
        <v>1734</v>
      </c>
      <c r="S1090" s="10" t="s">
        <v>3412</v>
      </c>
      <c r="U1090" s="21">
        <v>1</v>
      </c>
      <c r="V1090" s="21">
        <v>1</v>
      </c>
      <c r="W1090" s="73">
        <f t="shared" si="43"/>
        <v>640</v>
      </c>
      <c r="X1090" s="80">
        <f t="shared" si="42"/>
        <v>1849</v>
      </c>
      <c r="Y1090" s="82" t="s">
        <v>3584</v>
      </c>
    </row>
    <row r="1091" spans="1:29" ht="15.45" customHeight="1" x14ac:dyDescent="0.25">
      <c r="A1091" s="29" t="s">
        <v>3311</v>
      </c>
      <c r="C1091" s="37" t="s">
        <v>1188</v>
      </c>
      <c r="E1091" s="37" t="s">
        <v>2832</v>
      </c>
      <c r="F1091" s="24" t="s">
        <v>5443</v>
      </c>
      <c r="J1091" s="214" t="s">
        <v>3690</v>
      </c>
      <c r="K1091" s="10" t="s">
        <v>3685</v>
      </c>
      <c r="P1091" s="37" t="s">
        <v>1792</v>
      </c>
      <c r="S1091" s="10" t="s">
        <v>3412</v>
      </c>
      <c r="U1091" s="21">
        <v>1</v>
      </c>
      <c r="V1091" s="21">
        <v>2</v>
      </c>
      <c r="W1091" s="73">
        <f t="shared" si="43"/>
        <v>642</v>
      </c>
      <c r="X1091" s="80">
        <f t="shared" si="42"/>
        <v>1851</v>
      </c>
      <c r="Y1091" s="82" t="s">
        <v>3584</v>
      </c>
    </row>
    <row r="1092" spans="1:29" ht="15.45" customHeight="1" x14ac:dyDescent="0.25">
      <c r="A1092" s="29" t="s">
        <v>2029</v>
      </c>
      <c r="C1092" s="37" t="s">
        <v>1188</v>
      </c>
      <c r="E1092" s="37" t="s">
        <v>2832</v>
      </c>
      <c r="F1092" s="24" t="s">
        <v>5443</v>
      </c>
      <c r="J1092" s="214" t="s">
        <v>3690</v>
      </c>
      <c r="K1092" s="10" t="s">
        <v>3685</v>
      </c>
      <c r="P1092" s="37" t="s">
        <v>1603</v>
      </c>
      <c r="S1092" s="10" t="s">
        <v>3412</v>
      </c>
      <c r="U1092" s="21">
        <v>1</v>
      </c>
      <c r="V1092" s="21">
        <v>1</v>
      </c>
      <c r="W1092" s="73">
        <f t="shared" si="43"/>
        <v>643</v>
      </c>
      <c r="X1092" s="80">
        <f t="shared" si="42"/>
        <v>1852</v>
      </c>
      <c r="Y1092" s="82" t="s">
        <v>3584</v>
      </c>
    </row>
    <row r="1093" spans="1:29" ht="15.45" customHeight="1" x14ac:dyDescent="0.25">
      <c r="A1093" s="29" t="s">
        <v>1899</v>
      </c>
      <c r="C1093" s="37" t="s">
        <v>1188</v>
      </c>
      <c r="E1093" s="37" t="s">
        <v>2832</v>
      </c>
      <c r="F1093" s="24" t="s">
        <v>5443</v>
      </c>
      <c r="J1093" s="214" t="s">
        <v>3690</v>
      </c>
      <c r="K1093" s="10" t="s">
        <v>3685</v>
      </c>
      <c r="P1093" s="37" t="s">
        <v>1642</v>
      </c>
      <c r="S1093" s="10" t="s">
        <v>3412</v>
      </c>
      <c r="U1093" s="21">
        <v>1</v>
      </c>
      <c r="V1093" s="21">
        <v>1</v>
      </c>
      <c r="W1093" s="73">
        <f t="shared" si="43"/>
        <v>644</v>
      </c>
      <c r="X1093" s="80">
        <f t="shared" si="42"/>
        <v>1853</v>
      </c>
      <c r="Y1093" s="82" t="s">
        <v>3584</v>
      </c>
    </row>
    <row r="1094" spans="1:29" ht="15.45" customHeight="1" x14ac:dyDescent="0.25">
      <c r="A1094" s="29" t="s">
        <v>4314</v>
      </c>
      <c r="C1094" s="37" t="s">
        <v>1188</v>
      </c>
      <c r="E1094" s="37" t="s">
        <v>2832</v>
      </c>
      <c r="F1094" s="24" t="s">
        <v>5443</v>
      </c>
      <c r="J1094" s="214" t="s">
        <v>3690</v>
      </c>
      <c r="K1094" s="10" t="s">
        <v>3685</v>
      </c>
      <c r="P1094" s="37" t="s">
        <v>1603</v>
      </c>
      <c r="S1094" s="10" t="s">
        <v>3412</v>
      </c>
      <c r="U1094" s="21">
        <v>3</v>
      </c>
      <c r="V1094" s="21">
        <v>3</v>
      </c>
      <c r="W1094" s="73">
        <f t="shared" si="43"/>
        <v>647</v>
      </c>
      <c r="X1094" s="80">
        <f t="shared" si="42"/>
        <v>1856</v>
      </c>
      <c r="Y1094" s="82" t="s">
        <v>3584</v>
      </c>
    </row>
    <row r="1095" spans="1:29" ht="15.45" customHeight="1" x14ac:dyDescent="0.25">
      <c r="A1095" s="29" t="s">
        <v>4314</v>
      </c>
      <c r="C1095" s="37" t="s">
        <v>1188</v>
      </c>
      <c r="E1095" s="37" t="s">
        <v>2832</v>
      </c>
      <c r="F1095" s="24" t="s">
        <v>5443</v>
      </c>
      <c r="J1095" s="214" t="s">
        <v>3690</v>
      </c>
      <c r="K1095" s="10" t="s">
        <v>3685</v>
      </c>
      <c r="P1095" s="37" t="s">
        <v>1603</v>
      </c>
      <c r="S1095" s="10" t="s">
        <v>3412</v>
      </c>
      <c r="U1095" s="21">
        <v>1</v>
      </c>
      <c r="V1095" s="21">
        <v>1</v>
      </c>
      <c r="W1095" s="73">
        <f t="shared" si="43"/>
        <v>648</v>
      </c>
      <c r="X1095" s="80">
        <f t="shared" si="42"/>
        <v>1857</v>
      </c>
      <c r="Y1095" s="82" t="s">
        <v>3584</v>
      </c>
    </row>
    <row r="1096" spans="1:29" ht="15.45" customHeight="1" x14ac:dyDescent="0.25">
      <c r="A1096" s="29" t="s">
        <v>1898</v>
      </c>
      <c r="C1096" s="37" t="s">
        <v>1188</v>
      </c>
      <c r="E1096" s="37" t="s">
        <v>2832</v>
      </c>
      <c r="F1096" s="24" t="s">
        <v>5443</v>
      </c>
      <c r="J1096" s="214" t="s">
        <v>3690</v>
      </c>
      <c r="K1096" s="10" t="s">
        <v>3685</v>
      </c>
      <c r="P1096" s="37" t="s">
        <v>1642</v>
      </c>
      <c r="S1096" s="10" t="s">
        <v>3412</v>
      </c>
      <c r="U1096" s="21">
        <v>1</v>
      </c>
      <c r="V1096" s="21">
        <v>2</v>
      </c>
      <c r="W1096" s="73">
        <f t="shared" si="43"/>
        <v>650</v>
      </c>
      <c r="X1096" s="80">
        <f t="shared" ref="X1096:X1119" si="44">V1096+X1095</f>
        <v>1859</v>
      </c>
      <c r="Y1096" s="82" t="s">
        <v>3584</v>
      </c>
      <c r="AB1096" s="177">
        <v>43727</v>
      </c>
      <c r="AC1096" s="84" t="s">
        <v>2885</v>
      </c>
    </row>
    <row r="1097" spans="1:29" ht="15.45" customHeight="1" x14ac:dyDescent="0.25">
      <c r="A1097" s="29" t="s">
        <v>1000</v>
      </c>
      <c r="C1097" s="37" t="s">
        <v>1188</v>
      </c>
      <c r="E1097" s="37" t="s">
        <v>2832</v>
      </c>
      <c r="F1097" s="24" t="s">
        <v>5443</v>
      </c>
      <c r="J1097" s="214" t="s">
        <v>3690</v>
      </c>
      <c r="K1097" s="10" t="s">
        <v>3685</v>
      </c>
      <c r="P1097" s="37" t="s">
        <v>2044</v>
      </c>
      <c r="S1097" s="10" t="s">
        <v>3412</v>
      </c>
      <c r="U1097" s="21">
        <v>1</v>
      </c>
      <c r="V1097" s="21">
        <v>2</v>
      </c>
      <c r="W1097" s="73">
        <f t="shared" si="43"/>
        <v>652</v>
      </c>
      <c r="X1097" s="80">
        <f t="shared" si="44"/>
        <v>1861</v>
      </c>
      <c r="Y1097" s="82" t="s">
        <v>3584</v>
      </c>
    </row>
    <row r="1098" spans="1:29" ht="15.45" customHeight="1" x14ac:dyDescent="0.25">
      <c r="A1098" s="29" t="s">
        <v>809</v>
      </c>
      <c r="C1098" s="37" t="s">
        <v>1188</v>
      </c>
      <c r="E1098" s="37" t="s">
        <v>2832</v>
      </c>
      <c r="F1098" s="24" t="s">
        <v>5443</v>
      </c>
      <c r="J1098" s="214" t="s">
        <v>3690</v>
      </c>
      <c r="K1098" s="10" t="s">
        <v>3685</v>
      </c>
      <c r="P1098" s="37" t="s">
        <v>363</v>
      </c>
      <c r="S1098" s="10" t="s">
        <v>3412</v>
      </c>
      <c r="U1098" s="21">
        <v>1</v>
      </c>
      <c r="V1098" s="21">
        <v>1</v>
      </c>
      <c r="W1098" s="73">
        <f t="shared" si="43"/>
        <v>653</v>
      </c>
      <c r="X1098" s="80">
        <f t="shared" si="44"/>
        <v>1862</v>
      </c>
      <c r="Y1098" s="82" t="s">
        <v>3584</v>
      </c>
    </row>
    <row r="1099" spans="1:29" ht="15.45" customHeight="1" x14ac:dyDescent="0.25">
      <c r="A1099" s="29" t="s">
        <v>2305</v>
      </c>
      <c r="C1099" s="37" t="s">
        <v>1188</v>
      </c>
      <c r="E1099" s="37" t="s">
        <v>2832</v>
      </c>
      <c r="F1099" s="24" t="s">
        <v>5443</v>
      </c>
      <c r="J1099" s="214" t="s">
        <v>3690</v>
      </c>
      <c r="K1099" s="10" t="s">
        <v>3685</v>
      </c>
      <c r="P1099" s="37" t="s">
        <v>1642</v>
      </c>
      <c r="S1099" s="10" t="s">
        <v>3412</v>
      </c>
      <c r="U1099" s="21">
        <v>1</v>
      </c>
      <c r="V1099" s="21">
        <v>2</v>
      </c>
      <c r="W1099" s="73">
        <f t="shared" si="43"/>
        <v>655</v>
      </c>
      <c r="X1099" s="80">
        <f t="shared" si="44"/>
        <v>1864</v>
      </c>
      <c r="Y1099" s="82" t="s">
        <v>3584</v>
      </c>
    </row>
    <row r="1100" spans="1:29" ht="15.45" customHeight="1" x14ac:dyDescent="0.25">
      <c r="A1100" s="29" t="s">
        <v>903</v>
      </c>
      <c r="C1100" s="37" t="s">
        <v>1188</v>
      </c>
      <c r="E1100" s="37" t="s">
        <v>2832</v>
      </c>
      <c r="F1100" s="24" t="s">
        <v>5443</v>
      </c>
      <c r="J1100" s="214" t="s">
        <v>3690</v>
      </c>
      <c r="K1100" s="10" t="s">
        <v>3685</v>
      </c>
      <c r="P1100" s="37" t="s">
        <v>1603</v>
      </c>
      <c r="S1100" s="10" t="s">
        <v>3412</v>
      </c>
      <c r="U1100" s="21">
        <v>1</v>
      </c>
      <c r="V1100" s="21">
        <v>1</v>
      </c>
      <c r="W1100" s="73">
        <f t="shared" si="43"/>
        <v>656</v>
      </c>
      <c r="X1100" s="80">
        <f t="shared" si="44"/>
        <v>1865</v>
      </c>
      <c r="Y1100" s="82" t="s">
        <v>3584</v>
      </c>
    </row>
    <row r="1101" spans="1:29" ht="15.45" customHeight="1" x14ac:dyDescent="0.25">
      <c r="A1101" s="29" t="s">
        <v>996</v>
      </c>
      <c r="C1101" s="37" t="s">
        <v>1188</v>
      </c>
      <c r="E1101" s="37" t="s">
        <v>2832</v>
      </c>
      <c r="F1101" s="24" t="s">
        <v>5443</v>
      </c>
      <c r="J1101" s="214" t="s">
        <v>3803</v>
      </c>
      <c r="P1101" s="37" t="s">
        <v>1982</v>
      </c>
      <c r="S1101" s="10" t="s">
        <v>3412</v>
      </c>
      <c r="U1101" s="21">
        <v>1</v>
      </c>
      <c r="V1101" s="21">
        <v>1</v>
      </c>
      <c r="W1101" s="73">
        <f t="shared" si="43"/>
        <v>657</v>
      </c>
      <c r="X1101" s="80">
        <f t="shared" si="44"/>
        <v>1866</v>
      </c>
      <c r="Y1101" s="82" t="s">
        <v>3592</v>
      </c>
      <c r="Z1101" s="24" t="s">
        <v>2884</v>
      </c>
    </row>
    <row r="1102" spans="1:29" ht="15.45" customHeight="1" x14ac:dyDescent="0.25">
      <c r="A1102" s="29" t="s">
        <v>5151</v>
      </c>
      <c r="B1102" s="24" t="s">
        <v>6147</v>
      </c>
      <c r="C1102" s="37" t="s">
        <v>1188</v>
      </c>
      <c r="E1102" s="37" t="s">
        <v>2832</v>
      </c>
      <c r="F1102" s="24" t="s">
        <v>5443</v>
      </c>
      <c r="H1102" s="38" t="s">
        <v>5198</v>
      </c>
      <c r="J1102" s="214" t="s">
        <v>3690</v>
      </c>
      <c r="K1102" s="10" t="s">
        <v>3685</v>
      </c>
      <c r="O1102" s="37" t="s">
        <v>1642</v>
      </c>
      <c r="S1102" s="10" t="s">
        <v>2980</v>
      </c>
      <c r="T1102" s="10" t="s">
        <v>6146</v>
      </c>
      <c r="U1102" s="21">
        <v>1</v>
      </c>
      <c r="V1102" s="21">
        <v>1</v>
      </c>
      <c r="W1102" s="73">
        <f t="shared" si="43"/>
        <v>658</v>
      </c>
      <c r="X1102" s="80">
        <f t="shared" si="44"/>
        <v>1867</v>
      </c>
      <c r="Y1102" s="82" t="s">
        <v>3584</v>
      </c>
    </row>
    <row r="1103" spans="1:29" ht="15.45" customHeight="1" x14ac:dyDescent="0.25">
      <c r="A1103" s="29" t="s">
        <v>5151</v>
      </c>
      <c r="B1103" s="24" t="s">
        <v>6147</v>
      </c>
      <c r="C1103" s="37" t="s">
        <v>1188</v>
      </c>
      <c r="E1103" s="37" t="s">
        <v>2832</v>
      </c>
      <c r="F1103" s="24" t="s">
        <v>5443</v>
      </c>
      <c r="H1103" s="201" t="s">
        <v>6148</v>
      </c>
      <c r="J1103" s="214" t="s">
        <v>5334</v>
      </c>
      <c r="O1103" s="37" t="s">
        <v>1642</v>
      </c>
      <c r="S1103" s="10" t="s">
        <v>2983</v>
      </c>
      <c r="U1103" s="21">
        <v>1</v>
      </c>
      <c r="V1103" s="21">
        <v>1</v>
      </c>
      <c r="W1103" s="73">
        <f t="shared" si="43"/>
        <v>659</v>
      </c>
      <c r="X1103" s="80">
        <f t="shared" si="44"/>
        <v>1868</v>
      </c>
      <c r="Y1103" s="82" t="s">
        <v>3591</v>
      </c>
      <c r="Z1103" s="24" t="s">
        <v>2885</v>
      </c>
      <c r="AB1103" s="177">
        <v>44481</v>
      </c>
      <c r="AC1103" s="84" t="s">
        <v>5308</v>
      </c>
    </row>
    <row r="1104" spans="1:29" ht="15.45" customHeight="1" x14ac:dyDescent="0.25">
      <c r="A1104" s="29" t="s">
        <v>997</v>
      </c>
      <c r="C1104" s="37" t="s">
        <v>1188</v>
      </c>
      <c r="E1104" s="37" t="s">
        <v>2832</v>
      </c>
      <c r="F1104" s="24" t="s">
        <v>5443</v>
      </c>
      <c r="J1104" s="214" t="s">
        <v>3690</v>
      </c>
      <c r="K1104" s="10" t="s">
        <v>3685</v>
      </c>
      <c r="P1104" s="37" t="s">
        <v>1603</v>
      </c>
      <c r="S1104" s="10" t="s">
        <v>3412</v>
      </c>
      <c r="U1104" s="21">
        <v>1</v>
      </c>
      <c r="V1104" s="21">
        <v>1</v>
      </c>
      <c r="W1104" s="73">
        <f t="shared" ref="W1104" si="45">W1103+V1104</f>
        <v>660</v>
      </c>
      <c r="X1104" s="80">
        <f t="shared" si="44"/>
        <v>1869</v>
      </c>
      <c r="Y1104" s="82" t="s">
        <v>3584</v>
      </c>
    </row>
    <row r="1105" spans="1:37" ht="15.45" customHeight="1" x14ac:dyDescent="0.25">
      <c r="A1105" s="29" t="s">
        <v>833</v>
      </c>
      <c r="C1105" s="37" t="s">
        <v>1188</v>
      </c>
      <c r="E1105" s="37" t="s">
        <v>2832</v>
      </c>
      <c r="F1105" s="24" t="s">
        <v>5443</v>
      </c>
      <c r="J1105" s="214" t="s">
        <v>3690</v>
      </c>
      <c r="K1105" s="10" t="s">
        <v>3685</v>
      </c>
      <c r="P1105" s="37" t="s">
        <v>2038</v>
      </c>
      <c r="S1105" s="10" t="s">
        <v>3412</v>
      </c>
      <c r="U1105" s="21">
        <v>1</v>
      </c>
      <c r="V1105" s="21">
        <v>2</v>
      </c>
      <c r="W1105" s="73">
        <f t="shared" ref="W1105:W1119" si="46">W1104+V1105</f>
        <v>662</v>
      </c>
      <c r="X1105" s="80">
        <f t="shared" si="44"/>
        <v>1871</v>
      </c>
      <c r="Y1105" s="82" t="s">
        <v>3584</v>
      </c>
    </row>
    <row r="1106" spans="1:37" ht="15.45" customHeight="1" x14ac:dyDescent="0.25">
      <c r="A1106" s="29" t="s">
        <v>1684</v>
      </c>
      <c r="C1106" s="37" t="s">
        <v>1188</v>
      </c>
      <c r="E1106" s="37" t="s">
        <v>2832</v>
      </c>
      <c r="F1106" s="24" t="s">
        <v>5443</v>
      </c>
      <c r="J1106" s="214" t="s">
        <v>3803</v>
      </c>
      <c r="P1106" s="37" t="s">
        <v>1603</v>
      </c>
      <c r="S1106" s="10" t="s">
        <v>3412</v>
      </c>
      <c r="U1106" s="21">
        <v>1</v>
      </c>
      <c r="V1106" s="21">
        <v>1</v>
      </c>
      <c r="W1106" s="73">
        <f t="shared" si="46"/>
        <v>663</v>
      </c>
      <c r="X1106" s="80">
        <f t="shared" si="44"/>
        <v>1872</v>
      </c>
      <c r="Y1106" s="82" t="s">
        <v>3592</v>
      </c>
      <c r="Z1106" s="24" t="s">
        <v>2884</v>
      </c>
    </row>
    <row r="1107" spans="1:37" ht="15.45" customHeight="1" x14ac:dyDescent="0.25">
      <c r="A1107" s="29" t="s">
        <v>1915</v>
      </c>
      <c r="C1107" s="37" t="s">
        <v>1188</v>
      </c>
      <c r="E1107" s="37" t="s">
        <v>2832</v>
      </c>
      <c r="F1107" s="24" t="s">
        <v>2120</v>
      </c>
      <c r="J1107" s="214" t="s">
        <v>3690</v>
      </c>
      <c r="K1107" s="10" t="s">
        <v>3685</v>
      </c>
      <c r="P1107" s="37" t="s">
        <v>1603</v>
      </c>
      <c r="S1107" s="10" t="s">
        <v>3412</v>
      </c>
      <c r="U1107" s="21">
        <v>1</v>
      </c>
      <c r="V1107" s="21">
        <v>1</v>
      </c>
      <c r="W1107" s="73">
        <f t="shared" si="46"/>
        <v>664</v>
      </c>
      <c r="X1107" s="80">
        <f t="shared" si="44"/>
        <v>1873</v>
      </c>
      <c r="Y1107" s="82" t="s">
        <v>3584</v>
      </c>
    </row>
    <row r="1108" spans="1:37" ht="15.45" customHeight="1" x14ac:dyDescent="0.25">
      <c r="A1108" s="29" t="s">
        <v>3312</v>
      </c>
      <c r="C1108" s="37" t="s">
        <v>1188</v>
      </c>
      <c r="E1108" s="37" t="s">
        <v>2832</v>
      </c>
      <c r="F1108" s="24" t="s">
        <v>2120</v>
      </c>
      <c r="H1108" s="38" t="s">
        <v>4313</v>
      </c>
      <c r="J1108" s="214" t="s">
        <v>3690</v>
      </c>
      <c r="K1108" s="10" t="s">
        <v>3685</v>
      </c>
      <c r="P1108" s="37" t="s">
        <v>2038</v>
      </c>
      <c r="S1108" s="10" t="s">
        <v>3412</v>
      </c>
      <c r="U1108" s="21">
        <v>1</v>
      </c>
      <c r="V1108" s="21">
        <v>1</v>
      </c>
      <c r="W1108" s="73">
        <f t="shared" si="46"/>
        <v>665</v>
      </c>
      <c r="X1108" s="80">
        <f t="shared" si="44"/>
        <v>1874</v>
      </c>
      <c r="Y1108" s="82" t="s">
        <v>3584</v>
      </c>
    </row>
    <row r="1109" spans="1:37" ht="15.45" customHeight="1" x14ac:dyDescent="0.25">
      <c r="A1109" s="29" t="s">
        <v>5824</v>
      </c>
      <c r="C1109" s="37" t="s">
        <v>1188</v>
      </c>
      <c r="E1109" s="37" t="s">
        <v>2832</v>
      </c>
      <c r="F1109" s="24" t="s">
        <v>5825</v>
      </c>
      <c r="H1109" s="38" t="s">
        <v>5826</v>
      </c>
      <c r="J1109" s="214" t="s">
        <v>5827</v>
      </c>
      <c r="P1109" s="37" t="s">
        <v>5828</v>
      </c>
      <c r="Q1109" s="37" t="s">
        <v>1837</v>
      </c>
      <c r="S1109" s="10" t="s">
        <v>3412</v>
      </c>
      <c r="U1109" s="21">
        <v>2</v>
      </c>
      <c r="V1109" s="21">
        <v>2</v>
      </c>
      <c r="W1109" s="73">
        <f t="shared" si="46"/>
        <v>667</v>
      </c>
      <c r="X1109" s="80">
        <f t="shared" si="44"/>
        <v>1876</v>
      </c>
      <c r="Y1109" s="82" t="s">
        <v>3591</v>
      </c>
      <c r="Z1109" s="24" t="s">
        <v>2885</v>
      </c>
      <c r="AB1109" s="177">
        <v>44383</v>
      </c>
      <c r="AC1109" s="84" t="s">
        <v>5308</v>
      </c>
    </row>
    <row r="1110" spans="1:37" ht="15.45" customHeight="1" x14ac:dyDescent="0.25">
      <c r="A1110" s="29" t="s">
        <v>2047</v>
      </c>
      <c r="B1110" s="24" t="s">
        <v>5792</v>
      </c>
      <c r="C1110" s="37" t="s">
        <v>1188</v>
      </c>
      <c r="E1110" s="37" t="s">
        <v>2827</v>
      </c>
      <c r="F1110" s="24" t="s">
        <v>2120</v>
      </c>
      <c r="H1110" s="233" t="s">
        <v>6573</v>
      </c>
      <c r="J1110" s="214" t="s">
        <v>3803</v>
      </c>
      <c r="O1110" s="37" t="s">
        <v>5793</v>
      </c>
      <c r="P1110" s="37" t="s">
        <v>1603</v>
      </c>
      <c r="S1110" s="10" t="s">
        <v>3412</v>
      </c>
      <c r="U1110" s="21">
        <v>1</v>
      </c>
      <c r="V1110" s="22">
        <v>1</v>
      </c>
      <c r="W1110" s="73">
        <f t="shared" si="46"/>
        <v>668</v>
      </c>
      <c r="X1110" s="80">
        <f t="shared" si="44"/>
        <v>1877</v>
      </c>
      <c r="Y1110" s="82" t="s">
        <v>3592</v>
      </c>
      <c r="Z1110" s="24" t="s">
        <v>2884</v>
      </c>
    </row>
    <row r="1111" spans="1:37" ht="15.45" customHeight="1" x14ac:dyDescent="0.25">
      <c r="A1111" s="29" t="s">
        <v>1929</v>
      </c>
      <c r="B1111" s="24" t="s">
        <v>5792</v>
      </c>
      <c r="C1111" s="37" t="s">
        <v>1188</v>
      </c>
      <c r="E1111" s="37" t="s">
        <v>2827</v>
      </c>
      <c r="F1111" s="24" t="s">
        <v>2120</v>
      </c>
      <c r="J1111" s="214" t="s">
        <v>3803</v>
      </c>
      <c r="O1111" s="37" t="s">
        <v>5793</v>
      </c>
      <c r="P1111" s="37" t="s">
        <v>1603</v>
      </c>
      <c r="S1111" s="10" t="s">
        <v>3412</v>
      </c>
      <c r="U1111" s="21">
        <v>1</v>
      </c>
      <c r="V1111" s="22">
        <v>1</v>
      </c>
      <c r="W1111" s="73">
        <f t="shared" si="46"/>
        <v>669</v>
      </c>
      <c r="X1111" s="80">
        <f t="shared" si="44"/>
        <v>1878</v>
      </c>
      <c r="Y1111" s="82" t="s">
        <v>3592</v>
      </c>
      <c r="Z1111" s="24" t="s">
        <v>2884</v>
      </c>
    </row>
    <row r="1112" spans="1:37" ht="15.45" customHeight="1" x14ac:dyDescent="0.25">
      <c r="A1112" s="29" t="s">
        <v>2045</v>
      </c>
      <c r="C1112" s="37" t="s">
        <v>1188</v>
      </c>
      <c r="E1112" s="37" t="s">
        <v>2827</v>
      </c>
      <c r="F1112" s="24" t="s">
        <v>2120</v>
      </c>
      <c r="H1112" s="38" t="s">
        <v>4496</v>
      </c>
      <c r="J1112" s="214" t="s">
        <v>3803</v>
      </c>
      <c r="P1112" s="37" t="s">
        <v>1603</v>
      </c>
      <c r="S1112" s="10" t="s">
        <v>3412</v>
      </c>
      <c r="U1112" s="21">
        <v>1</v>
      </c>
      <c r="V1112" s="22">
        <v>2</v>
      </c>
      <c r="W1112" s="73">
        <f t="shared" si="46"/>
        <v>671</v>
      </c>
      <c r="X1112" s="80">
        <f t="shared" si="44"/>
        <v>1880</v>
      </c>
      <c r="Y1112" s="82" t="s">
        <v>3592</v>
      </c>
      <c r="Z1112" s="24" t="s">
        <v>2884</v>
      </c>
    </row>
    <row r="1113" spans="1:37" ht="15.45" customHeight="1" x14ac:dyDescent="0.25">
      <c r="A1113" s="29" t="s">
        <v>2045</v>
      </c>
      <c r="C1113" s="37" t="s">
        <v>1188</v>
      </c>
      <c r="E1113" s="37" t="s">
        <v>2832</v>
      </c>
      <c r="F1113" s="24" t="s">
        <v>5443</v>
      </c>
      <c r="J1113" s="214" t="s">
        <v>3690</v>
      </c>
      <c r="K1113" s="10" t="s">
        <v>3685</v>
      </c>
      <c r="P1113" s="37" t="s">
        <v>1603</v>
      </c>
      <c r="S1113" s="10" t="s">
        <v>3412</v>
      </c>
      <c r="U1113" s="21">
        <v>1</v>
      </c>
      <c r="V1113" s="22">
        <v>2</v>
      </c>
      <c r="W1113" s="73">
        <f t="shared" si="46"/>
        <v>673</v>
      </c>
      <c r="X1113" s="80">
        <f t="shared" si="44"/>
        <v>1882</v>
      </c>
      <c r="Y1113" s="82" t="s">
        <v>3584</v>
      </c>
    </row>
    <row r="1114" spans="1:37" ht="15.45" customHeight="1" x14ac:dyDescent="0.25">
      <c r="A1114" s="29" t="s">
        <v>1402</v>
      </c>
      <c r="C1114" s="37" t="s">
        <v>1188</v>
      </c>
      <c r="E1114" s="37" t="s">
        <v>2926</v>
      </c>
      <c r="F1114" s="24" t="s">
        <v>5442</v>
      </c>
      <c r="J1114" s="214" t="s">
        <v>3690</v>
      </c>
      <c r="K1114" s="10" t="s">
        <v>3685</v>
      </c>
      <c r="P1114" s="37" t="s">
        <v>1603</v>
      </c>
      <c r="S1114" s="10" t="s">
        <v>3412</v>
      </c>
      <c r="U1114" s="21">
        <v>1</v>
      </c>
      <c r="V1114" s="22">
        <v>1</v>
      </c>
      <c r="W1114" s="73">
        <f t="shared" si="46"/>
        <v>674</v>
      </c>
      <c r="X1114" s="80">
        <f t="shared" si="44"/>
        <v>1883</v>
      </c>
      <c r="Y1114" s="82" t="s">
        <v>3584</v>
      </c>
    </row>
    <row r="1115" spans="1:37" ht="15.45" customHeight="1" x14ac:dyDescent="0.25">
      <c r="A1115" s="29" t="s">
        <v>1490</v>
      </c>
      <c r="B1115" s="24" t="s">
        <v>6244</v>
      </c>
      <c r="C1115" s="37" t="s">
        <v>1188</v>
      </c>
      <c r="E1115" s="37" t="s">
        <v>2926</v>
      </c>
      <c r="F1115" s="24" t="s">
        <v>2120</v>
      </c>
      <c r="J1115" s="214" t="s">
        <v>3690</v>
      </c>
      <c r="K1115" s="10" t="s">
        <v>3685</v>
      </c>
      <c r="P1115" s="37" t="s">
        <v>1603</v>
      </c>
      <c r="S1115" s="10" t="s">
        <v>3412</v>
      </c>
      <c r="U1115" s="21">
        <v>1</v>
      </c>
      <c r="V1115" s="22">
        <v>2</v>
      </c>
      <c r="W1115" s="73">
        <f t="shared" si="46"/>
        <v>676</v>
      </c>
      <c r="X1115" s="80">
        <f t="shared" si="44"/>
        <v>1885</v>
      </c>
      <c r="Y1115" s="82" t="s">
        <v>3584</v>
      </c>
    </row>
    <row r="1116" spans="1:37" ht="15.45" customHeight="1" x14ac:dyDescent="0.25">
      <c r="A1116" s="29" t="s">
        <v>1490</v>
      </c>
      <c r="B1116" s="24" t="s">
        <v>6244</v>
      </c>
      <c r="C1116" s="37" t="s">
        <v>1188</v>
      </c>
      <c r="E1116" s="37" t="s">
        <v>2926</v>
      </c>
      <c r="F1116" s="24" t="s">
        <v>2120</v>
      </c>
      <c r="H1116" s="38" t="s">
        <v>6243</v>
      </c>
      <c r="J1116" s="214" t="s">
        <v>6242</v>
      </c>
      <c r="P1116" s="37" t="s">
        <v>1603</v>
      </c>
      <c r="S1116" s="10" t="s">
        <v>3412</v>
      </c>
      <c r="U1116" s="21">
        <v>1</v>
      </c>
      <c r="V1116" s="22">
        <v>1</v>
      </c>
      <c r="W1116" s="73">
        <f t="shared" si="46"/>
        <v>677</v>
      </c>
      <c r="X1116" s="80">
        <f t="shared" si="44"/>
        <v>1886</v>
      </c>
      <c r="Y1116" s="82" t="s">
        <v>3591</v>
      </c>
      <c r="Z1116" s="24" t="s">
        <v>2911</v>
      </c>
      <c r="AB1116" s="177">
        <v>43361</v>
      </c>
      <c r="AC1116" s="84" t="s">
        <v>2885</v>
      </c>
      <c r="AF1116" s="10" t="s">
        <v>2945</v>
      </c>
      <c r="AG1116" s="127">
        <v>43361</v>
      </c>
      <c r="AK1116" s="10" t="s">
        <v>4196</v>
      </c>
    </row>
    <row r="1117" spans="1:37" ht="15.45" customHeight="1" x14ac:dyDescent="0.25">
      <c r="A1117" s="29" t="s">
        <v>1931</v>
      </c>
      <c r="B1117" s="24" t="s">
        <v>6245</v>
      </c>
      <c r="C1117" s="37" t="s">
        <v>1188</v>
      </c>
      <c r="E1117" s="37" t="s">
        <v>2926</v>
      </c>
      <c r="F1117" s="24" t="s">
        <v>2120</v>
      </c>
      <c r="J1117" s="214" t="s">
        <v>3690</v>
      </c>
      <c r="K1117" s="10" t="s">
        <v>3685</v>
      </c>
      <c r="P1117" s="37" t="s">
        <v>1603</v>
      </c>
      <c r="S1117" s="10" t="s">
        <v>3412</v>
      </c>
      <c r="U1117" s="21">
        <v>1</v>
      </c>
      <c r="V1117" s="22">
        <v>1</v>
      </c>
      <c r="W1117" s="73">
        <f t="shared" si="46"/>
        <v>678</v>
      </c>
      <c r="X1117" s="80">
        <f t="shared" si="44"/>
        <v>1887</v>
      </c>
      <c r="Y1117" s="82" t="s">
        <v>3584</v>
      </c>
    </row>
    <row r="1118" spans="1:37" ht="15.45" customHeight="1" x14ac:dyDescent="0.25">
      <c r="A1118" s="29" t="s">
        <v>6248</v>
      </c>
      <c r="B1118" s="24" t="s">
        <v>6246</v>
      </c>
      <c r="C1118" s="37" t="s">
        <v>1188</v>
      </c>
      <c r="E1118" s="37" t="s">
        <v>2926</v>
      </c>
      <c r="F1118" s="24" t="s">
        <v>2120</v>
      </c>
      <c r="H1118" s="233" t="s">
        <v>6249</v>
      </c>
      <c r="J1118" s="214" t="s">
        <v>3690</v>
      </c>
      <c r="K1118" s="10" t="s">
        <v>3685</v>
      </c>
      <c r="P1118" s="37" t="s">
        <v>1603</v>
      </c>
      <c r="S1118" s="10" t="s">
        <v>3412</v>
      </c>
      <c r="U1118" s="21">
        <v>1</v>
      </c>
      <c r="V1118" s="22">
        <v>1</v>
      </c>
      <c r="W1118" s="73">
        <f t="shared" si="46"/>
        <v>679</v>
      </c>
      <c r="X1118" s="80">
        <f t="shared" si="44"/>
        <v>1888</v>
      </c>
      <c r="Y1118" s="82" t="s">
        <v>3584</v>
      </c>
    </row>
    <row r="1119" spans="1:37" ht="15.45" customHeight="1" x14ac:dyDescent="0.25">
      <c r="A1119" s="29" t="s">
        <v>2046</v>
      </c>
      <c r="B1119" s="24" t="s">
        <v>6247</v>
      </c>
      <c r="C1119" s="37" t="s">
        <v>1188</v>
      </c>
      <c r="E1119" s="37" t="s">
        <v>2832</v>
      </c>
      <c r="F1119" s="24" t="s">
        <v>2120</v>
      </c>
      <c r="J1119" s="214" t="s">
        <v>3803</v>
      </c>
      <c r="P1119" s="37" t="s">
        <v>1930</v>
      </c>
      <c r="S1119" s="10" t="s">
        <v>3412</v>
      </c>
      <c r="U1119" s="21">
        <v>1</v>
      </c>
      <c r="V1119" s="22">
        <v>1</v>
      </c>
      <c r="W1119" s="73">
        <f t="shared" si="46"/>
        <v>680</v>
      </c>
      <c r="X1119" s="80">
        <f t="shared" si="44"/>
        <v>1889</v>
      </c>
      <c r="Y1119" s="82" t="s">
        <v>3584</v>
      </c>
    </row>
    <row r="1120" spans="1:37" s="51" customFormat="1" ht="15.45" customHeight="1" x14ac:dyDescent="0.25">
      <c r="A1120" s="45" t="s">
        <v>4489</v>
      </c>
      <c r="B1120" s="50"/>
      <c r="C1120" s="49"/>
      <c r="D1120" s="49"/>
      <c r="E1120" s="49"/>
      <c r="F1120" s="50"/>
      <c r="G1120" s="50"/>
      <c r="H1120" s="46"/>
      <c r="I1120" s="109"/>
      <c r="J1120" s="212"/>
      <c r="K1120" s="56"/>
      <c r="L1120" s="100"/>
      <c r="M1120" s="100"/>
      <c r="N1120" s="49"/>
      <c r="O1120" s="49"/>
      <c r="P1120" s="49"/>
      <c r="Q1120" s="49"/>
      <c r="R1120" s="49"/>
      <c r="S1120" s="47"/>
      <c r="T1120" s="47"/>
      <c r="U1120" s="53"/>
      <c r="V1120" s="53"/>
      <c r="W1120" s="74"/>
      <c r="X1120" s="81"/>
      <c r="Y1120" s="132"/>
      <c r="Z1120" s="50"/>
      <c r="AA1120" s="173"/>
      <c r="AB1120" s="173"/>
      <c r="AC1120" s="137"/>
      <c r="AD1120" s="137"/>
      <c r="AE1120" s="83"/>
      <c r="AF1120" s="47"/>
      <c r="AG1120" s="47"/>
      <c r="AH1120" s="47"/>
      <c r="AI1120" s="47"/>
      <c r="AJ1120" s="47"/>
      <c r="AK1120" s="47"/>
    </row>
    <row r="1121" spans="1:29" ht="15.45" customHeight="1" x14ac:dyDescent="0.25">
      <c r="A1121" s="29" t="s">
        <v>3176</v>
      </c>
      <c r="C1121" s="37" t="s">
        <v>1228</v>
      </c>
      <c r="E1121" s="37" t="s">
        <v>2926</v>
      </c>
      <c r="F1121" s="24" t="s">
        <v>5442</v>
      </c>
      <c r="P1121" s="37" t="s">
        <v>2009</v>
      </c>
      <c r="S1121" s="10" t="s">
        <v>2433</v>
      </c>
      <c r="U1121" s="21">
        <v>1</v>
      </c>
      <c r="V1121" s="21">
        <v>1</v>
      </c>
      <c r="W1121" s="73">
        <f t="shared" ref="W1121:W1147" si="47">W1120+V1121</f>
        <v>1</v>
      </c>
      <c r="X1121" s="80">
        <f>V1121+X1119</f>
        <v>1890</v>
      </c>
      <c r="Y1121" s="82" t="s">
        <v>3584</v>
      </c>
    </row>
    <row r="1122" spans="1:29" ht="15.45" customHeight="1" x14ac:dyDescent="0.25">
      <c r="A1122" s="29" t="s">
        <v>3173</v>
      </c>
      <c r="B1122" s="24" t="s">
        <v>3172</v>
      </c>
      <c r="C1122" s="37" t="s">
        <v>1228</v>
      </c>
      <c r="E1122" s="37" t="s">
        <v>2926</v>
      </c>
      <c r="F1122" s="24" t="s">
        <v>5442</v>
      </c>
      <c r="P1122" s="37" t="s">
        <v>1603</v>
      </c>
      <c r="S1122" s="10" t="s">
        <v>2433</v>
      </c>
      <c r="U1122" s="21">
        <v>1</v>
      </c>
      <c r="V1122" s="22">
        <v>2</v>
      </c>
      <c r="W1122" s="73">
        <f t="shared" si="47"/>
        <v>3</v>
      </c>
      <c r="X1122" s="80">
        <f t="shared" ref="X1122:X1147" si="48">V1122+X1121</f>
        <v>1892</v>
      </c>
      <c r="Y1122" s="82" t="s">
        <v>3592</v>
      </c>
      <c r="Z1122" s="24" t="s">
        <v>2884</v>
      </c>
    </row>
    <row r="1123" spans="1:29" ht="15.45" customHeight="1" x14ac:dyDescent="0.25">
      <c r="A1123" s="29" t="s">
        <v>3175</v>
      </c>
      <c r="B1123" s="24" t="s">
        <v>3174</v>
      </c>
      <c r="C1123" s="37" t="s">
        <v>1228</v>
      </c>
      <c r="E1123" s="37" t="s">
        <v>2926</v>
      </c>
      <c r="F1123" s="24" t="s">
        <v>5442</v>
      </c>
      <c r="H1123" s="38" t="s">
        <v>5210</v>
      </c>
      <c r="P1123" s="37" t="s">
        <v>5211</v>
      </c>
      <c r="S1123" s="10" t="s">
        <v>2433</v>
      </c>
      <c r="U1123" s="21">
        <v>1</v>
      </c>
      <c r="V1123" s="22">
        <v>2</v>
      </c>
      <c r="W1123" s="73">
        <f t="shared" si="47"/>
        <v>5</v>
      </c>
      <c r="X1123" s="80">
        <f t="shared" si="48"/>
        <v>1894</v>
      </c>
      <c r="Y1123" s="82" t="s">
        <v>3592</v>
      </c>
      <c r="Z1123" s="24" t="s">
        <v>2884</v>
      </c>
    </row>
    <row r="1124" spans="1:29" ht="15.45" customHeight="1" x14ac:dyDescent="0.25">
      <c r="A1124" s="29" t="s">
        <v>3186</v>
      </c>
      <c r="C1124" s="37" t="s">
        <v>1228</v>
      </c>
      <c r="E1124" s="37" t="s">
        <v>2926</v>
      </c>
      <c r="F1124" s="24" t="s">
        <v>5442</v>
      </c>
      <c r="H1124" s="38" t="s">
        <v>2875</v>
      </c>
      <c r="S1124" s="10" t="s">
        <v>2433</v>
      </c>
      <c r="U1124" s="21">
        <v>1</v>
      </c>
      <c r="V1124" s="22">
        <v>1</v>
      </c>
      <c r="W1124" s="73">
        <f t="shared" si="47"/>
        <v>6</v>
      </c>
      <c r="X1124" s="80">
        <f t="shared" si="48"/>
        <v>1895</v>
      </c>
      <c r="Y1124" s="82" t="s">
        <v>3584</v>
      </c>
    </row>
    <row r="1125" spans="1:29" ht="15.45" customHeight="1" x14ac:dyDescent="0.25">
      <c r="A1125" s="29" t="s">
        <v>1902</v>
      </c>
      <c r="C1125" s="37" t="s">
        <v>529</v>
      </c>
      <c r="E1125" s="37" t="s">
        <v>2926</v>
      </c>
      <c r="F1125" s="24" t="s">
        <v>5442</v>
      </c>
      <c r="P1125" s="37" t="s">
        <v>1936</v>
      </c>
      <c r="S1125" s="10" t="s">
        <v>2433</v>
      </c>
      <c r="U1125" s="21">
        <v>1</v>
      </c>
      <c r="V1125" s="22">
        <v>3</v>
      </c>
      <c r="W1125" s="73">
        <f t="shared" si="47"/>
        <v>9</v>
      </c>
      <c r="X1125" s="80">
        <f t="shared" si="48"/>
        <v>1898</v>
      </c>
      <c r="Y1125" s="82" t="s">
        <v>3584</v>
      </c>
    </row>
    <row r="1126" spans="1:29" ht="15.45" customHeight="1" x14ac:dyDescent="0.25">
      <c r="A1126" s="29" t="s">
        <v>1903</v>
      </c>
      <c r="B1126" s="24" t="s">
        <v>4488</v>
      </c>
      <c r="C1126" s="37" t="s">
        <v>1228</v>
      </c>
      <c r="E1126" s="37" t="s">
        <v>2926</v>
      </c>
      <c r="F1126" s="24" t="s">
        <v>5442</v>
      </c>
      <c r="P1126" s="37" t="s">
        <v>1603</v>
      </c>
      <c r="S1126" s="10" t="s">
        <v>2433</v>
      </c>
      <c r="U1126" s="21">
        <v>1</v>
      </c>
      <c r="V1126" s="22">
        <v>1</v>
      </c>
      <c r="W1126" s="73">
        <f t="shared" si="47"/>
        <v>10</v>
      </c>
      <c r="X1126" s="80">
        <f t="shared" si="48"/>
        <v>1899</v>
      </c>
      <c r="Y1126" s="82" t="s">
        <v>3592</v>
      </c>
      <c r="Z1126" s="24" t="s">
        <v>2884</v>
      </c>
    </row>
    <row r="1127" spans="1:29" ht="15.45" customHeight="1" x14ac:dyDescent="0.25">
      <c r="A1127" s="29" t="s">
        <v>4486</v>
      </c>
      <c r="B1127" s="24" t="s">
        <v>4487</v>
      </c>
      <c r="C1127" s="37" t="s">
        <v>1228</v>
      </c>
      <c r="E1127" s="37" t="s">
        <v>2926</v>
      </c>
      <c r="F1127" s="24" t="s">
        <v>5442</v>
      </c>
      <c r="J1127" s="214" t="s">
        <v>4378</v>
      </c>
      <c r="P1127" s="37" t="s">
        <v>1603</v>
      </c>
      <c r="S1127" s="10" t="s">
        <v>3412</v>
      </c>
      <c r="U1127" s="21">
        <v>1</v>
      </c>
      <c r="V1127" s="22">
        <v>1</v>
      </c>
      <c r="W1127" s="73">
        <f t="shared" si="47"/>
        <v>11</v>
      </c>
      <c r="X1127" s="80">
        <f t="shared" si="48"/>
        <v>1900</v>
      </c>
      <c r="Y1127" s="82" t="s">
        <v>3591</v>
      </c>
      <c r="Z1127" s="24" t="s">
        <v>2553</v>
      </c>
      <c r="AB1127" s="177">
        <v>43448</v>
      </c>
      <c r="AC1127" s="84" t="s">
        <v>2885</v>
      </c>
    </row>
    <row r="1128" spans="1:29" ht="15.45" customHeight="1" x14ac:dyDescent="0.25">
      <c r="A1128" s="29" t="s">
        <v>4507</v>
      </c>
      <c r="C1128" s="37" t="s">
        <v>4508</v>
      </c>
      <c r="E1128" s="37" t="s">
        <v>2926</v>
      </c>
      <c r="F1128" s="24" t="s">
        <v>5442</v>
      </c>
      <c r="H1128" s="38" t="s">
        <v>4506</v>
      </c>
      <c r="I1128" s="38" t="s">
        <v>4509</v>
      </c>
      <c r="P1128" s="37" t="s">
        <v>2009</v>
      </c>
      <c r="S1128" s="10" t="s">
        <v>2433</v>
      </c>
      <c r="U1128" s="21">
        <v>1</v>
      </c>
      <c r="V1128" s="22">
        <v>1</v>
      </c>
      <c r="W1128" s="73">
        <f t="shared" si="47"/>
        <v>12</v>
      </c>
      <c r="X1128" s="80">
        <f t="shared" si="48"/>
        <v>1901</v>
      </c>
      <c r="Y1128" s="82" t="s">
        <v>3584</v>
      </c>
    </row>
    <row r="1129" spans="1:29" ht="15.45" customHeight="1" x14ac:dyDescent="0.25">
      <c r="A1129" s="29" t="s">
        <v>1588</v>
      </c>
      <c r="C1129" s="37" t="s">
        <v>1228</v>
      </c>
      <c r="E1129" s="37" t="s">
        <v>2832</v>
      </c>
      <c r="F1129" s="24" t="s">
        <v>5442</v>
      </c>
      <c r="S1129" s="10" t="s">
        <v>2433</v>
      </c>
      <c r="U1129" s="21">
        <v>1</v>
      </c>
      <c r="V1129" s="21">
        <v>3</v>
      </c>
      <c r="W1129" s="73">
        <f t="shared" si="47"/>
        <v>15</v>
      </c>
      <c r="X1129" s="80">
        <f t="shared" si="48"/>
        <v>1904</v>
      </c>
      <c r="Y1129" s="82" t="s">
        <v>3584</v>
      </c>
    </row>
    <row r="1130" spans="1:29" ht="15.45" customHeight="1" x14ac:dyDescent="0.25">
      <c r="A1130" s="29" t="s">
        <v>1194</v>
      </c>
      <c r="C1130" s="37" t="s">
        <v>1228</v>
      </c>
      <c r="E1130" s="37" t="s">
        <v>2832</v>
      </c>
      <c r="F1130" s="24" t="s">
        <v>5442</v>
      </c>
      <c r="O1130" s="37" t="s">
        <v>1603</v>
      </c>
      <c r="S1130" s="10" t="s">
        <v>2433</v>
      </c>
      <c r="U1130" s="21">
        <v>1</v>
      </c>
      <c r="V1130" s="21">
        <v>1</v>
      </c>
      <c r="W1130" s="73">
        <f t="shared" si="47"/>
        <v>16</v>
      </c>
      <c r="X1130" s="80">
        <f t="shared" si="48"/>
        <v>1905</v>
      </c>
      <c r="Y1130" s="82" t="s">
        <v>3584</v>
      </c>
    </row>
    <row r="1131" spans="1:29" ht="15.45" customHeight="1" x14ac:dyDescent="0.25">
      <c r="A1131" s="29" t="s">
        <v>1194</v>
      </c>
      <c r="C1131" s="37" t="s">
        <v>1228</v>
      </c>
      <c r="E1131" s="37" t="s">
        <v>2832</v>
      </c>
      <c r="F1131" s="24" t="s">
        <v>5442</v>
      </c>
      <c r="O1131" s="37" t="s">
        <v>1603</v>
      </c>
      <c r="S1131" s="10" t="s">
        <v>2433</v>
      </c>
      <c r="U1131" s="21">
        <v>1</v>
      </c>
      <c r="V1131" s="21">
        <v>1</v>
      </c>
      <c r="W1131" s="73">
        <f t="shared" si="47"/>
        <v>17</v>
      </c>
      <c r="X1131" s="80">
        <f t="shared" si="48"/>
        <v>1906</v>
      </c>
      <c r="Y1131" s="82" t="s">
        <v>3584</v>
      </c>
    </row>
    <row r="1132" spans="1:29" ht="15.45" customHeight="1" x14ac:dyDescent="0.25">
      <c r="A1132" s="29" t="s">
        <v>3187</v>
      </c>
      <c r="C1132" s="37" t="s">
        <v>1228</v>
      </c>
      <c r="E1132" s="37" t="s">
        <v>2832</v>
      </c>
      <c r="F1132" s="24" t="s">
        <v>5442</v>
      </c>
      <c r="O1132" s="37" t="s">
        <v>1904</v>
      </c>
      <c r="S1132" s="10" t="s">
        <v>2433</v>
      </c>
      <c r="U1132" s="21">
        <v>1</v>
      </c>
      <c r="V1132" s="21">
        <v>1</v>
      </c>
      <c r="W1132" s="73">
        <f t="shared" si="47"/>
        <v>18</v>
      </c>
      <c r="X1132" s="80">
        <f t="shared" si="48"/>
        <v>1907</v>
      </c>
      <c r="Y1132" s="82" t="s">
        <v>3584</v>
      </c>
    </row>
    <row r="1133" spans="1:29" ht="15.45" customHeight="1" x14ac:dyDescent="0.25">
      <c r="A1133" s="29" t="s">
        <v>975</v>
      </c>
      <c r="B1133" s="24" t="s">
        <v>6166</v>
      </c>
      <c r="C1133" s="37" t="s">
        <v>1228</v>
      </c>
      <c r="E1133" s="37" t="s">
        <v>2832</v>
      </c>
      <c r="F1133" s="24" t="s">
        <v>5442</v>
      </c>
      <c r="O1133" s="37" t="s">
        <v>1642</v>
      </c>
      <c r="S1133" s="10" t="s">
        <v>2433</v>
      </c>
      <c r="U1133" s="21">
        <v>1</v>
      </c>
      <c r="V1133" s="21">
        <v>1</v>
      </c>
      <c r="W1133" s="73">
        <f t="shared" si="47"/>
        <v>19</v>
      </c>
      <c r="X1133" s="80">
        <f t="shared" si="48"/>
        <v>1908</v>
      </c>
      <c r="Y1133" s="82" t="s">
        <v>3584</v>
      </c>
    </row>
    <row r="1134" spans="1:29" ht="15.45" customHeight="1" x14ac:dyDescent="0.25">
      <c r="A1134" s="29" t="s">
        <v>6165</v>
      </c>
      <c r="B1134" s="24" t="s">
        <v>6166</v>
      </c>
      <c r="C1134" s="37" t="s">
        <v>1228</v>
      </c>
      <c r="E1134" s="37" t="s">
        <v>2926</v>
      </c>
      <c r="F1134" s="24" t="s">
        <v>5442</v>
      </c>
      <c r="O1134" s="37" t="s">
        <v>1603</v>
      </c>
      <c r="S1134" s="10" t="s">
        <v>3412</v>
      </c>
      <c r="U1134" s="21">
        <v>1</v>
      </c>
      <c r="V1134" s="21">
        <v>1</v>
      </c>
      <c r="W1134" s="73">
        <f t="shared" si="47"/>
        <v>20</v>
      </c>
      <c r="X1134" s="80">
        <f t="shared" si="48"/>
        <v>1909</v>
      </c>
      <c r="Y1134" s="82" t="s">
        <v>3592</v>
      </c>
      <c r="Z1134" s="24" t="s">
        <v>3595</v>
      </c>
    </row>
    <row r="1135" spans="1:29" ht="15.45" customHeight="1" x14ac:dyDescent="0.25">
      <c r="A1135" s="29" t="s">
        <v>6165</v>
      </c>
      <c r="B1135" s="24" t="s">
        <v>6166</v>
      </c>
      <c r="C1135" s="37" t="s">
        <v>1228</v>
      </c>
      <c r="E1135" s="37" t="s">
        <v>2926</v>
      </c>
      <c r="F1135" s="24" t="s">
        <v>5442</v>
      </c>
      <c r="H1135" s="201" t="s">
        <v>6167</v>
      </c>
      <c r="J1135" s="214" t="s">
        <v>5286</v>
      </c>
      <c r="O1135" s="37" t="s">
        <v>6168</v>
      </c>
      <c r="S1135" s="10" t="s">
        <v>3412</v>
      </c>
      <c r="U1135" s="21">
        <v>1</v>
      </c>
      <c r="V1135" s="21">
        <v>1</v>
      </c>
      <c r="W1135" s="73">
        <f t="shared" si="47"/>
        <v>21</v>
      </c>
      <c r="X1135" s="80">
        <f t="shared" si="48"/>
        <v>1910</v>
      </c>
      <c r="Y1135" s="82" t="s">
        <v>3591</v>
      </c>
      <c r="Z1135" s="24" t="s">
        <v>2885</v>
      </c>
      <c r="AB1135" s="177">
        <v>44481</v>
      </c>
      <c r="AC1135" s="84" t="s">
        <v>5308</v>
      </c>
    </row>
    <row r="1136" spans="1:29" ht="15.45" customHeight="1" x14ac:dyDescent="0.25">
      <c r="A1136" s="29" t="s">
        <v>6145</v>
      </c>
      <c r="B1136" s="208" t="s">
        <v>6140</v>
      </c>
      <c r="C1136" s="37" t="s">
        <v>1228</v>
      </c>
      <c r="E1136" s="37" t="s">
        <v>2926</v>
      </c>
      <c r="F1136" s="24" t="s">
        <v>5442</v>
      </c>
      <c r="H1136" s="201" t="s">
        <v>6141</v>
      </c>
      <c r="J1136" s="214" t="s">
        <v>5636</v>
      </c>
      <c r="O1136" s="37" t="s">
        <v>6142</v>
      </c>
      <c r="R1136" s="37" t="s">
        <v>6143</v>
      </c>
      <c r="S1136" s="10" t="s">
        <v>2983</v>
      </c>
      <c r="T1136" s="10" t="s">
        <v>6144</v>
      </c>
      <c r="U1136" s="21">
        <v>1</v>
      </c>
      <c r="V1136" s="21">
        <v>1</v>
      </c>
      <c r="W1136" s="73">
        <f t="shared" si="47"/>
        <v>22</v>
      </c>
      <c r="X1136" s="80">
        <f t="shared" si="48"/>
        <v>1911</v>
      </c>
      <c r="Y1136" s="82" t="s">
        <v>3591</v>
      </c>
      <c r="Z1136" s="24" t="s">
        <v>2885</v>
      </c>
      <c r="AB1136" s="177">
        <v>44481</v>
      </c>
      <c r="AC1136" s="84" t="s">
        <v>5308</v>
      </c>
    </row>
    <row r="1137" spans="1:37" ht="15.45" customHeight="1" x14ac:dyDescent="0.25">
      <c r="A1137" s="29" t="s">
        <v>6150</v>
      </c>
      <c r="B1137" s="208" t="s">
        <v>6151</v>
      </c>
      <c r="C1137" s="37" t="s">
        <v>1228</v>
      </c>
      <c r="E1137" s="37" t="s">
        <v>2926</v>
      </c>
      <c r="F1137" s="24" t="s">
        <v>5442</v>
      </c>
      <c r="H1137" s="201" t="s">
        <v>6152</v>
      </c>
      <c r="J1137" s="214" t="s">
        <v>5636</v>
      </c>
      <c r="O1137" s="37" t="s">
        <v>6124</v>
      </c>
      <c r="S1137" s="10" t="s">
        <v>3412</v>
      </c>
      <c r="U1137" s="21">
        <v>1</v>
      </c>
      <c r="V1137" s="21">
        <v>1</v>
      </c>
      <c r="W1137" s="73">
        <f t="shared" si="47"/>
        <v>23</v>
      </c>
      <c r="X1137" s="80">
        <f t="shared" si="48"/>
        <v>1912</v>
      </c>
      <c r="Y1137" s="82" t="s">
        <v>3591</v>
      </c>
      <c r="Z1137" s="24" t="s">
        <v>2885</v>
      </c>
      <c r="AB1137" s="177">
        <v>44492</v>
      </c>
      <c r="AC1137" s="84" t="s">
        <v>5308</v>
      </c>
    </row>
    <row r="1138" spans="1:37" ht="15.45" customHeight="1" x14ac:dyDescent="0.25">
      <c r="A1138" s="29" t="s">
        <v>6150</v>
      </c>
      <c r="B1138" s="208" t="s">
        <v>6151</v>
      </c>
      <c r="C1138" s="37" t="s">
        <v>1228</v>
      </c>
      <c r="E1138" s="37" t="s">
        <v>2926</v>
      </c>
      <c r="F1138" s="24" t="s">
        <v>5442</v>
      </c>
      <c r="H1138" s="201" t="s">
        <v>6180</v>
      </c>
      <c r="J1138" s="214" t="s">
        <v>5279</v>
      </c>
      <c r="K1138" s="10" t="s">
        <v>6181</v>
      </c>
      <c r="O1138" s="37" t="s">
        <v>6124</v>
      </c>
      <c r="S1138" s="10" t="s">
        <v>3412</v>
      </c>
      <c r="U1138" s="21">
        <v>1</v>
      </c>
      <c r="V1138" s="21">
        <v>1</v>
      </c>
      <c r="W1138" s="73">
        <f t="shared" si="47"/>
        <v>24</v>
      </c>
      <c r="X1138" s="80">
        <f t="shared" si="48"/>
        <v>1913</v>
      </c>
      <c r="Y1138" s="82" t="s">
        <v>3591</v>
      </c>
      <c r="Z1138" s="24" t="s">
        <v>4514</v>
      </c>
      <c r="AB1138" s="177">
        <v>44494</v>
      </c>
      <c r="AC1138" s="84" t="s">
        <v>5308</v>
      </c>
    </row>
    <row r="1139" spans="1:37" ht="15.45" customHeight="1" x14ac:dyDescent="0.25">
      <c r="A1139" s="29" t="s">
        <v>6182</v>
      </c>
      <c r="B1139" s="208" t="s">
        <v>6183</v>
      </c>
      <c r="C1139" s="37" t="s">
        <v>1228</v>
      </c>
      <c r="E1139" s="37" t="s">
        <v>2926</v>
      </c>
      <c r="F1139" s="24" t="s">
        <v>5442</v>
      </c>
      <c r="H1139" s="201" t="s">
        <v>6185</v>
      </c>
      <c r="J1139" s="214" t="s">
        <v>6184</v>
      </c>
      <c r="K1139" s="10" t="s">
        <v>6181</v>
      </c>
      <c r="S1139" s="10" t="s">
        <v>3412</v>
      </c>
      <c r="U1139" s="21">
        <v>1</v>
      </c>
      <c r="V1139" s="21">
        <v>1</v>
      </c>
      <c r="W1139" s="73">
        <f t="shared" si="47"/>
        <v>25</v>
      </c>
      <c r="X1139" s="80">
        <f t="shared" si="48"/>
        <v>1914</v>
      </c>
      <c r="Y1139" s="82" t="s">
        <v>3591</v>
      </c>
      <c r="Z1139" s="24" t="s">
        <v>4514</v>
      </c>
      <c r="AB1139" s="177">
        <v>44495</v>
      </c>
      <c r="AC1139" s="84" t="s">
        <v>5308</v>
      </c>
    </row>
    <row r="1140" spans="1:37" ht="15.45" customHeight="1" x14ac:dyDescent="0.25">
      <c r="A1140" s="29" t="s">
        <v>6182</v>
      </c>
      <c r="B1140" s="208" t="s">
        <v>6183</v>
      </c>
      <c r="C1140" s="37" t="s">
        <v>1228</v>
      </c>
      <c r="E1140" s="37" t="s">
        <v>2926</v>
      </c>
      <c r="F1140" s="24" t="s">
        <v>5442</v>
      </c>
      <c r="H1140" s="201" t="s">
        <v>6186</v>
      </c>
      <c r="J1140" s="214" t="s">
        <v>5275</v>
      </c>
      <c r="K1140" s="10" t="s">
        <v>6181</v>
      </c>
      <c r="S1140" s="10" t="s">
        <v>3412</v>
      </c>
      <c r="U1140" s="21">
        <v>1</v>
      </c>
      <c r="V1140" s="21">
        <v>1</v>
      </c>
      <c r="W1140" s="73">
        <f t="shared" si="47"/>
        <v>26</v>
      </c>
      <c r="X1140" s="80">
        <f t="shared" si="48"/>
        <v>1915</v>
      </c>
      <c r="Y1140" s="82" t="s">
        <v>3591</v>
      </c>
      <c r="Z1140" s="24" t="s">
        <v>4514</v>
      </c>
      <c r="AB1140" s="177">
        <v>44496</v>
      </c>
      <c r="AC1140" s="84" t="s">
        <v>5308</v>
      </c>
    </row>
    <row r="1141" spans="1:37" ht="15.45" customHeight="1" x14ac:dyDescent="0.25">
      <c r="A1141" s="29" t="s">
        <v>6189</v>
      </c>
      <c r="B1141" s="208" t="s">
        <v>6187</v>
      </c>
      <c r="C1141" s="37" t="s">
        <v>1228</v>
      </c>
      <c r="E1141" s="37" t="s">
        <v>2926</v>
      </c>
      <c r="F1141" s="24" t="s">
        <v>5442</v>
      </c>
      <c r="H1141" s="201" t="s">
        <v>6188</v>
      </c>
      <c r="J1141" s="214" t="s">
        <v>5379</v>
      </c>
      <c r="K1141" s="10" t="s">
        <v>6181</v>
      </c>
      <c r="S1141" s="10" t="s">
        <v>3412</v>
      </c>
      <c r="U1141" s="21">
        <v>1</v>
      </c>
      <c r="V1141" s="21">
        <v>1</v>
      </c>
      <c r="W1141" s="73">
        <f t="shared" si="47"/>
        <v>27</v>
      </c>
      <c r="X1141" s="80">
        <f t="shared" si="48"/>
        <v>1916</v>
      </c>
      <c r="Y1141" s="82" t="s">
        <v>3591</v>
      </c>
      <c r="Z1141" s="24" t="s">
        <v>4514</v>
      </c>
      <c r="AB1141" s="177">
        <v>44497</v>
      </c>
      <c r="AC1141" s="84" t="s">
        <v>5308</v>
      </c>
    </row>
    <row r="1142" spans="1:37" ht="15.45" customHeight="1" x14ac:dyDescent="0.25">
      <c r="A1142" s="31" t="s">
        <v>3177</v>
      </c>
      <c r="B1142" s="24" t="s">
        <v>3178</v>
      </c>
      <c r="C1142" s="37" t="s">
        <v>1228</v>
      </c>
      <c r="E1142" s="37" t="s">
        <v>2832</v>
      </c>
      <c r="F1142" s="24" t="s">
        <v>5442</v>
      </c>
      <c r="H1142" s="39"/>
      <c r="J1142" s="214" t="s">
        <v>4041</v>
      </c>
      <c r="K1142" s="10" t="s">
        <v>4042</v>
      </c>
      <c r="P1142" s="37" t="s">
        <v>1603</v>
      </c>
      <c r="S1142" s="10" t="s">
        <v>2433</v>
      </c>
      <c r="T1142" s="11"/>
      <c r="U1142" s="21">
        <v>1</v>
      </c>
      <c r="V1142" s="21">
        <v>2</v>
      </c>
      <c r="W1142" s="73">
        <f t="shared" si="47"/>
        <v>29</v>
      </c>
      <c r="X1142" s="80">
        <f t="shared" si="48"/>
        <v>1918</v>
      </c>
      <c r="Y1142" s="82" t="s">
        <v>3584</v>
      </c>
      <c r="AF1142" s="11"/>
      <c r="AG1142" s="11"/>
      <c r="AH1142" s="11"/>
      <c r="AI1142" s="11"/>
      <c r="AJ1142" s="11"/>
      <c r="AK1142" s="11"/>
    </row>
    <row r="1143" spans="1:37" ht="15.45" customHeight="1" x14ac:dyDescent="0.25">
      <c r="A1143" s="29" t="s">
        <v>3179</v>
      </c>
      <c r="C1143" s="37" t="s">
        <v>1228</v>
      </c>
      <c r="E1143" s="37" t="s">
        <v>2832</v>
      </c>
      <c r="F1143" s="24" t="s">
        <v>5442</v>
      </c>
      <c r="P1143" s="37" t="s">
        <v>1642</v>
      </c>
      <c r="S1143" s="10" t="s">
        <v>2433</v>
      </c>
      <c r="U1143" s="21">
        <v>1</v>
      </c>
      <c r="V1143" s="21">
        <v>2</v>
      </c>
      <c r="W1143" s="73">
        <f t="shared" si="47"/>
        <v>31</v>
      </c>
      <c r="X1143" s="80">
        <f t="shared" si="48"/>
        <v>1920</v>
      </c>
      <c r="Y1143" s="82" t="s">
        <v>3584</v>
      </c>
    </row>
    <row r="1144" spans="1:37" ht="15.45" customHeight="1" x14ac:dyDescent="0.25">
      <c r="A1144" s="29" t="s">
        <v>3180</v>
      </c>
      <c r="B1144" s="24" t="s">
        <v>3181</v>
      </c>
      <c r="C1144" s="37" t="s">
        <v>1228</v>
      </c>
      <c r="E1144" s="37" t="s">
        <v>2832</v>
      </c>
      <c r="F1144" s="24" t="s">
        <v>5442</v>
      </c>
      <c r="J1144" s="214" t="s">
        <v>4041</v>
      </c>
      <c r="K1144" s="10" t="s">
        <v>4042</v>
      </c>
      <c r="P1144" s="37" t="s">
        <v>2043</v>
      </c>
      <c r="S1144" s="10" t="s">
        <v>2433</v>
      </c>
      <c r="U1144" s="21">
        <v>1</v>
      </c>
      <c r="V1144" s="21">
        <v>2</v>
      </c>
      <c r="W1144" s="73">
        <f t="shared" si="47"/>
        <v>33</v>
      </c>
      <c r="X1144" s="80">
        <f t="shared" si="48"/>
        <v>1922</v>
      </c>
      <c r="Y1144" s="82" t="s">
        <v>3584</v>
      </c>
    </row>
    <row r="1145" spans="1:37" ht="15.45" customHeight="1" x14ac:dyDescent="0.25">
      <c r="A1145" s="29" t="s">
        <v>2042</v>
      </c>
      <c r="B1145" s="24" t="s">
        <v>3183</v>
      </c>
      <c r="C1145" s="37" t="s">
        <v>1228</v>
      </c>
      <c r="E1145" s="37" t="s">
        <v>2832</v>
      </c>
      <c r="F1145" s="24" t="s">
        <v>5442</v>
      </c>
      <c r="H1145" s="233" t="s">
        <v>6231</v>
      </c>
      <c r="P1145" s="37" t="s">
        <v>1735</v>
      </c>
      <c r="S1145" s="10" t="s">
        <v>2433</v>
      </c>
      <c r="U1145" s="21">
        <v>1</v>
      </c>
      <c r="V1145" s="21">
        <v>1</v>
      </c>
      <c r="W1145" s="73">
        <f t="shared" si="47"/>
        <v>34</v>
      </c>
      <c r="X1145" s="80">
        <f t="shared" si="48"/>
        <v>1923</v>
      </c>
      <c r="Y1145" s="82" t="s">
        <v>3584</v>
      </c>
    </row>
    <row r="1146" spans="1:37" ht="15.45" customHeight="1" x14ac:dyDescent="0.25">
      <c r="A1146" s="29" t="s">
        <v>1069</v>
      </c>
      <c r="B1146" s="24" t="s">
        <v>3182</v>
      </c>
      <c r="C1146" s="37" t="s">
        <v>1228</v>
      </c>
      <c r="E1146" s="37" t="s">
        <v>2832</v>
      </c>
      <c r="F1146" s="24" t="s">
        <v>5442</v>
      </c>
      <c r="H1146" s="233" t="s">
        <v>3759</v>
      </c>
      <c r="J1146" s="214" t="s">
        <v>3758</v>
      </c>
      <c r="K1146" s="10" t="s">
        <v>3750</v>
      </c>
      <c r="P1146" s="37" t="s">
        <v>2041</v>
      </c>
      <c r="S1146" s="10" t="s">
        <v>2433</v>
      </c>
      <c r="U1146" s="21">
        <v>1</v>
      </c>
      <c r="V1146" s="21">
        <v>1</v>
      </c>
      <c r="W1146" s="73">
        <f t="shared" si="47"/>
        <v>35</v>
      </c>
      <c r="X1146" s="80">
        <f t="shared" si="48"/>
        <v>1924</v>
      </c>
      <c r="Y1146" s="82" t="s">
        <v>3584</v>
      </c>
    </row>
    <row r="1147" spans="1:37" ht="15.45" customHeight="1" x14ac:dyDescent="0.25">
      <c r="A1147" s="29" t="s">
        <v>3184</v>
      </c>
      <c r="B1147" s="24" t="s">
        <v>3185</v>
      </c>
      <c r="C1147" s="37" t="s">
        <v>1228</v>
      </c>
      <c r="E1147" s="37" t="s">
        <v>2926</v>
      </c>
      <c r="F1147" s="24" t="s">
        <v>5442</v>
      </c>
      <c r="P1147" s="37" t="s">
        <v>1603</v>
      </c>
      <c r="S1147" s="10" t="s">
        <v>2433</v>
      </c>
      <c r="U1147" s="21">
        <v>1</v>
      </c>
      <c r="V1147" s="21">
        <v>3</v>
      </c>
      <c r="W1147" s="73">
        <f t="shared" si="47"/>
        <v>38</v>
      </c>
      <c r="X1147" s="80">
        <f t="shared" si="48"/>
        <v>1927</v>
      </c>
      <c r="Y1147" s="82" t="s">
        <v>3591</v>
      </c>
      <c r="Z1147" s="24" t="s">
        <v>719</v>
      </c>
    </row>
    <row r="1148" spans="1:37" s="51" customFormat="1" ht="15.45" customHeight="1" x14ac:dyDescent="0.25">
      <c r="A1148" s="45" t="s">
        <v>1985</v>
      </c>
      <c r="B1148" s="50"/>
      <c r="C1148" s="49"/>
      <c r="D1148" s="49"/>
      <c r="E1148" s="49"/>
      <c r="F1148" s="50"/>
      <c r="G1148" s="50"/>
      <c r="H1148" s="46"/>
      <c r="I1148" s="109"/>
      <c r="J1148" s="212"/>
      <c r="K1148" s="56"/>
      <c r="L1148" s="100"/>
      <c r="M1148" s="100"/>
      <c r="N1148" s="49"/>
      <c r="O1148" s="49"/>
      <c r="P1148" s="49"/>
      <c r="Q1148" s="49"/>
      <c r="R1148" s="49"/>
      <c r="S1148" s="10"/>
      <c r="T1148" s="47"/>
      <c r="U1148" s="53"/>
      <c r="V1148" s="53"/>
      <c r="W1148" s="74"/>
      <c r="X1148" s="81"/>
      <c r="Y1148" s="132"/>
      <c r="Z1148" s="50"/>
      <c r="AA1148" s="173"/>
      <c r="AB1148" s="173"/>
      <c r="AC1148" s="137"/>
      <c r="AD1148" s="137"/>
      <c r="AE1148" s="83"/>
      <c r="AF1148" s="47"/>
      <c r="AG1148" s="47"/>
      <c r="AH1148" s="47"/>
      <c r="AI1148" s="47"/>
      <c r="AJ1148" s="47"/>
      <c r="AK1148" s="47"/>
    </row>
    <row r="1149" spans="1:37" ht="15.45" customHeight="1" x14ac:dyDescent="0.25">
      <c r="A1149" s="29" t="s">
        <v>3313</v>
      </c>
      <c r="C1149" s="37" t="s">
        <v>456</v>
      </c>
      <c r="E1149" s="37" t="s">
        <v>2832</v>
      </c>
      <c r="F1149" s="24" t="s">
        <v>1082</v>
      </c>
      <c r="H1149" s="38" t="s">
        <v>3967</v>
      </c>
      <c r="P1149" s="37" t="s">
        <v>1990</v>
      </c>
      <c r="S1149" s="10" t="s">
        <v>2433</v>
      </c>
      <c r="U1149" s="21">
        <v>1</v>
      </c>
      <c r="V1149" s="21">
        <v>1</v>
      </c>
      <c r="W1149" s="73">
        <v>1</v>
      </c>
      <c r="X1149" s="80">
        <f>V1149+X1147</f>
        <v>1928</v>
      </c>
      <c r="Y1149" s="82" t="s">
        <v>3584</v>
      </c>
    </row>
    <row r="1150" spans="1:37" ht="15.45" customHeight="1" x14ac:dyDescent="0.25">
      <c r="A1150" s="29" t="s">
        <v>877</v>
      </c>
      <c r="C1150" s="37" t="s">
        <v>456</v>
      </c>
      <c r="E1150" s="37" t="s">
        <v>2832</v>
      </c>
      <c r="F1150" s="24" t="s">
        <v>1082</v>
      </c>
      <c r="H1150" s="38" t="s">
        <v>3967</v>
      </c>
      <c r="P1150" s="37" t="s">
        <v>1792</v>
      </c>
      <c r="S1150" s="10" t="s">
        <v>2433</v>
      </c>
      <c r="U1150" s="21">
        <v>1</v>
      </c>
      <c r="V1150" s="21">
        <v>1</v>
      </c>
      <c r="W1150" s="73">
        <v>2</v>
      </c>
      <c r="X1150" s="80">
        <f>V1150+X1149</f>
        <v>1929</v>
      </c>
      <c r="Y1150" s="82" t="s">
        <v>3584</v>
      </c>
    </row>
    <row r="1151" spans="1:37" s="51" customFormat="1" ht="15.45" customHeight="1" x14ac:dyDescent="0.25">
      <c r="A1151" s="45" t="s">
        <v>1370</v>
      </c>
      <c r="B1151" s="50"/>
      <c r="C1151" s="49"/>
      <c r="D1151" s="49"/>
      <c r="E1151" s="49"/>
      <c r="F1151" s="50"/>
      <c r="G1151" s="50"/>
      <c r="H1151" s="46"/>
      <c r="I1151" s="109"/>
      <c r="J1151" s="212"/>
      <c r="K1151" s="56"/>
      <c r="L1151" s="100"/>
      <c r="M1151" s="100"/>
      <c r="N1151" s="49"/>
      <c r="O1151" s="49"/>
      <c r="P1151" s="49"/>
      <c r="Q1151" s="49"/>
      <c r="R1151" s="49"/>
      <c r="S1151" s="10" t="s">
        <v>2433</v>
      </c>
      <c r="T1151" s="47"/>
      <c r="U1151" s="53"/>
      <c r="V1151" s="53"/>
      <c r="W1151" s="74"/>
      <c r="X1151" s="81"/>
      <c r="Y1151" s="132"/>
      <c r="Z1151" s="50"/>
      <c r="AA1151" s="173"/>
      <c r="AB1151" s="173"/>
      <c r="AC1151" s="137"/>
      <c r="AD1151" s="137"/>
      <c r="AE1151" s="83"/>
      <c r="AF1151" s="47"/>
      <c r="AG1151" s="47"/>
      <c r="AH1151" s="47"/>
      <c r="AI1151" s="47"/>
      <c r="AJ1151" s="47"/>
      <c r="AK1151" s="47"/>
    </row>
    <row r="1152" spans="1:37" ht="15.45" customHeight="1" x14ac:dyDescent="0.25">
      <c r="A1152" s="29" t="s">
        <v>3190</v>
      </c>
      <c r="B1152" s="24" t="s">
        <v>3188</v>
      </c>
      <c r="C1152" s="37" t="s">
        <v>790</v>
      </c>
      <c r="E1152" s="37" t="s">
        <v>2926</v>
      </c>
      <c r="F1152" s="24" t="s">
        <v>5442</v>
      </c>
      <c r="H1152" s="38" t="s">
        <v>3189</v>
      </c>
      <c r="P1152" s="37" t="s">
        <v>124</v>
      </c>
      <c r="S1152" s="10" t="s">
        <v>2433</v>
      </c>
      <c r="U1152" s="22">
        <v>1</v>
      </c>
      <c r="V1152" s="22">
        <v>1</v>
      </c>
      <c r="W1152" s="73">
        <v>1</v>
      </c>
      <c r="X1152" s="80">
        <f>V1152+X1150</f>
        <v>1930</v>
      </c>
      <c r="Y1152" s="82" t="s">
        <v>3592</v>
      </c>
      <c r="Z1152" s="24" t="s">
        <v>2884</v>
      </c>
    </row>
    <row r="1153" spans="1:37" ht="15.45" customHeight="1" x14ac:dyDescent="0.25">
      <c r="A1153" s="29" t="s">
        <v>3191</v>
      </c>
      <c r="B1153" s="24" t="s">
        <v>3188</v>
      </c>
      <c r="C1153" s="37" t="s">
        <v>790</v>
      </c>
      <c r="E1153" s="37" t="s">
        <v>2926</v>
      </c>
      <c r="F1153" s="24" t="s">
        <v>5442</v>
      </c>
      <c r="H1153" s="38" t="s">
        <v>3192</v>
      </c>
      <c r="P1153" s="37" t="s">
        <v>124</v>
      </c>
      <c r="S1153" s="10" t="s">
        <v>2433</v>
      </c>
      <c r="U1153" s="22">
        <v>1</v>
      </c>
      <c r="V1153" s="22">
        <v>5</v>
      </c>
      <c r="W1153" s="73">
        <f>W1152+V1153</f>
        <v>6</v>
      </c>
      <c r="X1153" s="80">
        <f>V1153+X1152</f>
        <v>1935</v>
      </c>
      <c r="Y1153" s="82" t="s">
        <v>3592</v>
      </c>
      <c r="Z1153" s="24" t="s">
        <v>2884</v>
      </c>
    </row>
    <row r="1154" spans="1:37" ht="15.45" customHeight="1" x14ac:dyDescent="0.25">
      <c r="A1154" s="29" t="s">
        <v>4381</v>
      </c>
      <c r="B1154" s="24" t="s">
        <v>4382</v>
      </c>
      <c r="C1154" s="37" t="s">
        <v>4383</v>
      </c>
      <c r="E1154" s="37" t="s">
        <v>2926</v>
      </c>
      <c r="F1154" s="24" t="s">
        <v>5442</v>
      </c>
      <c r="P1154" s="37" t="s">
        <v>1463</v>
      </c>
      <c r="S1154" s="10" t="s">
        <v>3412</v>
      </c>
      <c r="U1154" s="22">
        <v>1</v>
      </c>
      <c r="V1154" s="22">
        <v>6</v>
      </c>
      <c r="W1154" s="73">
        <f>W1153+V1154</f>
        <v>12</v>
      </c>
      <c r="X1154" s="80">
        <f>V1154+X1153</f>
        <v>1941</v>
      </c>
      <c r="Y1154" s="82" t="s">
        <v>3591</v>
      </c>
      <c r="Z1154" s="24" t="s">
        <v>2911</v>
      </c>
      <c r="AB1154" s="177">
        <v>43419</v>
      </c>
      <c r="AC1154" s="84" t="s">
        <v>2885</v>
      </c>
    </row>
    <row r="1155" spans="1:37" s="51" customFormat="1" ht="15.45" customHeight="1" x14ac:dyDescent="0.25">
      <c r="A1155" s="45" t="s">
        <v>1371</v>
      </c>
      <c r="B1155" s="50"/>
      <c r="C1155" s="49"/>
      <c r="D1155" s="49"/>
      <c r="E1155" s="49"/>
      <c r="F1155" s="50"/>
      <c r="G1155" s="50"/>
      <c r="H1155" s="46"/>
      <c r="I1155" s="109"/>
      <c r="J1155" s="212"/>
      <c r="K1155" s="56"/>
      <c r="L1155" s="100"/>
      <c r="M1155" s="100"/>
      <c r="N1155" s="49"/>
      <c r="O1155" s="49"/>
      <c r="P1155" s="49"/>
      <c r="Q1155" s="49"/>
      <c r="R1155" s="49"/>
      <c r="S1155" s="10" t="s">
        <v>2433</v>
      </c>
      <c r="T1155" s="47"/>
      <c r="U1155" s="53"/>
      <c r="V1155" s="53"/>
      <c r="W1155" s="74"/>
      <c r="X1155" s="81"/>
      <c r="Y1155" s="132"/>
      <c r="Z1155" s="50"/>
      <c r="AA1155" s="173"/>
      <c r="AB1155" s="173"/>
      <c r="AC1155" s="137"/>
      <c r="AD1155" s="137"/>
      <c r="AE1155" s="83"/>
      <c r="AF1155" s="47"/>
      <c r="AG1155" s="47"/>
      <c r="AH1155" s="47"/>
      <c r="AI1155" s="47"/>
      <c r="AJ1155" s="47"/>
      <c r="AK1155" s="47"/>
    </row>
    <row r="1156" spans="1:37" ht="15.45" customHeight="1" x14ac:dyDescent="0.25">
      <c r="A1156" s="29" t="s">
        <v>292</v>
      </c>
      <c r="C1156" s="37" t="s">
        <v>1133</v>
      </c>
      <c r="E1156" s="37" t="s">
        <v>2926</v>
      </c>
      <c r="F1156" s="24" t="s">
        <v>5442</v>
      </c>
      <c r="P1156" s="37" t="s">
        <v>124</v>
      </c>
      <c r="S1156" s="10" t="s">
        <v>2433</v>
      </c>
      <c r="U1156" s="22">
        <v>1</v>
      </c>
      <c r="V1156" s="22">
        <v>1</v>
      </c>
      <c r="W1156" s="73">
        <v>1</v>
      </c>
      <c r="X1156" s="80">
        <f>V1156+X1154</f>
        <v>1942</v>
      </c>
      <c r="Y1156" s="82" t="s">
        <v>3592</v>
      </c>
      <c r="Z1156" s="24" t="s">
        <v>2884</v>
      </c>
    </row>
    <row r="1157" spans="1:37" ht="15.45" customHeight="1" x14ac:dyDescent="0.25">
      <c r="A1157" s="29" t="s">
        <v>3195</v>
      </c>
      <c r="B1157" s="24" t="s">
        <v>3196</v>
      </c>
      <c r="C1157" s="37" t="s">
        <v>1133</v>
      </c>
      <c r="E1157" s="37" t="s">
        <v>2926</v>
      </c>
      <c r="F1157" s="24" t="s">
        <v>5442</v>
      </c>
      <c r="H1157" s="38" t="s">
        <v>7165</v>
      </c>
      <c r="P1157" s="37" t="s">
        <v>124</v>
      </c>
      <c r="S1157" s="10" t="s">
        <v>2433</v>
      </c>
      <c r="U1157" s="22">
        <v>1</v>
      </c>
      <c r="V1157" s="22">
        <v>1</v>
      </c>
      <c r="W1157" s="73">
        <v>2</v>
      </c>
      <c r="X1157" s="80">
        <f>V1157+X1156</f>
        <v>1943</v>
      </c>
      <c r="Y1157" s="82" t="s">
        <v>3592</v>
      </c>
      <c r="Z1157" s="24" t="s">
        <v>2884</v>
      </c>
    </row>
    <row r="1158" spans="1:37" s="51" customFormat="1" ht="15.45" customHeight="1" x14ac:dyDescent="0.25">
      <c r="A1158" s="45" t="s">
        <v>1347</v>
      </c>
      <c r="B1158" s="50"/>
      <c r="C1158" s="49"/>
      <c r="D1158" s="49"/>
      <c r="E1158" s="49"/>
      <c r="F1158" s="50"/>
      <c r="G1158" s="50"/>
      <c r="H1158" s="46"/>
      <c r="I1158" s="109"/>
      <c r="J1158" s="212"/>
      <c r="K1158" s="56"/>
      <c r="L1158" s="100"/>
      <c r="M1158" s="100"/>
      <c r="N1158" s="49"/>
      <c r="O1158" s="49"/>
      <c r="P1158" s="49"/>
      <c r="Q1158" s="49"/>
      <c r="R1158" s="49"/>
      <c r="S1158" s="10" t="s">
        <v>2433</v>
      </c>
      <c r="T1158" s="47" t="s">
        <v>4038</v>
      </c>
      <c r="U1158" s="53"/>
      <c r="V1158" s="53"/>
      <c r="W1158" s="74"/>
      <c r="X1158" s="81"/>
      <c r="Y1158" s="132"/>
      <c r="Z1158" s="50"/>
      <c r="AA1158" s="173"/>
      <c r="AB1158" s="173"/>
      <c r="AC1158" s="137"/>
      <c r="AD1158" s="137"/>
      <c r="AE1158" s="83"/>
      <c r="AF1158" s="47"/>
      <c r="AG1158" s="47"/>
      <c r="AH1158" s="47"/>
      <c r="AI1158" s="47"/>
      <c r="AJ1158" s="47"/>
      <c r="AK1158" s="47"/>
    </row>
    <row r="1159" spans="1:37" ht="15.45" customHeight="1" x14ac:dyDescent="0.25">
      <c r="A1159" s="29" t="s">
        <v>3193</v>
      </c>
      <c r="B1159" s="24" t="s">
        <v>3194</v>
      </c>
      <c r="C1159" s="37" t="s">
        <v>840</v>
      </c>
      <c r="E1159" s="37" t="s">
        <v>2926</v>
      </c>
      <c r="F1159" s="24" t="s">
        <v>5442</v>
      </c>
      <c r="P1159" s="37" t="s">
        <v>212</v>
      </c>
      <c r="S1159" s="10" t="s">
        <v>2433</v>
      </c>
      <c r="U1159" s="22">
        <v>1</v>
      </c>
      <c r="V1159" s="22">
        <v>1</v>
      </c>
      <c r="W1159" s="73">
        <v>1</v>
      </c>
      <c r="X1159" s="80">
        <f>V1159+X1157</f>
        <v>1944</v>
      </c>
      <c r="Y1159" s="82" t="s">
        <v>3584</v>
      </c>
    </row>
    <row r="1160" spans="1:37" ht="15.45" customHeight="1" x14ac:dyDescent="0.25">
      <c r="A1160" s="29" t="s">
        <v>1403</v>
      </c>
      <c r="C1160" s="37" t="s">
        <v>840</v>
      </c>
      <c r="E1160" s="37" t="s">
        <v>2926</v>
      </c>
      <c r="F1160" s="24" t="s">
        <v>5442</v>
      </c>
      <c r="P1160" s="37" t="s">
        <v>212</v>
      </c>
      <c r="S1160" s="10" t="s">
        <v>2433</v>
      </c>
      <c r="U1160" s="22">
        <v>1</v>
      </c>
      <c r="V1160" s="22">
        <v>1</v>
      </c>
      <c r="W1160" s="73">
        <v>2</v>
      </c>
      <c r="X1160" s="80">
        <f>V1160+X1159</f>
        <v>1945</v>
      </c>
      <c r="Y1160" s="82" t="s">
        <v>3584</v>
      </c>
    </row>
    <row r="1161" spans="1:37" ht="15.45" customHeight="1" x14ac:dyDescent="0.25">
      <c r="A1161" s="29" t="s">
        <v>4356</v>
      </c>
      <c r="B1161" s="24" t="s">
        <v>4395</v>
      </c>
      <c r="C1161" s="37" t="s">
        <v>840</v>
      </c>
      <c r="E1161" s="37" t="s">
        <v>2926</v>
      </c>
      <c r="F1161" s="24" t="s">
        <v>5442</v>
      </c>
      <c r="H1161" s="38" t="s">
        <v>4357</v>
      </c>
      <c r="P1161" s="37" t="s">
        <v>1463</v>
      </c>
      <c r="S1161" s="10" t="s">
        <v>2433</v>
      </c>
      <c r="U1161" s="22">
        <v>1</v>
      </c>
      <c r="V1161" s="22">
        <v>5</v>
      </c>
      <c r="W1161" s="73">
        <v>7</v>
      </c>
      <c r="X1161" s="80">
        <f>V1161+X1160</f>
        <v>1950</v>
      </c>
      <c r="Y1161" s="82" t="s">
        <v>3592</v>
      </c>
      <c r="Z1161" s="24" t="s">
        <v>2884</v>
      </c>
    </row>
    <row r="1162" spans="1:37" ht="15.45" customHeight="1" x14ac:dyDescent="0.25">
      <c r="A1162" s="29" t="s">
        <v>4356</v>
      </c>
      <c r="B1162" s="24" t="s">
        <v>4395</v>
      </c>
      <c r="C1162" s="37" t="s">
        <v>840</v>
      </c>
      <c r="E1162" s="37" t="s">
        <v>2926</v>
      </c>
      <c r="F1162" s="24" t="s">
        <v>5442</v>
      </c>
      <c r="H1162" s="38" t="s">
        <v>4357</v>
      </c>
      <c r="P1162" s="37" t="s">
        <v>1463</v>
      </c>
      <c r="S1162" s="10" t="s">
        <v>2433</v>
      </c>
      <c r="U1162" s="22">
        <v>1</v>
      </c>
      <c r="V1162" s="22">
        <v>1</v>
      </c>
      <c r="W1162" s="73">
        <v>8</v>
      </c>
      <c r="X1162" s="80">
        <f>V1162+X1161</f>
        <v>1951</v>
      </c>
      <c r="Y1162" s="82" t="s">
        <v>3592</v>
      </c>
      <c r="Z1162" s="24" t="s">
        <v>2884</v>
      </c>
    </row>
    <row r="1163" spans="1:37" ht="15.45" customHeight="1" x14ac:dyDescent="0.25">
      <c r="A1163" s="29" t="s">
        <v>2099</v>
      </c>
      <c r="C1163" s="37" t="s">
        <v>840</v>
      </c>
      <c r="E1163" s="37" t="s">
        <v>2926</v>
      </c>
      <c r="F1163" s="24" t="s">
        <v>5442</v>
      </c>
      <c r="S1163" s="10" t="s">
        <v>2433</v>
      </c>
      <c r="U1163" s="22">
        <v>1</v>
      </c>
      <c r="V1163" s="22">
        <v>15</v>
      </c>
      <c r="W1163" s="73">
        <v>23</v>
      </c>
      <c r="X1163" s="80">
        <f>V1163+X1162</f>
        <v>1966</v>
      </c>
      <c r="Y1163" s="82" t="s">
        <v>3592</v>
      </c>
      <c r="Z1163" s="24" t="s">
        <v>2884</v>
      </c>
    </row>
    <row r="1164" spans="1:37" s="51" customFormat="1" ht="15.45" customHeight="1" x14ac:dyDescent="0.25">
      <c r="A1164" s="45" t="s">
        <v>4914</v>
      </c>
      <c r="B1164" s="50"/>
      <c r="C1164" s="49"/>
      <c r="D1164" s="49"/>
      <c r="E1164" s="49"/>
      <c r="F1164" s="50"/>
      <c r="G1164" s="50"/>
      <c r="H1164" s="46"/>
      <c r="I1164" s="109"/>
      <c r="J1164" s="212"/>
      <c r="K1164" s="56"/>
      <c r="L1164" s="100"/>
      <c r="M1164" s="100"/>
      <c r="N1164" s="49"/>
      <c r="O1164" s="49"/>
      <c r="P1164" s="49"/>
      <c r="Q1164" s="49"/>
      <c r="R1164" s="49"/>
      <c r="S1164" s="47"/>
      <c r="T1164" s="47"/>
      <c r="U1164" s="53"/>
      <c r="V1164" s="53"/>
      <c r="W1164" s="74"/>
      <c r="X1164" s="81"/>
      <c r="Y1164" s="132"/>
      <c r="Z1164" s="50"/>
      <c r="AA1164" s="173"/>
      <c r="AB1164" s="173"/>
      <c r="AC1164" s="137"/>
      <c r="AD1164" s="137"/>
      <c r="AE1164" s="83"/>
      <c r="AF1164" s="47"/>
      <c r="AG1164" s="47"/>
      <c r="AH1164" s="47"/>
      <c r="AI1164" s="47"/>
      <c r="AJ1164" s="47"/>
      <c r="AK1164" s="47"/>
    </row>
    <row r="1165" spans="1:37" s="51" customFormat="1" ht="15.45" customHeight="1" x14ac:dyDescent="0.25">
      <c r="A1165" s="45" t="s">
        <v>4492</v>
      </c>
      <c r="B1165" s="50"/>
      <c r="C1165" s="49"/>
      <c r="D1165" s="49"/>
      <c r="E1165" s="49"/>
      <c r="F1165" s="50"/>
      <c r="G1165" s="50"/>
      <c r="H1165" s="46"/>
      <c r="I1165" s="109"/>
      <c r="J1165" s="212"/>
      <c r="K1165" s="56"/>
      <c r="L1165" s="100"/>
      <c r="M1165" s="100"/>
      <c r="N1165" s="49"/>
      <c r="O1165" s="49"/>
      <c r="P1165" s="49"/>
      <c r="Q1165" s="49"/>
      <c r="R1165" s="49"/>
      <c r="S1165" s="47"/>
      <c r="T1165" s="47"/>
      <c r="U1165" s="53"/>
      <c r="V1165" s="53"/>
      <c r="W1165" s="74"/>
      <c r="X1165" s="81"/>
      <c r="Y1165" s="132"/>
      <c r="Z1165" s="50"/>
      <c r="AA1165" s="173"/>
      <c r="AB1165" s="173"/>
      <c r="AC1165" s="137"/>
      <c r="AD1165" s="137"/>
      <c r="AE1165" s="83"/>
      <c r="AF1165" s="47"/>
      <c r="AG1165" s="47"/>
      <c r="AH1165" s="47"/>
      <c r="AI1165" s="47"/>
      <c r="AJ1165" s="47"/>
      <c r="AK1165" s="47"/>
    </row>
    <row r="1166" spans="1:37" ht="15.45" customHeight="1" x14ac:dyDescent="0.25">
      <c r="A1166" s="29" t="s">
        <v>381</v>
      </c>
      <c r="B1166" s="24" t="s">
        <v>2111</v>
      </c>
      <c r="C1166" s="37" t="s">
        <v>1349</v>
      </c>
      <c r="E1166" s="37" t="s">
        <v>2832</v>
      </c>
      <c r="F1166" s="24" t="s">
        <v>5442</v>
      </c>
      <c r="P1166" s="37" t="s">
        <v>120</v>
      </c>
      <c r="S1166" s="10" t="s">
        <v>2491</v>
      </c>
      <c r="T1166" s="10" t="s">
        <v>2794</v>
      </c>
      <c r="U1166" s="21">
        <v>1</v>
      </c>
      <c r="V1166" s="21">
        <v>1</v>
      </c>
      <c r="W1166" s="73">
        <v>1</v>
      </c>
      <c r="X1166" s="80">
        <f>V1166+X1163</f>
        <v>1967</v>
      </c>
      <c r="Y1166" s="82" t="s">
        <v>3592</v>
      </c>
      <c r="Z1166" s="24" t="s">
        <v>2884</v>
      </c>
      <c r="AI1166" s="10" t="s">
        <v>2795</v>
      </c>
    </row>
    <row r="1167" spans="1:37" ht="15.45" customHeight="1" x14ac:dyDescent="0.25">
      <c r="A1167" s="29" t="s">
        <v>1470</v>
      </c>
      <c r="B1167" s="24" t="s">
        <v>2111</v>
      </c>
      <c r="C1167" s="37" t="s">
        <v>1349</v>
      </c>
      <c r="E1167" s="37" t="s">
        <v>2832</v>
      </c>
      <c r="F1167" s="24" t="s">
        <v>5442</v>
      </c>
      <c r="P1167" s="37" t="s">
        <v>1603</v>
      </c>
      <c r="S1167" s="10" t="s">
        <v>2433</v>
      </c>
      <c r="U1167" s="21">
        <v>1</v>
      </c>
      <c r="V1167" s="22">
        <v>1</v>
      </c>
      <c r="W1167" s="73">
        <f t="shared" ref="W1167:W1194" si="49">W1166+V1167</f>
        <v>2</v>
      </c>
      <c r="X1167" s="80">
        <f t="shared" ref="X1167:X1194" si="50">V1167+X1166</f>
        <v>1968</v>
      </c>
      <c r="Y1167" s="82" t="s">
        <v>3584</v>
      </c>
    </row>
    <row r="1168" spans="1:37" ht="15.45" customHeight="1" x14ac:dyDescent="0.25">
      <c r="A1168" s="29" t="s">
        <v>121</v>
      </c>
      <c r="B1168" s="24" t="s">
        <v>54</v>
      </c>
      <c r="C1168" s="37" t="s">
        <v>1349</v>
      </c>
      <c r="E1168" s="37" t="s">
        <v>2832</v>
      </c>
      <c r="F1168" s="24" t="s">
        <v>5442</v>
      </c>
      <c r="P1168" s="37" t="s">
        <v>1463</v>
      </c>
      <c r="S1168" s="10" t="s">
        <v>2433</v>
      </c>
      <c r="U1168" s="21">
        <v>1</v>
      </c>
      <c r="V1168" s="22">
        <v>1</v>
      </c>
      <c r="W1168" s="73">
        <f t="shared" si="49"/>
        <v>3</v>
      </c>
      <c r="X1168" s="80">
        <f t="shared" si="50"/>
        <v>1969</v>
      </c>
      <c r="Y1168" s="82" t="s">
        <v>3592</v>
      </c>
      <c r="Z1168" s="24" t="s">
        <v>2884</v>
      </c>
    </row>
    <row r="1169" spans="1:29" ht="15.45" customHeight="1" x14ac:dyDescent="0.25">
      <c r="A1169" s="29" t="s">
        <v>1134</v>
      </c>
      <c r="B1169" s="24" t="s">
        <v>4493</v>
      </c>
      <c r="C1169" s="37" t="s">
        <v>1349</v>
      </c>
      <c r="E1169" s="37" t="s">
        <v>2832</v>
      </c>
      <c r="F1169" s="24" t="s">
        <v>5442</v>
      </c>
      <c r="P1169" s="37" t="s">
        <v>2076</v>
      </c>
      <c r="S1169" s="10" t="s">
        <v>2433</v>
      </c>
      <c r="U1169" s="21">
        <v>1</v>
      </c>
      <c r="V1169" s="22">
        <v>1</v>
      </c>
      <c r="W1169" s="73">
        <f t="shared" si="49"/>
        <v>4</v>
      </c>
      <c r="X1169" s="80">
        <f t="shared" si="50"/>
        <v>1970</v>
      </c>
      <c r="Y1169" s="82" t="s">
        <v>3592</v>
      </c>
      <c r="Z1169" s="24" t="s">
        <v>2884</v>
      </c>
    </row>
    <row r="1170" spans="1:29" ht="15.45" customHeight="1" x14ac:dyDescent="0.25">
      <c r="A1170" s="29" t="s">
        <v>5152</v>
      </c>
      <c r="B1170" s="24" t="s">
        <v>4493</v>
      </c>
      <c r="C1170" s="37" t="s">
        <v>1349</v>
      </c>
      <c r="E1170" s="37" t="s">
        <v>2832</v>
      </c>
      <c r="F1170" s="24" t="s">
        <v>5442</v>
      </c>
      <c r="H1170" s="38" t="s">
        <v>5153</v>
      </c>
      <c r="J1170" s="214" t="s">
        <v>5113</v>
      </c>
      <c r="K1170" s="10" t="s">
        <v>4042</v>
      </c>
      <c r="P1170" s="37" t="s">
        <v>1603</v>
      </c>
      <c r="S1170" s="10" t="s">
        <v>2433</v>
      </c>
      <c r="U1170" s="21">
        <v>1</v>
      </c>
      <c r="V1170" s="22">
        <v>1</v>
      </c>
      <c r="W1170" s="73">
        <f t="shared" si="49"/>
        <v>5</v>
      </c>
      <c r="X1170" s="80">
        <f t="shared" si="50"/>
        <v>1971</v>
      </c>
      <c r="Y1170" s="82" t="s">
        <v>3584</v>
      </c>
    </row>
    <row r="1171" spans="1:29" ht="15" customHeight="1" x14ac:dyDescent="0.25">
      <c r="A1171" s="29" t="s">
        <v>1585</v>
      </c>
      <c r="B1171" s="24" t="s">
        <v>55</v>
      </c>
      <c r="C1171" s="37" t="s">
        <v>1349</v>
      </c>
      <c r="E1171" s="37" t="s">
        <v>2832</v>
      </c>
      <c r="F1171" s="24" t="s">
        <v>5442</v>
      </c>
      <c r="H1171" s="38" t="s">
        <v>2797</v>
      </c>
      <c r="P1171" s="37" t="s">
        <v>1603</v>
      </c>
      <c r="S1171" s="10" t="s">
        <v>2433</v>
      </c>
      <c r="U1171" s="21">
        <v>1</v>
      </c>
      <c r="V1171" s="22">
        <v>1</v>
      </c>
      <c r="W1171" s="73">
        <f t="shared" si="49"/>
        <v>6</v>
      </c>
      <c r="X1171" s="80">
        <f t="shared" si="50"/>
        <v>1972</v>
      </c>
      <c r="Y1171" s="82" t="s">
        <v>3584</v>
      </c>
    </row>
    <row r="1172" spans="1:29" ht="15" customHeight="1" x14ac:dyDescent="0.25">
      <c r="A1172" s="29" t="s">
        <v>1585</v>
      </c>
      <c r="B1172" s="24" t="s">
        <v>55</v>
      </c>
      <c r="C1172" s="37" t="s">
        <v>1349</v>
      </c>
      <c r="E1172" s="37" t="s">
        <v>2832</v>
      </c>
      <c r="F1172" s="24" t="s">
        <v>5442</v>
      </c>
      <c r="H1172" s="38" t="s">
        <v>6408</v>
      </c>
      <c r="J1172" s="214" t="s">
        <v>5286</v>
      </c>
      <c r="P1172" s="37" t="s">
        <v>1603</v>
      </c>
      <c r="S1172" s="10" t="s">
        <v>2512</v>
      </c>
      <c r="T1172" s="10" t="s">
        <v>2796</v>
      </c>
      <c r="U1172" s="21">
        <v>1</v>
      </c>
      <c r="V1172" s="22">
        <v>1</v>
      </c>
      <c r="W1172" s="73">
        <f t="shared" si="49"/>
        <v>7</v>
      </c>
      <c r="X1172" s="80">
        <f t="shared" si="50"/>
        <v>1973</v>
      </c>
      <c r="Y1172" s="82" t="s">
        <v>3591</v>
      </c>
      <c r="Z1172" s="24" t="s">
        <v>2885</v>
      </c>
      <c r="AB1172" s="177">
        <v>43160</v>
      </c>
      <c r="AC1172" s="84" t="s">
        <v>2885</v>
      </c>
    </row>
    <row r="1173" spans="1:29" ht="15" customHeight="1" x14ac:dyDescent="0.25">
      <c r="A1173" s="29" t="s">
        <v>4410</v>
      </c>
      <c r="B1173" s="24" t="s">
        <v>4411</v>
      </c>
      <c r="C1173" s="37" t="s">
        <v>1349</v>
      </c>
      <c r="E1173" s="37" t="s">
        <v>2832</v>
      </c>
      <c r="F1173" s="24" t="s">
        <v>5442</v>
      </c>
      <c r="J1173" s="214" t="s">
        <v>3407</v>
      </c>
      <c r="P1173" s="37" t="s">
        <v>1463</v>
      </c>
      <c r="S1173" s="10" t="s">
        <v>2983</v>
      </c>
      <c r="T1173" s="10" t="s">
        <v>4413</v>
      </c>
      <c r="U1173" s="21">
        <v>1</v>
      </c>
      <c r="V1173" s="22">
        <v>2</v>
      </c>
      <c r="W1173" s="73">
        <f t="shared" si="49"/>
        <v>9</v>
      </c>
      <c r="X1173" s="80">
        <f t="shared" si="50"/>
        <v>1975</v>
      </c>
      <c r="Y1173" s="82" t="s">
        <v>3591</v>
      </c>
      <c r="Z1173" s="24" t="s">
        <v>2553</v>
      </c>
      <c r="AB1173" s="177">
        <v>43431</v>
      </c>
      <c r="AC1173" s="84" t="s">
        <v>2885</v>
      </c>
    </row>
    <row r="1174" spans="1:29" ht="15" customHeight="1" x14ac:dyDescent="0.25">
      <c r="A1174" s="29" t="s">
        <v>4410</v>
      </c>
      <c r="B1174" s="24" t="s">
        <v>4411</v>
      </c>
      <c r="C1174" s="37" t="s">
        <v>1349</v>
      </c>
      <c r="E1174" s="37" t="s">
        <v>2832</v>
      </c>
      <c r="F1174" s="24" t="s">
        <v>5442</v>
      </c>
      <c r="H1174" s="38" t="s">
        <v>4412</v>
      </c>
      <c r="J1174" s="214" t="s">
        <v>3407</v>
      </c>
      <c r="P1174" s="37" t="s">
        <v>1463</v>
      </c>
      <c r="S1174" s="10" t="s">
        <v>2983</v>
      </c>
      <c r="T1174" s="10" t="s">
        <v>4413</v>
      </c>
      <c r="U1174" s="21">
        <v>1</v>
      </c>
      <c r="V1174" s="22">
        <v>1</v>
      </c>
      <c r="W1174" s="73">
        <f t="shared" si="49"/>
        <v>10</v>
      </c>
      <c r="X1174" s="80">
        <f t="shared" si="50"/>
        <v>1976</v>
      </c>
      <c r="Y1174" s="82" t="s">
        <v>3591</v>
      </c>
      <c r="Z1174" s="24" t="s">
        <v>2553</v>
      </c>
      <c r="AB1174" s="177">
        <v>43431</v>
      </c>
      <c r="AC1174" s="84" t="s">
        <v>2885</v>
      </c>
    </row>
    <row r="1175" spans="1:29" ht="15" customHeight="1" x14ac:dyDescent="0.25">
      <c r="A1175" s="29" t="s">
        <v>4414</v>
      </c>
      <c r="B1175" s="24" t="s">
        <v>4415</v>
      </c>
      <c r="C1175" s="37" t="s">
        <v>1349</v>
      </c>
      <c r="E1175" s="37" t="s">
        <v>2832</v>
      </c>
      <c r="F1175" s="24" t="s">
        <v>5442</v>
      </c>
      <c r="J1175" s="214" t="s">
        <v>3407</v>
      </c>
      <c r="P1175" s="37" t="s">
        <v>1463</v>
      </c>
      <c r="S1175" s="10" t="s">
        <v>2983</v>
      </c>
      <c r="U1175" s="21">
        <v>1</v>
      </c>
      <c r="V1175" s="22">
        <v>2</v>
      </c>
      <c r="W1175" s="73">
        <f t="shared" si="49"/>
        <v>12</v>
      </c>
      <c r="X1175" s="80">
        <f t="shared" si="50"/>
        <v>1978</v>
      </c>
      <c r="Y1175" s="82" t="s">
        <v>3591</v>
      </c>
      <c r="Z1175" s="24" t="s">
        <v>2553</v>
      </c>
      <c r="AB1175" s="177">
        <v>43432</v>
      </c>
      <c r="AC1175" s="84" t="s">
        <v>2885</v>
      </c>
    </row>
    <row r="1176" spans="1:29" ht="15" customHeight="1" x14ac:dyDescent="0.25">
      <c r="A1176" s="29" t="s">
        <v>4414</v>
      </c>
      <c r="B1176" s="24" t="s">
        <v>4415</v>
      </c>
      <c r="C1176" s="37" t="s">
        <v>1349</v>
      </c>
      <c r="E1176" s="37" t="s">
        <v>2832</v>
      </c>
      <c r="F1176" s="24" t="s">
        <v>5442</v>
      </c>
      <c r="H1176" s="38" t="s">
        <v>4416</v>
      </c>
      <c r="J1176" s="214" t="s">
        <v>3407</v>
      </c>
      <c r="P1176" s="37" t="s">
        <v>1463</v>
      </c>
      <c r="S1176" s="10" t="s">
        <v>2983</v>
      </c>
      <c r="U1176" s="21">
        <v>1</v>
      </c>
      <c r="V1176" s="22">
        <v>1</v>
      </c>
      <c r="W1176" s="73">
        <f t="shared" si="49"/>
        <v>13</v>
      </c>
      <c r="X1176" s="80">
        <f t="shared" si="50"/>
        <v>1979</v>
      </c>
      <c r="Y1176" s="82" t="s">
        <v>3591</v>
      </c>
      <c r="Z1176" s="24" t="s">
        <v>2553</v>
      </c>
      <c r="AB1176" s="177">
        <v>43432</v>
      </c>
      <c r="AC1176" s="84" t="s">
        <v>2885</v>
      </c>
    </row>
    <row r="1177" spans="1:29" ht="15" customHeight="1" x14ac:dyDescent="0.25">
      <c r="A1177" s="29" t="s">
        <v>1134</v>
      </c>
      <c r="B1177" s="24" t="s">
        <v>4408</v>
      </c>
      <c r="C1177" s="37" t="s">
        <v>1349</v>
      </c>
      <c r="E1177" s="37" t="s">
        <v>2832</v>
      </c>
      <c r="F1177" s="24" t="s">
        <v>5442</v>
      </c>
      <c r="J1177" s="214" t="s">
        <v>3407</v>
      </c>
      <c r="P1177" s="37" t="s">
        <v>1463</v>
      </c>
      <c r="S1177" s="10" t="s">
        <v>3412</v>
      </c>
      <c r="T1177" s="10" t="s">
        <v>4409</v>
      </c>
      <c r="U1177" s="21">
        <v>1</v>
      </c>
      <c r="V1177" s="22">
        <v>1</v>
      </c>
      <c r="W1177" s="73">
        <f t="shared" si="49"/>
        <v>14</v>
      </c>
      <c r="X1177" s="80">
        <f t="shared" si="50"/>
        <v>1980</v>
      </c>
      <c r="Y1177" s="82" t="s">
        <v>3591</v>
      </c>
      <c r="Z1177" s="24" t="s">
        <v>2553</v>
      </c>
      <c r="AB1177" s="177">
        <v>43431</v>
      </c>
      <c r="AC1177" s="84" t="s">
        <v>2885</v>
      </c>
    </row>
    <row r="1178" spans="1:29" ht="15.45" customHeight="1" x14ac:dyDescent="0.25">
      <c r="A1178" s="29" t="s">
        <v>1469</v>
      </c>
      <c r="B1178" s="24" t="s">
        <v>4494</v>
      </c>
      <c r="C1178" s="37" t="s">
        <v>1349</v>
      </c>
      <c r="E1178" s="37" t="s">
        <v>2832</v>
      </c>
      <c r="F1178" s="24" t="s">
        <v>5442</v>
      </c>
      <c r="P1178" s="37" t="s">
        <v>1737</v>
      </c>
      <c r="S1178" s="10" t="s">
        <v>2433</v>
      </c>
      <c r="U1178" s="21">
        <v>1</v>
      </c>
      <c r="V1178" s="22">
        <v>1</v>
      </c>
      <c r="W1178" s="73">
        <f t="shared" si="49"/>
        <v>15</v>
      </c>
      <c r="X1178" s="80">
        <f t="shared" si="50"/>
        <v>1981</v>
      </c>
      <c r="Y1178" s="82" t="s">
        <v>3584</v>
      </c>
    </row>
    <row r="1179" spans="1:29" ht="15.45" customHeight="1" x14ac:dyDescent="0.25">
      <c r="A1179" s="29" t="s">
        <v>1249</v>
      </c>
      <c r="B1179" s="24" t="s">
        <v>4495</v>
      </c>
      <c r="C1179" s="37" t="s">
        <v>1349</v>
      </c>
      <c r="E1179" s="37" t="s">
        <v>2832</v>
      </c>
      <c r="F1179" s="24" t="s">
        <v>5442</v>
      </c>
      <c r="P1179" s="37" t="s">
        <v>1737</v>
      </c>
      <c r="S1179" s="10" t="s">
        <v>2433</v>
      </c>
      <c r="U1179" s="21">
        <v>1</v>
      </c>
      <c r="V1179" s="22">
        <v>1</v>
      </c>
      <c r="W1179" s="73">
        <f t="shared" si="49"/>
        <v>16</v>
      </c>
      <c r="X1179" s="80">
        <f t="shared" si="50"/>
        <v>1982</v>
      </c>
      <c r="Y1179" s="82" t="s">
        <v>3584</v>
      </c>
    </row>
    <row r="1180" spans="1:29" ht="15.45" customHeight="1" x14ac:dyDescent="0.25">
      <c r="A1180" s="29" t="s">
        <v>1116</v>
      </c>
      <c r="B1180" s="24" t="s">
        <v>341</v>
      </c>
      <c r="C1180" s="37" t="s">
        <v>1349</v>
      </c>
      <c r="E1180" s="37" t="s">
        <v>2832</v>
      </c>
      <c r="F1180" s="24" t="s">
        <v>5442</v>
      </c>
      <c r="P1180" s="37" t="s">
        <v>1603</v>
      </c>
      <c r="S1180" s="10" t="s">
        <v>2433</v>
      </c>
      <c r="U1180" s="21">
        <v>1</v>
      </c>
      <c r="V1180" s="22">
        <v>1</v>
      </c>
      <c r="W1180" s="73">
        <f t="shared" si="49"/>
        <v>17</v>
      </c>
      <c r="X1180" s="80">
        <f t="shared" si="50"/>
        <v>1983</v>
      </c>
      <c r="Y1180" s="82" t="s">
        <v>3584</v>
      </c>
    </row>
    <row r="1181" spans="1:29" ht="15.45" customHeight="1" x14ac:dyDescent="0.25">
      <c r="A1181" s="29" t="s">
        <v>4602</v>
      </c>
      <c r="B1181" s="24" t="s">
        <v>4603</v>
      </c>
      <c r="C1181" s="37" t="s">
        <v>1349</v>
      </c>
      <c r="E1181" s="37" t="s">
        <v>2832</v>
      </c>
      <c r="F1181" s="24" t="s">
        <v>5442</v>
      </c>
      <c r="H1181" s="38" t="s">
        <v>2744</v>
      </c>
      <c r="P1181" s="37" t="s">
        <v>1603</v>
      </c>
      <c r="S1181" s="10" t="s">
        <v>2433</v>
      </c>
      <c r="U1181" s="21">
        <v>1</v>
      </c>
      <c r="V1181" s="22">
        <v>3</v>
      </c>
      <c r="W1181" s="73">
        <f t="shared" si="49"/>
        <v>20</v>
      </c>
      <c r="X1181" s="80">
        <f t="shared" si="50"/>
        <v>1986</v>
      </c>
      <c r="Y1181" s="82" t="s">
        <v>3592</v>
      </c>
      <c r="Z1181" s="24" t="s">
        <v>2884</v>
      </c>
    </row>
    <row r="1182" spans="1:29" ht="15.45" customHeight="1" x14ac:dyDescent="0.25">
      <c r="A1182" s="29" t="s">
        <v>4602</v>
      </c>
      <c r="B1182" s="24" t="s">
        <v>4603</v>
      </c>
      <c r="C1182" s="37" t="s">
        <v>1349</v>
      </c>
      <c r="E1182" s="37" t="s">
        <v>2832</v>
      </c>
      <c r="F1182" s="24" t="s">
        <v>5442</v>
      </c>
      <c r="H1182" s="38" t="s">
        <v>6019</v>
      </c>
      <c r="J1182" s="214" t="s">
        <v>5796</v>
      </c>
      <c r="P1182" s="37" t="s">
        <v>1603</v>
      </c>
      <c r="S1182" s="10" t="s">
        <v>3412</v>
      </c>
      <c r="U1182" s="21">
        <v>1</v>
      </c>
      <c r="V1182" s="22">
        <v>3</v>
      </c>
      <c r="W1182" s="73">
        <f t="shared" si="49"/>
        <v>23</v>
      </c>
      <c r="X1182" s="80">
        <f t="shared" si="50"/>
        <v>1989</v>
      </c>
      <c r="Y1182" s="82" t="s">
        <v>3591</v>
      </c>
      <c r="Z1182" s="24" t="s">
        <v>2885</v>
      </c>
      <c r="AB1182" s="177">
        <v>43496</v>
      </c>
      <c r="AC1182" s="84" t="s">
        <v>2885</v>
      </c>
    </row>
    <row r="1183" spans="1:29" ht="15.45" customHeight="1" x14ac:dyDescent="0.25">
      <c r="A1183" s="29" t="s">
        <v>4600</v>
      </c>
      <c r="B1183" s="24" t="s">
        <v>341</v>
      </c>
      <c r="C1183" s="37" t="s">
        <v>1349</v>
      </c>
      <c r="E1183" s="37" t="s">
        <v>2832</v>
      </c>
      <c r="F1183" s="24" t="s">
        <v>5442</v>
      </c>
      <c r="H1183" s="38" t="s">
        <v>4599</v>
      </c>
      <c r="J1183" s="214" t="s">
        <v>5796</v>
      </c>
      <c r="P1183" s="37" t="s">
        <v>1603</v>
      </c>
      <c r="S1183" s="10" t="s">
        <v>3412</v>
      </c>
      <c r="U1183" s="21">
        <v>1</v>
      </c>
      <c r="V1183" s="22">
        <v>1</v>
      </c>
      <c r="W1183" s="73">
        <f t="shared" si="49"/>
        <v>24</v>
      </c>
      <c r="X1183" s="80">
        <f t="shared" si="50"/>
        <v>1990</v>
      </c>
      <c r="Y1183" s="82" t="s">
        <v>3591</v>
      </c>
      <c r="Z1183" s="24" t="s">
        <v>2885</v>
      </c>
      <c r="AB1183" s="177">
        <v>43495</v>
      </c>
      <c r="AC1183" s="84" t="s">
        <v>2885</v>
      </c>
    </row>
    <row r="1184" spans="1:29" ht="15.45" customHeight="1" x14ac:dyDescent="0.25">
      <c r="A1184" s="29" t="s">
        <v>1119</v>
      </c>
      <c r="B1184" s="24" t="s">
        <v>544</v>
      </c>
      <c r="C1184" s="37" t="s">
        <v>1349</v>
      </c>
      <c r="E1184" s="37" t="s">
        <v>2832</v>
      </c>
      <c r="F1184" s="24" t="s">
        <v>5442</v>
      </c>
      <c r="P1184" s="37" t="s">
        <v>1603</v>
      </c>
      <c r="S1184" s="10" t="s">
        <v>2433</v>
      </c>
      <c r="U1184" s="21">
        <v>1</v>
      </c>
      <c r="V1184" s="22">
        <v>1</v>
      </c>
      <c r="W1184" s="73">
        <f t="shared" si="49"/>
        <v>25</v>
      </c>
      <c r="X1184" s="80">
        <f t="shared" si="50"/>
        <v>1991</v>
      </c>
      <c r="Y1184" s="82" t="s">
        <v>3584</v>
      </c>
    </row>
    <row r="1185" spans="1:37" ht="15.45" customHeight="1" x14ac:dyDescent="0.25">
      <c r="A1185" s="29" t="s">
        <v>1118</v>
      </c>
      <c r="B1185" s="24" t="s">
        <v>569</v>
      </c>
      <c r="C1185" s="37" t="s">
        <v>1349</v>
      </c>
      <c r="E1185" s="37" t="s">
        <v>2832</v>
      </c>
      <c r="F1185" s="24" t="s">
        <v>5442</v>
      </c>
      <c r="P1185" s="37" t="s">
        <v>215</v>
      </c>
      <c r="S1185" s="10" t="s">
        <v>2433</v>
      </c>
      <c r="U1185" s="21">
        <v>1</v>
      </c>
      <c r="V1185" s="22">
        <v>1</v>
      </c>
      <c r="W1185" s="73">
        <f t="shared" si="49"/>
        <v>26</v>
      </c>
      <c r="X1185" s="80">
        <f t="shared" si="50"/>
        <v>1992</v>
      </c>
      <c r="Y1185" s="82" t="s">
        <v>3584</v>
      </c>
    </row>
    <row r="1186" spans="1:37" ht="15.45" customHeight="1" x14ac:dyDescent="0.25">
      <c r="A1186" s="29" t="s">
        <v>4385</v>
      </c>
      <c r="B1186" s="24" t="s">
        <v>4386</v>
      </c>
      <c r="C1186" s="37" t="s">
        <v>1349</v>
      </c>
      <c r="E1186" s="37" t="s">
        <v>2832</v>
      </c>
      <c r="F1186" s="24" t="s">
        <v>5442</v>
      </c>
      <c r="P1186" s="37" t="s">
        <v>1463</v>
      </c>
      <c r="S1186" s="10" t="s">
        <v>3412</v>
      </c>
      <c r="U1186" s="21">
        <v>1</v>
      </c>
      <c r="V1186" s="22">
        <v>1</v>
      </c>
      <c r="W1186" s="73">
        <f t="shared" si="49"/>
        <v>27</v>
      </c>
      <c r="X1186" s="80">
        <f t="shared" si="50"/>
        <v>1993</v>
      </c>
      <c r="Y1186" s="82" t="s">
        <v>3591</v>
      </c>
      <c r="Z1186" s="24" t="s">
        <v>2553</v>
      </c>
      <c r="AB1186" s="177">
        <v>43419</v>
      </c>
      <c r="AC1186" s="84" t="s">
        <v>2885</v>
      </c>
    </row>
    <row r="1187" spans="1:37" ht="15.45" customHeight="1" x14ac:dyDescent="0.25">
      <c r="A1187" s="29" t="s">
        <v>1025</v>
      </c>
      <c r="C1187" s="37" t="s">
        <v>1349</v>
      </c>
      <c r="E1187" s="37" t="s">
        <v>2832</v>
      </c>
      <c r="F1187" s="24" t="s">
        <v>5442</v>
      </c>
      <c r="P1187" s="37" t="s">
        <v>1644</v>
      </c>
      <c r="S1187" s="10" t="s">
        <v>2433</v>
      </c>
      <c r="U1187" s="21">
        <v>1</v>
      </c>
      <c r="V1187" s="22">
        <v>1</v>
      </c>
      <c r="W1187" s="73">
        <f t="shared" si="49"/>
        <v>28</v>
      </c>
      <c r="X1187" s="80">
        <f t="shared" si="50"/>
        <v>1994</v>
      </c>
      <c r="Y1187" s="82" t="s">
        <v>3584</v>
      </c>
    </row>
    <row r="1188" spans="1:37" ht="15.45" customHeight="1" x14ac:dyDescent="0.25">
      <c r="A1188" s="29" t="s">
        <v>1373</v>
      </c>
      <c r="B1188" s="24" t="s">
        <v>570</v>
      </c>
      <c r="C1188" s="37" t="s">
        <v>1349</v>
      </c>
      <c r="E1188" s="37" t="s">
        <v>2832</v>
      </c>
      <c r="F1188" s="24" t="s">
        <v>5442</v>
      </c>
      <c r="P1188" s="37" t="s">
        <v>1603</v>
      </c>
      <c r="S1188" s="10" t="s">
        <v>2433</v>
      </c>
      <c r="U1188" s="21">
        <v>1</v>
      </c>
      <c r="V1188" s="22">
        <v>2</v>
      </c>
      <c r="W1188" s="73">
        <f t="shared" si="49"/>
        <v>30</v>
      </c>
      <c r="X1188" s="80">
        <f t="shared" si="50"/>
        <v>1996</v>
      </c>
      <c r="Y1188" s="82" t="s">
        <v>3592</v>
      </c>
      <c r="Z1188" s="24" t="s">
        <v>2884</v>
      </c>
    </row>
    <row r="1189" spans="1:37" ht="15.45" customHeight="1" x14ac:dyDescent="0.25">
      <c r="A1189" s="29" t="s">
        <v>1468</v>
      </c>
      <c r="B1189" s="24" t="s">
        <v>672</v>
      </c>
      <c r="C1189" s="37" t="s">
        <v>1349</v>
      </c>
      <c r="E1189" s="37" t="s">
        <v>2832</v>
      </c>
      <c r="F1189" s="24" t="s">
        <v>5442</v>
      </c>
      <c r="P1189" s="37" t="s">
        <v>1603</v>
      </c>
      <c r="S1189" s="10" t="s">
        <v>2433</v>
      </c>
      <c r="U1189" s="21">
        <v>1</v>
      </c>
      <c r="V1189" s="22">
        <v>2</v>
      </c>
      <c r="W1189" s="73">
        <f t="shared" si="49"/>
        <v>32</v>
      </c>
      <c r="X1189" s="80">
        <f t="shared" si="50"/>
        <v>1998</v>
      </c>
      <c r="Y1189" s="82" t="s">
        <v>3584</v>
      </c>
    </row>
    <row r="1190" spans="1:37" ht="15.45" customHeight="1" x14ac:dyDescent="0.25">
      <c r="A1190" s="29" t="s">
        <v>1382</v>
      </c>
      <c r="B1190" s="24" t="s">
        <v>771</v>
      </c>
      <c r="C1190" s="37" t="s">
        <v>1349</v>
      </c>
      <c r="E1190" s="37" t="s">
        <v>2832</v>
      </c>
      <c r="F1190" s="24" t="s">
        <v>5442</v>
      </c>
      <c r="P1190" s="37" t="s">
        <v>208</v>
      </c>
      <c r="S1190" s="10" t="s">
        <v>2433</v>
      </c>
      <c r="U1190" s="21">
        <v>1</v>
      </c>
      <c r="V1190" s="22">
        <v>1</v>
      </c>
      <c r="W1190" s="73">
        <f t="shared" si="49"/>
        <v>33</v>
      </c>
      <c r="X1190" s="80">
        <f t="shared" si="50"/>
        <v>1999</v>
      </c>
      <c r="Y1190" s="82" t="s">
        <v>3584</v>
      </c>
    </row>
    <row r="1191" spans="1:37" ht="16.5" customHeight="1" x14ac:dyDescent="0.25">
      <c r="A1191" s="29" t="s">
        <v>47</v>
      </c>
      <c r="B1191" s="24" t="s">
        <v>397</v>
      </c>
      <c r="C1191" s="37" t="s">
        <v>1349</v>
      </c>
      <c r="E1191" s="37" t="s">
        <v>2832</v>
      </c>
      <c r="F1191" s="24" t="s">
        <v>5442</v>
      </c>
      <c r="P1191" s="37" t="s">
        <v>1603</v>
      </c>
      <c r="S1191" s="10" t="s">
        <v>2433</v>
      </c>
      <c r="U1191" s="21">
        <v>1</v>
      </c>
      <c r="V1191" s="22">
        <v>2</v>
      </c>
      <c r="W1191" s="73">
        <f t="shared" si="49"/>
        <v>35</v>
      </c>
      <c r="X1191" s="80">
        <f t="shared" si="50"/>
        <v>2001</v>
      </c>
      <c r="Y1191" s="82" t="s">
        <v>3592</v>
      </c>
      <c r="Z1191" s="24" t="s">
        <v>2884</v>
      </c>
    </row>
    <row r="1192" spans="1:37" ht="16.5" customHeight="1" x14ac:dyDescent="0.25">
      <c r="A1192" s="29" t="s">
        <v>4510</v>
      </c>
      <c r="B1192" s="24" t="s">
        <v>2841</v>
      </c>
      <c r="C1192" s="37" t="s">
        <v>1349</v>
      </c>
      <c r="E1192" s="37" t="s">
        <v>2832</v>
      </c>
      <c r="F1192" s="24" t="s">
        <v>5442</v>
      </c>
      <c r="H1192" s="38" t="s">
        <v>4511</v>
      </c>
      <c r="J1192" s="214" t="s">
        <v>3407</v>
      </c>
      <c r="P1192" s="37" t="s">
        <v>4512</v>
      </c>
      <c r="S1192" s="10" t="s">
        <v>2983</v>
      </c>
      <c r="T1192" s="10" t="s">
        <v>4513</v>
      </c>
      <c r="U1192" s="21">
        <v>1</v>
      </c>
      <c r="V1192" s="22">
        <v>1</v>
      </c>
      <c r="W1192" s="73">
        <f t="shared" si="49"/>
        <v>36</v>
      </c>
      <c r="X1192" s="80">
        <f t="shared" si="50"/>
        <v>2002</v>
      </c>
      <c r="Y1192" s="82" t="s">
        <v>3591</v>
      </c>
      <c r="Z1192" s="24" t="s">
        <v>2553</v>
      </c>
      <c r="AB1192" s="177">
        <v>43454</v>
      </c>
      <c r="AC1192" s="84" t="s">
        <v>2885</v>
      </c>
    </row>
    <row r="1193" spans="1:37" ht="15.45" customHeight="1" x14ac:dyDescent="0.25">
      <c r="A1193" s="29" t="s">
        <v>1115</v>
      </c>
      <c r="C1193" s="37" t="s">
        <v>1349</v>
      </c>
      <c r="E1193" s="37" t="s">
        <v>2832</v>
      </c>
      <c r="F1193" s="24" t="s">
        <v>5442</v>
      </c>
      <c r="P1193" s="37" t="s">
        <v>1868</v>
      </c>
      <c r="S1193" s="10" t="s">
        <v>2433</v>
      </c>
      <c r="U1193" s="21">
        <v>1</v>
      </c>
      <c r="V1193" s="22">
        <v>1</v>
      </c>
      <c r="W1193" s="73">
        <f t="shared" si="49"/>
        <v>37</v>
      </c>
      <c r="X1193" s="80">
        <f t="shared" si="50"/>
        <v>2003</v>
      </c>
      <c r="Y1193" s="82" t="s">
        <v>3584</v>
      </c>
    </row>
    <row r="1194" spans="1:37" ht="15.45" customHeight="1" x14ac:dyDescent="0.25">
      <c r="A1194" s="29" t="s">
        <v>1374</v>
      </c>
      <c r="C1194" s="37" t="s">
        <v>1349</v>
      </c>
      <c r="E1194" s="37" t="s">
        <v>2832</v>
      </c>
      <c r="F1194" s="24" t="s">
        <v>5442</v>
      </c>
      <c r="P1194" s="37" t="s">
        <v>1737</v>
      </c>
      <c r="S1194" s="10" t="s">
        <v>2433</v>
      </c>
      <c r="U1194" s="21">
        <v>1</v>
      </c>
      <c r="V1194" s="22">
        <v>1</v>
      </c>
      <c r="W1194" s="73">
        <f t="shared" si="49"/>
        <v>38</v>
      </c>
      <c r="X1194" s="80">
        <f t="shared" si="50"/>
        <v>2004</v>
      </c>
      <c r="Y1194" s="82" t="s">
        <v>3584</v>
      </c>
    </row>
    <row r="1195" spans="1:37" s="51" customFormat="1" ht="15.45" customHeight="1" x14ac:dyDescent="0.25">
      <c r="A1195" s="45" t="s">
        <v>4491</v>
      </c>
      <c r="B1195" s="50"/>
      <c r="C1195" s="49"/>
      <c r="D1195" s="49"/>
      <c r="E1195" s="49"/>
      <c r="F1195" s="50"/>
      <c r="G1195" s="50"/>
      <c r="H1195" s="55"/>
      <c r="I1195" s="110"/>
      <c r="J1195" s="212"/>
      <c r="K1195" s="56"/>
      <c r="L1195" s="100"/>
      <c r="M1195" s="100"/>
      <c r="N1195" s="49"/>
      <c r="O1195" s="49"/>
      <c r="P1195" s="49"/>
      <c r="Q1195" s="49"/>
      <c r="R1195" s="49"/>
      <c r="S1195" s="56"/>
      <c r="T1195" s="56"/>
      <c r="U1195" s="53"/>
      <c r="V1195" s="48"/>
      <c r="W1195" s="74"/>
      <c r="X1195" s="81"/>
      <c r="Y1195" s="132"/>
      <c r="Z1195" s="50"/>
      <c r="AA1195" s="173"/>
      <c r="AB1195" s="173"/>
      <c r="AC1195" s="137"/>
      <c r="AD1195" s="137"/>
      <c r="AE1195" s="83"/>
      <c r="AF1195" s="56"/>
      <c r="AG1195" s="56"/>
      <c r="AH1195" s="56"/>
      <c r="AI1195" s="56"/>
      <c r="AJ1195" s="56"/>
      <c r="AK1195" s="56"/>
    </row>
    <row r="1196" spans="1:37" ht="15.45" customHeight="1" x14ac:dyDescent="0.25">
      <c r="A1196" s="29" t="s">
        <v>205</v>
      </c>
      <c r="B1196" s="24" t="s">
        <v>57</v>
      </c>
      <c r="C1196" s="37" t="s">
        <v>6926</v>
      </c>
      <c r="E1196" s="37" t="s">
        <v>2926</v>
      </c>
      <c r="F1196" s="24" t="s">
        <v>6930</v>
      </c>
      <c r="R1196" s="37" t="s">
        <v>3664</v>
      </c>
      <c r="S1196" s="10" t="s">
        <v>2433</v>
      </c>
      <c r="U1196" s="21">
        <v>1</v>
      </c>
      <c r="V1196" s="22">
        <v>1</v>
      </c>
      <c r="W1196" s="73">
        <v>1</v>
      </c>
      <c r="X1196" s="80">
        <f>V1196+X1194</f>
        <v>2005</v>
      </c>
      <c r="Y1196" s="82" t="s">
        <v>3584</v>
      </c>
    </row>
    <row r="1197" spans="1:37" ht="15.45" customHeight="1" x14ac:dyDescent="0.25">
      <c r="A1197" s="29" t="s">
        <v>6928</v>
      </c>
      <c r="B1197" s="24" t="s">
        <v>6929</v>
      </c>
      <c r="C1197" s="37" t="s">
        <v>6926</v>
      </c>
      <c r="E1197" s="37" t="s">
        <v>2926</v>
      </c>
      <c r="F1197" s="24" t="s">
        <v>6930</v>
      </c>
      <c r="H1197" s="38" t="s">
        <v>6931</v>
      </c>
      <c r="Q1197" s="37" t="s">
        <v>1810</v>
      </c>
      <c r="R1197" s="37" t="s">
        <v>2014</v>
      </c>
      <c r="S1197" s="10" t="s">
        <v>3436</v>
      </c>
      <c r="U1197" s="21">
        <v>1</v>
      </c>
      <c r="V1197" s="22">
        <v>1</v>
      </c>
      <c r="W1197" s="73">
        <f t="shared" ref="W1197" si="51">W1196+V1197</f>
        <v>2</v>
      </c>
      <c r="X1197" s="80">
        <f>V1197+X1196</f>
        <v>2006</v>
      </c>
      <c r="Y1197" s="82" t="s">
        <v>3591</v>
      </c>
      <c r="Z1197" s="24" t="s">
        <v>6909</v>
      </c>
      <c r="AB1197" s="177">
        <v>44711</v>
      </c>
      <c r="AC1197" s="84" t="s">
        <v>5308</v>
      </c>
    </row>
    <row r="1198" spans="1:37" s="51" customFormat="1" ht="15.45" customHeight="1" x14ac:dyDescent="0.25">
      <c r="A1198" s="45" t="s">
        <v>4490</v>
      </c>
      <c r="B1198" s="50"/>
      <c r="C1198" s="49"/>
      <c r="D1198" s="49"/>
      <c r="E1198" s="49"/>
      <c r="F1198" s="50"/>
      <c r="G1198" s="50"/>
      <c r="H1198" s="55"/>
      <c r="I1198" s="110"/>
      <c r="J1198" s="212"/>
      <c r="K1198" s="56"/>
      <c r="L1198" s="100"/>
      <c r="M1198" s="100"/>
      <c r="N1198" s="49"/>
      <c r="O1198" s="49"/>
      <c r="P1198" s="49"/>
      <c r="Q1198" s="49"/>
      <c r="R1198" s="49"/>
      <c r="S1198" s="56"/>
      <c r="T1198" s="56"/>
      <c r="U1198" s="53"/>
      <c r="V1198" s="48"/>
      <c r="W1198" s="74"/>
      <c r="X1198" s="81"/>
      <c r="Y1198" s="132"/>
      <c r="Z1198" s="50"/>
      <c r="AA1198" s="173"/>
      <c r="AB1198" s="173"/>
      <c r="AC1198" s="137"/>
      <c r="AD1198" s="137"/>
      <c r="AE1198" s="83"/>
      <c r="AF1198" s="56"/>
      <c r="AG1198" s="56"/>
      <c r="AH1198" s="56"/>
      <c r="AI1198" s="56"/>
      <c r="AJ1198" s="56"/>
      <c r="AK1198" s="56"/>
    </row>
    <row r="1199" spans="1:37" ht="15.45" customHeight="1" x14ac:dyDescent="0.25">
      <c r="A1199" s="29" t="s">
        <v>4362</v>
      </c>
      <c r="B1199" s="24" t="s">
        <v>56</v>
      </c>
      <c r="C1199" s="37" t="s">
        <v>6927</v>
      </c>
      <c r="E1199" s="37" t="s">
        <v>2926</v>
      </c>
      <c r="F1199" s="24" t="s">
        <v>5442</v>
      </c>
      <c r="P1199" s="37" t="s">
        <v>1463</v>
      </c>
      <c r="S1199" s="10" t="s">
        <v>3412</v>
      </c>
      <c r="U1199" s="21">
        <v>1</v>
      </c>
      <c r="V1199" s="22">
        <v>1</v>
      </c>
      <c r="W1199" s="73">
        <v>1</v>
      </c>
      <c r="X1199" s="80">
        <f>V1199+X1197</f>
        <v>2007</v>
      </c>
      <c r="Y1199" s="82" t="s">
        <v>3584</v>
      </c>
    </row>
    <row r="1200" spans="1:37" ht="15.45" customHeight="1" x14ac:dyDescent="0.25">
      <c r="A1200" s="29" t="s">
        <v>4363</v>
      </c>
      <c r="B1200" s="24" t="s">
        <v>56</v>
      </c>
      <c r="C1200" s="37" t="s">
        <v>6927</v>
      </c>
      <c r="E1200" s="37" t="s">
        <v>2926</v>
      </c>
      <c r="F1200" s="24" t="s">
        <v>5442</v>
      </c>
      <c r="P1200" s="37" t="s">
        <v>1463</v>
      </c>
      <c r="S1200" s="10" t="s">
        <v>3412</v>
      </c>
      <c r="U1200" s="21">
        <v>1</v>
      </c>
      <c r="V1200" s="22">
        <v>1</v>
      </c>
      <c r="W1200" s="73">
        <f>W1199+V1200</f>
        <v>2</v>
      </c>
      <c r="X1200" s="80">
        <f>V1200+X1199</f>
        <v>2008</v>
      </c>
      <c r="Y1200" s="82" t="s">
        <v>3584</v>
      </c>
    </row>
    <row r="1201" spans="1:273" ht="15.45" customHeight="1" x14ac:dyDescent="0.25">
      <c r="A1201" s="29" t="s">
        <v>46</v>
      </c>
      <c r="B1201" s="24" t="s">
        <v>56</v>
      </c>
      <c r="C1201" s="37" t="s">
        <v>6927</v>
      </c>
      <c r="E1201" s="37" t="s">
        <v>2926</v>
      </c>
      <c r="F1201" s="24" t="s">
        <v>5442</v>
      </c>
      <c r="P1201" s="37" t="s">
        <v>124</v>
      </c>
      <c r="S1201" s="10" t="s">
        <v>3412</v>
      </c>
      <c r="U1201" s="21">
        <v>1</v>
      </c>
      <c r="V1201" s="22">
        <v>1</v>
      </c>
      <c r="W1201" s="73">
        <f>W1200+V1201</f>
        <v>3</v>
      </c>
      <c r="X1201" s="80">
        <f>V1201+X1200</f>
        <v>2009</v>
      </c>
      <c r="Y1201" s="82" t="s">
        <v>3592</v>
      </c>
      <c r="Z1201" s="24" t="s">
        <v>2884</v>
      </c>
    </row>
    <row r="1202" spans="1:273" s="51" customFormat="1" ht="15.45" customHeight="1" x14ac:dyDescent="0.25">
      <c r="A1202" s="45" t="s">
        <v>4039</v>
      </c>
      <c r="B1202" s="50"/>
      <c r="C1202" s="49"/>
      <c r="D1202" s="49"/>
      <c r="E1202" s="49"/>
      <c r="F1202" s="50"/>
      <c r="G1202" s="50"/>
      <c r="H1202" s="55" t="s">
        <v>4076</v>
      </c>
      <c r="I1202" s="110"/>
      <c r="J1202" s="212"/>
      <c r="K1202" s="56"/>
      <c r="L1202" s="100"/>
      <c r="M1202" s="100"/>
      <c r="N1202" s="49"/>
      <c r="O1202" s="49"/>
      <c r="P1202" s="49"/>
      <c r="Q1202" s="49"/>
      <c r="R1202" s="49"/>
      <c r="S1202" s="56"/>
      <c r="T1202" s="56" t="s">
        <v>4040</v>
      </c>
      <c r="U1202" s="53"/>
      <c r="V1202" s="48"/>
      <c r="W1202" s="74"/>
      <c r="X1202" s="81"/>
      <c r="Y1202" s="132" t="s">
        <v>3584</v>
      </c>
      <c r="Z1202" s="50"/>
      <c r="AA1202" s="173"/>
      <c r="AB1202" s="173"/>
      <c r="AC1202" s="137"/>
      <c r="AD1202" s="137"/>
      <c r="AE1202" s="83"/>
      <c r="AF1202" s="56"/>
      <c r="AG1202" s="56"/>
      <c r="AH1202" s="56"/>
      <c r="AI1202" s="56"/>
      <c r="AJ1202" s="56"/>
      <c r="AK1202" s="56"/>
    </row>
    <row r="1203" spans="1:273" ht="15.45" customHeight="1" x14ac:dyDescent="0.25">
      <c r="A1203" s="160" t="s">
        <v>6379</v>
      </c>
      <c r="H1203" s="38" t="s">
        <v>6381</v>
      </c>
      <c r="J1203" s="214" t="s">
        <v>6380</v>
      </c>
      <c r="U1203" s="21">
        <v>1</v>
      </c>
      <c r="V1203" s="22">
        <v>50</v>
      </c>
      <c r="W1203" s="73">
        <f>W1202+V1203</f>
        <v>50</v>
      </c>
      <c r="X1203" s="80">
        <f>V1203+X1201</f>
        <v>2059</v>
      </c>
      <c r="Y1203" s="82" t="s">
        <v>3591</v>
      </c>
      <c r="Z1203" s="24" t="s">
        <v>6377</v>
      </c>
      <c r="AB1203" s="177">
        <v>44531</v>
      </c>
      <c r="AC1203" s="84" t="s">
        <v>5308</v>
      </c>
    </row>
    <row r="1204" spans="1:273" ht="15.45" customHeight="1" x14ac:dyDescent="0.25">
      <c r="A1204" s="29" t="s">
        <v>6911</v>
      </c>
      <c r="B1204" s="24" t="s">
        <v>6917</v>
      </c>
      <c r="C1204" s="37" t="s">
        <v>6908</v>
      </c>
      <c r="E1204" s="37" t="s">
        <v>2926</v>
      </c>
      <c r="F1204" s="24" t="s">
        <v>6912</v>
      </c>
      <c r="H1204" s="38" t="s">
        <v>6932</v>
      </c>
      <c r="Q1204" s="37" t="s">
        <v>1810</v>
      </c>
      <c r="R1204" s="37" t="s">
        <v>2014</v>
      </c>
      <c r="S1204" s="10" t="s">
        <v>3436</v>
      </c>
      <c r="U1204" s="21">
        <v>1</v>
      </c>
      <c r="V1204" s="22">
        <v>1</v>
      </c>
      <c r="W1204" s="73">
        <f t="shared" ref="W1204:W1210" si="52">W1203+V1204</f>
        <v>51</v>
      </c>
      <c r="X1204" s="80">
        <f>V1204+X1203</f>
        <v>2060</v>
      </c>
      <c r="Y1204" s="82" t="s">
        <v>3591</v>
      </c>
      <c r="Z1204" s="24" t="s">
        <v>6909</v>
      </c>
      <c r="AB1204" s="177">
        <v>44711</v>
      </c>
      <c r="AC1204" s="84" t="s">
        <v>5308</v>
      </c>
    </row>
    <row r="1205" spans="1:273" ht="15.45" customHeight="1" x14ac:dyDescent="0.25">
      <c r="A1205" s="29" t="s">
        <v>6913</v>
      </c>
      <c r="B1205" s="24" t="s">
        <v>6914</v>
      </c>
      <c r="C1205" s="37" t="s">
        <v>6908</v>
      </c>
      <c r="E1205" s="37" t="s">
        <v>2926</v>
      </c>
      <c r="F1205" s="24" t="s">
        <v>6912</v>
      </c>
      <c r="H1205" s="38" t="s">
        <v>6933</v>
      </c>
      <c r="Q1205" s="37" t="s">
        <v>1810</v>
      </c>
      <c r="R1205" s="37" t="s">
        <v>2014</v>
      </c>
      <c r="S1205" s="10" t="s">
        <v>3436</v>
      </c>
      <c r="U1205" s="21">
        <v>1</v>
      </c>
      <c r="V1205" s="22">
        <v>1</v>
      </c>
      <c r="W1205" s="73">
        <f t="shared" si="52"/>
        <v>52</v>
      </c>
      <c r="X1205" s="80">
        <f t="shared" ref="X1205:X1210" si="53">V1205+X1204</f>
        <v>2061</v>
      </c>
      <c r="Y1205" s="82" t="s">
        <v>3591</v>
      </c>
      <c r="Z1205" s="24" t="s">
        <v>6909</v>
      </c>
      <c r="AB1205" s="177">
        <v>44711</v>
      </c>
      <c r="AC1205" s="84" t="s">
        <v>5308</v>
      </c>
    </row>
    <row r="1206" spans="1:273" ht="15.45" customHeight="1" x14ac:dyDescent="0.25">
      <c r="A1206" s="29" t="s">
        <v>6915</v>
      </c>
      <c r="B1206" s="24" t="s">
        <v>6916</v>
      </c>
      <c r="C1206" s="37" t="s">
        <v>6908</v>
      </c>
      <c r="E1206" s="37" t="s">
        <v>2926</v>
      </c>
      <c r="F1206" s="24" t="s">
        <v>6912</v>
      </c>
      <c r="H1206" s="38" t="s">
        <v>6934</v>
      </c>
      <c r="Q1206" s="37" t="s">
        <v>1810</v>
      </c>
      <c r="R1206" s="37" t="s">
        <v>2014</v>
      </c>
      <c r="S1206" s="10" t="s">
        <v>3436</v>
      </c>
      <c r="U1206" s="21">
        <v>1</v>
      </c>
      <c r="V1206" s="22">
        <v>1</v>
      </c>
      <c r="W1206" s="73">
        <f t="shared" si="52"/>
        <v>53</v>
      </c>
      <c r="X1206" s="80">
        <f t="shared" si="53"/>
        <v>2062</v>
      </c>
      <c r="Y1206" s="82" t="s">
        <v>3591</v>
      </c>
      <c r="Z1206" s="24" t="s">
        <v>6909</v>
      </c>
      <c r="AB1206" s="177">
        <v>44711</v>
      </c>
      <c r="AC1206" s="84" t="s">
        <v>5308</v>
      </c>
    </row>
    <row r="1207" spans="1:273" ht="15.45" customHeight="1" x14ac:dyDescent="0.25">
      <c r="A1207" s="29" t="s">
        <v>6918</v>
      </c>
      <c r="B1207" s="24" t="s">
        <v>6919</v>
      </c>
      <c r="C1207" s="37" t="s">
        <v>6908</v>
      </c>
      <c r="E1207" s="37" t="s">
        <v>2926</v>
      </c>
      <c r="F1207" s="24" t="s">
        <v>6912</v>
      </c>
      <c r="H1207" s="38" t="s">
        <v>6935</v>
      </c>
      <c r="Q1207" s="37" t="s">
        <v>1810</v>
      </c>
      <c r="R1207" s="37" t="s">
        <v>2014</v>
      </c>
      <c r="S1207" s="10" t="s">
        <v>3436</v>
      </c>
      <c r="U1207" s="21">
        <v>1</v>
      </c>
      <c r="V1207" s="22">
        <v>1</v>
      </c>
      <c r="W1207" s="73">
        <f t="shared" si="52"/>
        <v>54</v>
      </c>
      <c r="X1207" s="80">
        <f t="shared" si="53"/>
        <v>2063</v>
      </c>
      <c r="Y1207" s="82" t="s">
        <v>3591</v>
      </c>
      <c r="Z1207" s="24" t="s">
        <v>6909</v>
      </c>
      <c r="AB1207" s="177">
        <v>44711</v>
      </c>
      <c r="AC1207" s="84" t="s">
        <v>5308</v>
      </c>
    </row>
    <row r="1208" spans="1:273" ht="15.45" customHeight="1" x14ac:dyDescent="0.25">
      <c r="A1208" s="29" t="s">
        <v>6920</v>
      </c>
      <c r="B1208" s="24" t="s">
        <v>6922</v>
      </c>
      <c r="C1208" s="37" t="s">
        <v>6908</v>
      </c>
      <c r="E1208" s="37" t="s">
        <v>2926</v>
      </c>
      <c r="F1208" s="24" t="s">
        <v>6912</v>
      </c>
      <c r="H1208" s="38" t="s">
        <v>6936</v>
      </c>
      <c r="Q1208" s="37" t="s">
        <v>1810</v>
      </c>
      <c r="R1208" s="37" t="s">
        <v>2014</v>
      </c>
      <c r="S1208" s="10" t="s">
        <v>3436</v>
      </c>
      <c r="U1208" s="21">
        <v>1</v>
      </c>
      <c r="V1208" s="22">
        <v>1</v>
      </c>
      <c r="W1208" s="73">
        <f t="shared" si="52"/>
        <v>55</v>
      </c>
      <c r="X1208" s="80">
        <f t="shared" si="53"/>
        <v>2064</v>
      </c>
      <c r="Y1208" s="82" t="s">
        <v>3591</v>
      </c>
      <c r="Z1208" s="24" t="s">
        <v>6909</v>
      </c>
      <c r="AB1208" s="177">
        <v>44711</v>
      </c>
      <c r="AC1208" s="84" t="s">
        <v>5308</v>
      </c>
    </row>
    <row r="1209" spans="1:273" ht="15.45" customHeight="1" x14ac:dyDescent="0.25">
      <c r="A1209" s="29" t="s">
        <v>6921</v>
      </c>
      <c r="B1209" s="24" t="s">
        <v>6923</v>
      </c>
      <c r="C1209" s="37" t="s">
        <v>6908</v>
      </c>
      <c r="E1209" s="37" t="s">
        <v>2926</v>
      </c>
      <c r="F1209" s="24" t="s">
        <v>6912</v>
      </c>
      <c r="H1209" s="38" t="s">
        <v>6937</v>
      </c>
      <c r="Q1209" s="37" t="s">
        <v>1810</v>
      </c>
      <c r="R1209" s="37" t="s">
        <v>2014</v>
      </c>
      <c r="S1209" s="10" t="s">
        <v>3436</v>
      </c>
      <c r="U1209" s="21">
        <v>1</v>
      </c>
      <c r="V1209" s="22">
        <v>1</v>
      </c>
      <c r="W1209" s="73">
        <f t="shared" si="52"/>
        <v>56</v>
      </c>
      <c r="X1209" s="80">
        <f t="shared" si="53"/>
        <v>2065</v>
      </c>
      <c r="Y1209" s="82" t="s">
        <v>3591</v>
      </c>
      <c r="Z1209" s="24" t="s">
        <v>6909</v>
      </c>
      <c r="AB1209" s="177">
        <v>44711</v>
      </c>
      <c r="AC1209" s="84" t="s">
        <v>5308</v>
      </c>
    </row>
    <row r="1210" spans="1:273" ht="15.45" customHeight="1" x14ac:dyDescent="0.25">
      <c r="A1210" s="29" t="s">
        <v>6924</v>
      </c>
      <c r="B1210" s="24" t="s">
        <v>6925</v>
      </c>
      <c r="C1210" s="37" t="s">
        <v>6908</v>
      </c>
      <c r="E1210" s="37" t="s">
        <v>2926</v>
      </c>
      <c r="F1210" s="24" t="s">
        <v>6912</v>
      </c>
      <c r="H1210" s="38" t="s">
        <v>6938</v>
      </c>
      <c r="Q1210" s="37" t="s">
        <v>1810</v>
      </c>
      <c r="R1210" s="37" t="s">
        <v>2014</v>
      </c>
      <c r="S1210" s="10" t="s">
        <v>3436</v>
      </c>
      <c r="U1210" s="21">
        <v>1</v>
      </c>
      <c r="V1210" s="22">
        <v>1</v>
      </c>
      <c r="W1210" s="73">
        <f t="shared" si="52"/>
        <v>57</v>
      </c>
      <c r="X1210" s="80">
        <f t="shared" si="53"/>
        <v>2066</v>
      </c>
      <c r="Y1210" s="82" t="s">
        <v>3591</v>
      </c>
      <c r="Z1210" s="24" t="s">
        <v>6909</v>
      </c>
      <c r="AB1210" s="177">
        <v>44711</v>
      </c>
      <c r="AC1210" s="84" t="s">
        <v>5308</v>
      </c>
    </row>
    <row r="1211" spans="1:273" s="51" customFormat="1" ht="15.45" customHeight="1" x14ac:dyDescent="0.3">
      <c r="A1211" s="45" t="s">
        <v>1362</v>
      </c>
      <c r="B1211" s="90"/>
      <c r="C1211" s="49"/>
      <c r="D1211" s="49"/>
      <c r="E1211" s="49"/>
      <c r="F1211" s="50"/>
      <c r="G1211" s="50"/>
      <c r="H1211" s="46"/>
      <c r="I1211" s="109"/>
      <c r="J1211" s="217"/>
      <c r="K1211" s="147"/>
      <c r="L1211" s="101"/>
      <c r="M1211" s="101"/>
      <c r="N1211" s="149"/>
      <c r="O1211" s="149"/>
      <c r="P1211" s="49"/>
      <c r="Q1211" s="49"/>
      <c r="R1211" s="49"/>
      <c r="S1211" s="47"/>
      <c r="T1211" s="47"/>
      <c r="U1211" s="48"/>
      <c r="V1211" s="48"/>
      <c r="W1211" s="74"/>
      <c r="X1211" s="81"/>
      <c r="Y1211" s="133"/>
      <c r="Z1211" s="134"/>
      <c r="AA1211" s="181"/>
      <c r="AB1211" s="181"/>
      <c r="AC1211" s="139"/>
      <c r="AD1211" s="139"/>
      <c r="AE1211" s="86"/>
      <c r="AF1211" s="47"/>
      <c r="AG1211" s="47"/>
      <c r="AH1211" s="47"/>
      <c r="AI1211" s="47"/>
      <c r="AJ1211" s="47"/>
      <c r="AK1211" s="47"/>
      <c r="AL1211" s="63"/>
      <c r="AM1211" s="63"/>
      <c r="AN1211" s="63"/>
      <c r="AO1211" s="63"/>
      <c r="AP1211" s="63"/>
      <c r="AQ1211" s="63"/>
      <c r="AR1211" s="63"/>
      <c r="AS1211" s="63"/>
      <c r="AT1211" s="63"/>
      <c r="AU1211" s="63"/>
      <c r="AV1211" s="63"/>
      <c r="AW1211" s="63"/>
      <c r="AX1211" s="63"/>
      <c r="AY1211" s="63"/>
      <c r="AZ1211" s="63"/>
      <c r="BA1211" s="63"/>
      <c r="BB1211" s="63"/>
      <c r="BC1211" s="63"/>
      <c r="BD1211" s="63"/>
      <c r="BE1211" s="63"/>
      <c r="BF1211" s="63"/>
      <c r="BG1211" s="63"/>
      <c r="BH1211" s="63"/>
      <c r="BI1211" s="63"/>
      <c r="BJ1211" s="63"/>
      <c r="BK1211" s="63"/>
      <c r="BL1211" s="63"/>
      <c r="BM1211" s="63"/>
      <c r="BN1211" s="63"/>
      <c r="BO1211" s="63"/>
      <c r="BP1211" s="63"/>
      <c r="BQ1211" s="63"/>
      <c r="BR1211" s="63"/>
      <c r="BS1211" s="63"/>
      <c r="BT1211" s="63"/>
      <c r="BU1211" s="63"/>
      <c r="BV1211" s="63"/>
      <c r="BW1211" s="63"/>
      <c r="BX1211" s="63"/>
      <c r="BY1211" s="63"/>
      <c r="BZ1211" s="63"/>
      <c r="CA1211" s="63"/>
      <c r="CB1211" s="63"/>
      <c r="CC1211" s="63"/>
      <c r="CD1211" s="63"/>
      <c r="CE1211" s="63"/>
      <c r="CF1211" s="63"/>
      <c r="CG1211" s="63"/>
      <c r="CH1211" s="63"/>
      <c r="CI1211" s="63"/>
      <c r="CJ1211" s="63"/>
      <c r="CK1211" s="63"/>
      <c r="CL1211" s="63"/>
      <c r="CM1211" s="63"/>
      <c r="CN1211" s="63"/>
      <c r="CO1211" s="63"/>
      <c r="CP1211" s="63"/>
      <c r="CQ1211" s="63"/>
      <c r="CR1211" s="63"/>
      <c r="CS1211" s="63"/>
      <c r="CT1211" s="63"/>
      <c r="CU1211" s="63"/>
      <c r="CV1211" s="63"/>
      <c r="CW1211" s="63"/>
      <c r="CX1211" s="63"/>
      <c r="CY1211" s="63"/>
      <c r="CZ1211" s="63"/>
      <c r="DA1211" s="63"/>
      <c r="DB1211" s="63"/>
      <c r="DC1211" s="63"/>
      <c r="DD1211" s="63"/>
      <c r="DE1211" s="63"/>
      <c r="DF1211" s="63"/>
      <c r="DG1211" s="63"/>
      <c r="DH1211" s="63"/>
      <c r="DI1211" s="63"/>
      <c r="DJ1211" s="63"/>
      <c r="DK1211" s="63"/>
      <c r="DL1211" s="63"/>
      <c r="DM1211" s="63"/>
      <c r="DN1211" s="63"/>
      <c r="DO1211" s="63"/>
      <c r="DP1211" s="63"/>
      <c r="DQ1211" s="63"/>
      <c r="DR1211" s="63"/>
      <c r="DS1211" s="63"/>
      <c r="DT1211" s="63"/>
      <c r="DU1211" s="63"/>
      <c r="DV1211" s="63"/>
      <c r="DW1211" s="63"/>
      <c r="DX1211" s="63"/>
      <c r="DY1211" s="63"/>
      <c r="DZ1211" s="63"/>
      <c r="EA1211" s="63"/>
      <c r="EB1211" s="63"/>
      <c r="EC1211" s="63"/>
      <c r="ED1211" s="63"/>
      <c r="EE1211" s="63"/>
      <c r="EF1211" s="63"/>
      <c r="EG1211" s="63"/>
      <c r="EH1211" s="63"/>
      <c r="EI1211" s="63"/>
      <c r="EJ1211" s="63"/>
      <c r="EK1211" s="63"/>
      <c r="EL1211" s="63"/>
      <c r="EM1211" s="63"/>
      <c r="EN1211" s="63"/>
      <c r="EO1211" s="63"/>
      <c r="EP1211" s="63"/>
      <c r="EQ1211" s="63"/>
      <c r="ER1211" s="63"/>
      <c r="ES1211" s="63"/>
      <c r="ET1211" s="63"/>
      <c r="EU1211" s="63"/>
      <c r="EV1211" s="63"/>
      <c r="EW1211" s="63"/>
      <c r="EX1211" s="63"/>
      <c r="EY1211" s="63"/>
      <c r="EZ1211" s="63"/>
      <c r="FA1211" s="63"/>
      <c r="FB1211" s="63"/>
      <c r="FC1211" s="63"/>
      <c r="FD1211" s="63"/>
      <c r="FE1211" s="63"/>
      <c r="FF1211" s="63"/>
      <c r="FG1211" s="63"/>
      <c r="FH1211" s="63"/>
      <c r="FI1211" s="63"/>
      <c r="FJ1211" s="63"/>
      <c r="FK1211" s="63"/>
      <c r="FL1211" s="63"/>
      <c r="FM1211" s="63"/>
      <c r="FN1211" s="63"/>
      <c r="FO1211" s="63"/>
      <c r="FP1211" s="63"/>
      <c r="FQ1211" s="63"/>
      <c r="FR1211" s="63"/>
      <c r="FS1211" s="63"/>
      <c r="FT1211" s="63"/>
      <c r="FU1211" s="63"/>
      <c r="FV1211" s="63"/>
      <c r="FW1211" s="63"/>
      <c r="FX1211" s="63"/>
      <c r="FY1211" s="63"/>
      <c r="FZ1211" s="63"/>
      <c r="GA1211" s="63"/>
      <c r="GB1211" s="63"/>
      <c r="GC1211" s="63"/>
      <c r="GD1211" s="63"/>
      <c r="GE1211" s="63"/>
      <c r="GF1211" s="63"/>
      <c r="GG1211" s="63"/>
      <c r="GH1211" s="63"/>
      <c r="GI1211" s="63"/>
      <c r="GJ1211" s="63"/>
      <c r="GK1211" s="63"/>
      <c r="GL1211" s="63"/>
      <c r="GM1211" s="63"/>
      <c r="GN1211" s="63"/>
      <c r="GO1211" s="63"/>
      <c r="GP1211" s="63"/>
      <c r="GQ1211" s="63"/>
      <c r="GR1211" s="63"/>
      <c r="GS1211" s="63"/>
      <c r="GT1211" s="63"/>
      <c r="GU1211" s="63"/>
      <c r="GV1211" s="63"/>
      <c r="GW1211" s="63"/>
      <c r="GX1211" s="63"/>
      <c r="GY1211" s="63"/>
      <c r="GZ1211" s="63"/>
      <c r="HA1211" s="63"/>
      <c r="HB1211" s="63"/>
      <c r="HC1211" s="63"/>
      <c r="HD1211" s="63"/>
      <c r="HE1211" s="63"/>
      <c r="HF1211" s="63"/>
      <c r="HG1211" s="63"/>
      <c r="HH1211" s="63"/>
      <c r="HI1211" s="63"/>
      <c r="HJ1211" s="63"/>
      <c r="HK1211" s="63"/>
      <c r="HL1211" s="63"/>
      <c r="HM1211" s="63"/>
      <c r="HN1211" s="63"/>
      <c r="HO1211" s="63"/>
      <c r="HP1211" s="63"/>
      <c r="HQ1211" s="63"/>
      <c r="HR1211" s="63"/>
      <c r="HS1211" s="63"/>
      <c r="HT1211" s="63"/>
      <c r="HU1211" s="63"/>
      <c r="HV1211" s="63"/>
      <c r="HW1211" s="63"/>
      <c r="HX1211" s="63"/>
      <c r="HY1211" s="63"/>
      <c r="HZ1211" s="63"/>
      <c r="IA1211" s="63"/>
      <c r="IB1211" s="63"/>
      <c r="IC1211" s="63"/>
      <c r="ID1211" s="63"/>
      <c r="IE1211" s="63"/>
      <c r="IF1211" s="63"/>
      <c r="IG1211" s="63"/>
      <c r="IH1211" s="63"/>
      <c r="II1211" s="63"/>
      <c r="IJ1211" s="63"/>
      <c r="IK1211" s="63"/>
      <c r="IL1211" s="63"/>
      <c r="IM1211" s="63"/>
      <c r="IN1211" s="63"/>
      <c r="IO1211" s="63"/>
      <c r="IP1211" s="63"/>
      <c r="IQ1211" s="63"/>
      <c r="IR1211" s="63"/>
      <c r="IS1211" s="63"/>
      <c r="IT1211" s="63"/>
      <c r="IU1211" s="63"/>
      <c r="IV1211" s="63"/>
      <c r="IW1211" s="63"/>
      <c r="IX1211" s="63"/>
      <c r="IY1211" s="63"/>
      <c r="IZ1211" s="63"/>
      <c r="JA1211" s="63"/>
      <c r="JB1211" s="63"/>
      <c r="JC1211" s="63"/>
      <c r="JD1211" s="63"/>
      <c r="JE1211" s="63"/>
      <c r="JF1211" s="63"/>
      <c r="JG1211" s="63"/>
      <c r="JH1211" s="63"/>
      <c r="JI1211" s="63"/>
      <c r="JJ1211" s="63"/>
      <c r="JK1211" s="63"/>
      <c r="JL1211" s="63"/>
      <c r="JM1211" s="63"/>
    </row>
    <row r="1212" spans="1:273" ht="15.45" customHeight="1" x14ac:dyDescent="0.25">
      <c r="A1212" s="29" t="s">
        <v>3158</v>
      </c>
      <c r="B1212" s="24" t="s">
        <v>3159</v>
      </c>
      <c r="C1212" s="37" t="s">
        <v>1348</v>
      </c>
      <c r="E1212" s="37" t="s">
        <v>2926</v>
      </c>
      <c r="F1212" s="24" t="s">
        <v>5442</v>
      </c>
      <c r="H1212" s="38" t="s">
        <v>6126</v>
      </c>
      <c r="P1212" s="37" t="s">
        <v>1936</v>
      </c>
      <c r="S1212" s="10" t="s">
        <v>3412</v>
      </c>
      <c r="U1212" s="21">
        <v>1</v>
      </c>
      <c r="V1212" s="21">
        <v>1</v>
      </c>
      <c r="W1212" s="73">
        <v>1</v>
      </c>
      <c r="X1212" s="80">
        <f>V1212+X1210</f>
        <v>2067</v>
      </c>
      <c r="Y1212" s="82" t="s">
        <v>3584</v>
      </c>
    </row>
    <row r="1213" spans="1:273" ht="15.45" customHeight="1" x14ac:dyDescent="0.25">
      <c r="A1213" s="29" t="s">
        <v>575</v>
      </c>
      <c r="B1213" s="24" t="s">
        <v>648</v>
      </c>
      <c r="C1213" s="37" t="s">
        <v>1348</v>
      </c>
      <c r="E1213" s="37" t="s">
        <v>2926</v>
      </c>
      <c r="F1213" s="24" t="s">
        <v>5442</v>
      </c>
      <c r="P1213" s="37" t="s">
        <v>1969</v>
      </c>
      <c r="S1213" s="10" t="s">
        <v>2983</v>
      </c>
      <c r="U1213" s="21">
        <v>1</v>
      </c>
      <c r="V1213" s="21">
        <v>1</v>
      </c>
      <c r="W1213" s="73">
        <f t="shared" ref="W1213:W1225" si="54">W1212+V1213</f>
        <v>2</v>
      </c>
      <c r="X1213" s="80">
        <f>V1213+X1212</f>
        <v>2068</v>
      </c>
      <c r="Y1213" s="82" t="s">
        <v>3584</v>
      </c>
    </row>
    <row r="1214" spans="1:273" ht="15.45" customHeight="1" x14ac:dyDescent="0.25">
      <c r="A1214" s="29" t="s">
        <v>6292</v>
      </c>
      <c r="B1214" s="24" t="s">
        <v>6294</v>
      </c>
      <c r="C1214" s="37" t="s">
        <v>1348</v>
      </c>
      <c r="E1214" s="37" t="s">
        <v>2926</v>
      </c>
      <c r="F1214" s="24" t="s">
        <v>5442</v>
      </c>
      <c r="H1214" s="38" t="s">
        <v>2791</v>
      </c>
      <c r="J1214" s="214" t="s">
        <v>3691</v>
      </c>
      <c r="K1214" s="10" t="s">
        <v>3717</v>
      </c>
      <c r="O1214" s="37" t="s">
        <v>1603</v>
      </c>
      <c r="S1214" s="10" t="s">
        <v>2983</v>
      </c>
      <c r="U1214" s="21">
        <v>1</v>
      </c>
      <c r="V1214" s="21">
        <v>1</v>
      </c>
      <c r="W1214" s="73">
        <f t="shared" si="54"/>
        <v>3</v>
      </c>
      <c r="X1214" s="80">
        <f t="shared" ref="X1214:X1225" si="55">V1214+X1213</f>
        <v>2069</v>
      </c>
      <c r="Y1214" s="82" t="s">
        <v>3584</v>
      </c>
    </row>
    <row r="1215" spans="1:273" ht="15.45" customHeight="1" x14ac:dyDescent="0.25">
      <c r="A1215" s="29" t="s">
        <v>6292</v>
      </c>
      <c r="B1215" s="24" t="s">
        <v>6294</v>
      </c>
      <c r="C1215" s="37" t="s">
        <v>1348</v>
      </c>
      <c r="E1215" s="37" t="s">
        <v>2926</v>
      </c>
      <c r="F1215" s="24" t="s">
        <v>5442</v>
      </c>
      <c r="H1215" s="38" t="s">
        <v>6293</v>
      </c>
      <c r="J1215" s="214" t="s">
        <v>5822</v>
      </c>
      <c r="O1215" s="37" t="s">
        <v>6295</v>
      </c>
      <c r="P1215" s="37" t="s">
        <v>51</v>
      </c>
      <c r="S1215" s="10" t="s">
        <v>2983</v>
      </c>
      <c r="U1215" s="21">
        <v>1</v>
      </c>
      <c r="V1215" s="21">
        <v>1</v>
      </c>
      <c r="W1215" s="73">
        <f t="shared" si="54"/>
        <v>4</v>
      </c>
      <c r="X1215" s="80">
        <f t="shared" si="55"/>
        <v>2070</v>
      </c>
      <c r="Y1215" s="82" t="s">
        <v>3591</v>
      </c>
      <c r="Z1215" s="24" t="s">
        <v>2885</v>
      </c>
      <c r="AB1215" s="177">
        <v>44511</v>
      </c>
      <c r="AC1215" s="84" t="s">
        <v>5308</v>
      </c>
    </row>
    <row r="1216" spans="1:273" ht="15.45" customHeight="1" x14ac:dyDescent="0.25">
      <c r="A1216" s="29" t="s">
        <v>6119</v>
      </c>
      <c r="B1216" s="24" t="s">
        <v>6120</v>
      </c>
      <c r="C1216" s="37" t="s">
        <v>1348</v>
      </c>
      <c r="E1216" s="37" t="s">
        <v>2926</v>
      </c>
      <c r="H1216" s="201" t="s">
        <v>6121</v>
      </c>
      <c r="J1216" s="214" t="s">
        <v>6122</v>
      </c>
      <c r="O1216" s="37" t="s">
        <v>6124</v>
      </c>
      <c r="Q1216" s="37" t="s">
        <v>6125</v>
      </c>
      <c r="S1216" s="10" t="s">
        <v>2983</v>
      </c>
      <c r="T1216" s="10" t="s">
        <v>6123</v>
      </c>
      <c r="U1216" s="21">
        <v>1</v>
      </c>
      <c r="V1216" s="22">
        <v>1</v>
      </c>
      <c r="W1216" s="73">
        <f t="shared" si="54"/>
        <v>5</v>
      </c>
      <c r="X1216" s="80">
        <f t="shared" si="55"/>
        <v>2071</v>
      </c>
      <c r="Y1216" s="82" t="s">
        <v>3591</v>
      </c>
      <c r="Z1216" s="24" t="s">
        <v>2885</v>
      </c>
      <c r="AB1216" s="177">
        <v>44479</v>
      </c>
      <c r="AC1216" s="84" t="s">
        <v>5308</v>
      </c>
    </row>
    <row r="1217" spans="1:273" ht="15.45" customHeight="1" x14ac:dyDescent="0.25">
      <c r="A1217" s="29" t="s">
        <v>6169</v>
      </c>
      <c r="B1217" s="24" t="s">
        <v>6170</v>
      </c>
      <c r="C1217" s="37" t="s">
        <v>1348</v>
      </c>
      <c r="E1217" s="37" t="s">
        <v>2926</v>
      </c>
      <c r="F1217" s="24" t="s">
        <v>5442</v>
      </c>
      <c r="H1217" s="201" t="s">
        <v>6171</v>
      </c>
      <c r="J1217" s="214" t="s">
        <v>6172</v>
      </c>
      <c r="O1217" s="37" t="s">
        <v>6295</v>
      </c>
      <c r="P1217" s="37" t="s">
        <v>51</v>
      </c>
      <c r="R1217" s="37" t="s">
        <v>1792</v>
      </c>
      <c r="S1217" s="10" t="s">
        <v>2980</v>
      </c>
      <c r="T1217" s="10" t="s">
        <v>6173</v>
      </c>
      <c r="U1217" s="21">
        <v>1</v>
      </c>
      <c r="V1217" s="21">
        <v>1</v>
      </c>
      <c r="W1217" s="73">
        <f t="shared" si="54"/>
        <v>6</v>
      </c>
      <c r="X1217" s="80">
        <f t="shared" si="55"/>
        <v>2072</v>
      </c>
      <c r="Y1217" s="82" t="s">
        <v>3591</v>
      </c>
      <c r="Z1217" s="24" t="s">
        <v>2885</v>
      </c>
      <c r="AB1217" s="177">
        <v>44479</v>
      </c>
      <c r="AC1217" s="84" t="s">
        <v>5308</v>
      </c>
    </row>
    <row r="1218" spans="1:273" ht="15.45" customHeight="1" x14ac:dyDescent="0.25">
      <c r="A1218" s="29" t="s">
        <v>817</v>
      </c>
      <c r="B1218" s="24" t="s">
        <v>7183</v>
      </c>
      <c r="C1218" s="37" t="s">
        <v>1348</v>
      </c>
      <c r="E1218" s="37" t="s">
        <v>2926</v>
      </c>
      <c r="F1218" s="24" t="s">
        <v>5442</v>
      </c>
      <c r="P1218" s="37" t="s">
        <v>1603</v>
      </c>
      <c r="S1218" s="10" t="s">
        <v>2983</v>
      </c>
      <c r="T1218" s="10" t="s">
        <v>7185</v>
      </c>
      <c r="U1218" s="21">
        <v>1</v>
      </c>
      <c r="V1218" s="21">
        <v>2</v>
      </c>
      <c r="W1218" s="73">
        <f t="shared" si="54"/>
        <v>8</v>
      </c>
      <c r="X1218" s="80">
        <f t="shared" si="55"/>
        <v>2074</v>
      </c>
      <c r="Y1218" s="82" t="s">
        <v>3584</v>
      </c>
    </row>
    <row r="1219" spans="1:273" ht="15.45" customHeight="1" x14ac:dyDescent="0.25">
      <c r="A1219" s="29" t="s">
        <v>817</v>
      </c>
      <c r="B1219" s="24" t="s">
        <v>7183</v>
      </c>
      <c r="C1219" s="37" t="s">
        <v>1348</v>
      </c>
      <c r="E1219" s="37" t="s">
        <v>2926</v>
      </c>
      <c r="F1219" s="24" t="s">
        <v>5442</v>
      </c>
      <c r="H1219" s="201" t="s">
        <v>7184</v>
      </c>
      <c r="J1219" s="214" t="s">
        <v>7179</v>
      </c>
      <c r="P1219" s="37" t="s">
        <v>1603</v>
      </c>
      <c r="S1219" s="10" t="s">
        <v>2983</v>
      </c>
      <c r="T1219" s="10" t="s">
        <v>7182</v>
      </c>
      <c r="U1219" s="21">
        <v>1</v>
      </c>
      <c r="V1219" s="21">
        <v>1</v>
      </c>
      <c r="W1219" s="73">
        <f t="shared" si="54"/>
        <v>9</v>
      </c>
      <c r="X1219" s="80">
        <f t="shared" si="55"/>
        <v>2075</v>
      </c>
      <c r="Y1219" s="82" t="s">
        <v>3591</v>
      </c>
      <c r="Z1219" s="24" t="s">
        <v>7180</v>
      </c>
      <c r="AA1219" s="177">
        <v>45083</v>
      </c>
      <c r="AB1219" s="177">
        <v>45084</v>
      </c>
      <c r="AC1219" s="84" t="s">
        <v>2885</v>
      </c>
    </row>
    <row r="1220" spans="1:273" ht="15.45" customHeight="1" x14ac:dyDescent="0.25">
      <c r="A1220" s="29" t="s">
        <v>5213</v>
      </c>
      <c r="B1220" s="24" t="s">
        <v>482</v>
      </c>
      <c r="C1220" s="37" t="s">
        <v>1348</v>
      </c>
      <c r="E1220" s="37" t="s">
        <v>2926</v>
      </c>
      <c r="F1220" s="24" t="s">
        <v>5442</v>
      </c>
      <c r="H1220"/>
      <c r="P1220" s="37" t="s">
        <v>1970</v>
      </c>
      <c r="S1220" s="10" t="s">
        <v>2983</v>
      </c>
      <c r="U1220" s="21">
        <v>1</v>
      </c>
      <c r="V1220" s="21">
        <v>1</v>
      </c>
      <c r="W1220" s="73">
        <f t="shared" si="54"/>
        <v>10</v>
      </c>
      <c r="X1220" s="80">
        <f t="shared" si="55"/>
        <v>2076</v>
      </c>
      <c r="Y1220" s="82" t="s">
        <v>3584</v>
      </c>
    </row>
    <row r="1221" spans="1:273" ht="15.45" customHeight="1" x14ac:dyDescent="0.25">
      <c r="A1221" s="29" t="s">
        <v>671</v>
      </c>
      <c r="B1221" s="24" t="s">
        <v>648</v>
      </c>
      <c r="C1221" s="37" t="s">
        <v>1348</v>
      </c>
      <c r="E1221" s="37" t="s">
        <v>2926</v>
      </c>
      <c r="F1221" s="24" t="s">
        <v>5442</v>
      </c>
      <c r="P1221" s="37" t="s">
        <v>1603</v>
      </c>
      <c r="S1221" s="10" t="s">
        <v>2983</v>
      </c>
      <c r="U1221" s="21">
        <v>1</v>
      </c>
      <c r="V1221" s="21">
        <v>1</v>
      </c>
      <c r="W1221" s="73">
        <f t="shared" si="54"/>
        <v>11</v>
      </c>
      <c r="X1221" s="80">
        <f t="shared" si="55"/>
        <v>2077</v>
      </c>
      <c r="Y1221" s="82" t="s">
        <v>3584</v>
      </c>
    </row>
    <row r="1222" spans="1:273" ht="15.45" customHeight="1" x14ac:dyDescent="0.25">
      <c r="A1222" s="29" t="s">
        <v>1028</v>
      </c>
      <c r="B1222" s="24" t="s">
        <v>7197</v>
      </c>
      <c r="C1222" s="37" t="s">
        <v>840</v>
      </c>
      <c r="E1222" s="37" t="s">
        <v>2926</v>
      </c>
      <c r="F1222" s="24" t="s">
        <v>5442</v>
      </c>
      <c r="H1222" s="233" t="s">
        <v>7198</v>
      </c>
      <c r="P1222" s="37" t="s">
        <v>212</v>
      </c>
      <c r="S1222" s="10" t="s">
        <v>2433</v>
      </c>
      <c r="U1222" s="22">
        <v>1</v>
      </c>
      <c r="V1222" s="22">
        <v>1</v>
      </c>
      <c r="W1222" s="73">
        <f t="shared" si="54"/>
        <v>12</v>
      </c>
      <c r="X1222" s="80">
        <f t="shared" si="55"/>
        <v>2078</v>
      </c>
      <c r="Y1222" s="82" t="s">
        <v>3584</v>
      </c>
    </row>
    <row r="1223" spans="1:273" ht="15.45" customHeight="1" x14ac:dyDescent="0.25">
      <c r="A1223" s="29" t="s">
        <v>929</v>
      </c>
      <c r="C1223" s="37" t="s">
        <v>1348</v>
      </c>
      <c r="E1223" s="37" t="s">
        <v>2926</v>
      </c>
      <c r="F1223" s="24" t="s">
        <v>5442</v>
      </c>
      <c r="P1223" s="37" t="s">
        <v>212</v>
      </c>
      <c r="S1223" s="10" t="s">
        <v>2983</v>
      </c>
      <c r="U1223" s="21">
        <v>1</v>
      </c>
      <c r="V1223" s="22">
        <v>1</v>
      </c>
      <c r="W1223" s="73">
        <f t="shared" si="54"/>
        <v>13</v>
      </c>
      <c r="X1223" s="80">
        <f t="shared" si="55"/>
        <v>2079</v>
      </c>
      <c r="Y1223" s="82" t="s">
        <v>3584</v>
      </c>
    </row>
    <row r="1224" spans="1:273" ht="15.45" customHeight="1" x14ac:dyDescent="0.25">
      <c r="A1224" s="29" t="s">
        <v>3745</v>
      </c>
      <c r="B1224" s="24" t="s">
        <v>3743</v>
      </c>
      <c r="C1224" s="37" t="s">
        <v>1348</v>
      </c>
      <c r="E1224" s="37" t="s">
        <v>2926</v>
      </c>
      <c r="F1224" s="24" t="s">
        <v>5442</v>
      </c>
      <c r="J1224" s="214" t="s">
        <v>3691</v>
      </c>
      <c r="K1224" s="10" t="s">
        <v>3717</v>
      </c>
      <c r="S1224" s="10" t="s">
        <v>2980</v>
      </c>
      <c r="T1224" s="10" t="s">
        <v>3744</v>
      </c>
      <c r="U1224" s="21">
        <v>1</v>
      </c>
      <c r="V1224" s="22">
        <v>1</v>
      </c>
      <c r="W1224" s="73">
        <f t="shared" si="54"/>
        <v>14</v>
      </c>
      <c r="X1224" s="80">
        <f t="shared" si="55"/>
        <v>2080</v>
      </c>
      <c r="Y1224" s="82" t="s">
        <v>3584</v>
      </c>
      <c r="AB1224" s="177">
        <v>43194</v>
      </c>
      <c r="AC1224" s="84" t="s">
        <v>2885</v>
      </c>
    </row>
    <row r="1225" spans="1:273" ht="15.45" customHeight="1" x14ac:dyDescent="0.25">
      <c r="A1225" s="29" t="s">
        <v>6175</v>
      </c>
      <c r="B1225" s="24" t="s">
        <v>6174</v>
      </c>
      <c r="C1225" s="37" t="s">
        <v>1348</v>
      </c>
      <c r="E1225" s="37" t="s">
        <v>2926</v>
      </c>
      <c r="F1225" s="24" t="s">
        <v>5442</v>
      </c>
      <c r="P1225" s="37" t="s">
        <v>1936</v>
      </c>
      <c r="S1225" s="10" t="s">
        <v>2983</v>
      </c>
      <c r="U1225" s="21">
        <v>1</v>
      </c>
      <c r="V1225" s="22">
        <v>1</v>
      </c>
      <c r="W1225" s="73">
        <f t="shared" si="54"/>
        <v>15</v>
      </c>
      <c r="X1225" s="80">
        <f t="shared" si="55"/>
        <v>2081</v>
      </c>
      <c r="Y1225" s="82" t="s">
        <v>3584</v>
      </c>
    </row>
    <row r="1226" spans="1:273" s="51" customFormat="1" ht="15.45" customHeight="1" x14ac:dyDescent="0.3">
      <c r="A1226" s="45" t="s">
        <v>1363</v>
      </c>
      <c r="B1226" s="90"/>
      <c r="C1226" s="49"/>
      <c r="D1226" s="49"/>
      <c r="E1226" s="49"/>
      <c r="F1226" s="50"/>
      <c r="G1226" s="50"/>
      <c r="H1226" s="46"/>
      <c r="I1226" s="109"/>
      <c r="J1226" s="217"/>
      <c r="K1226" s="147"/>
      <c r="L1226" s="101"/>
      <c r="M1226" s="101"/>
      <c r="N1226" s="149"/>
      <c r="O1226" s="149"/>
      <c r="P1226" s="49"/>
      <c r="Q1226" s="49"/>
      <c r="R1226" s="49"/>
      <c r="S1226" s="47"/>
      <c r="T1226" s="47"/>
      <c r="U1226" s="48"/>
      <c r="V1226" s="48"/>
      <c r="W1226" s="74"/>
      <c r="X1226" s="81"/>
      <c r="Y1226" s="133"/>
      <c r="Z1226" s="134"/>
      <c r="AA1226" s="181"/>
      <c r="AB1226" s="181"/>
      <c r="AC1226" s="139"/>
      <c r="AD1226" s="139"/>
      <c r="AE1226" s="86"/>
      <c r="AF1226" s="47"/>
      <c r="AG1226" s="47"/>
      <c r="AH1226" s="47"/>
      <c r="AI1226" s="47"/>
      <c r="AJ1226" s="47"/>
      <c r="AK1226" s="47"/>
      <c r="AL1226" s="63"/>
      <c r="AM1226" s="63"/>
      <c r="AN1226" s="63"/>
      <c r="AO1226" s="63"/>
      <c r="AP1226" s="63"/>
      <c r="AQ1226" s="63"/>
      <c r="AR1226" s="63"/>
      <c r="AS1226" s="63"/>
      <c r="AT1226" s="63"/>
      <c r="AU1226" s="63"/>
      <c r="AV1226" s="63"/>
      <c r="AW1226" s="63"/>
      <c r="AX1226" s="63"/>
      <c r="AY1226" s="63"/>
      <c r="AZ1226" s="63"/>
      <c r="BA1226" s="63"/>
      <c r="BB1226" s="63"/>
      <c r="BC1226" s="63"/>
      <c r="BD1226" s="63"/>
      <c r="BE1226" s="63"/>
      <c r="BF1226" s="63"/>
      <c r="BG1226" s="63"/>
      <c r="BH1226" s="63"/>
      <c r="BI1226" s="63"/>
      <c r="BJ1226" s="63"/>
      <c r="BK1226" s="63"/>
      <c r="BL1226" s="63"/>
      <c r="BM1226" s="63"/>
      <c r="BN1226" s="63"/>
      <c r="BO1226" s="63"/>
      <c r="BP1226" s="63"/>
      <c r="BQ1226" s="63"/>
      <c r="BR1226" s="63"/>
      <c r="BS1226" s="63"/>
      <c r="BT1226" s="63"/>
      <c r="BU1226" s="63"/>
      <c r="BV1226" s="63"/>
      <c r="BW1226" s="63"/>
      <c r="BX1226" s="63"/>
      <c r="BY1226" s="63"/>
      <c r="BZ1226" s="63"/>
      <c r="CA1226" s="63"/>
      <c r="CB1226" s="63"/>
      <c r="CC1226" s="63"/>
      <c r="CD1226" s="63"/>
      <c r="CE1226" s="63"/>
      <c r="CF1226" s="63"/>
      <c r="CG1226" s="63"/>
      <c r="CH1226" s="63"/>
      <c r="CI1226" s="63"/>
      <c r="CJ1226" s="63"/>
      <c r="CK1226" s="63"/>
      <c r="CL1226" s="63"/>
      <c r="CM1226" s="63"/>
      <c r="CN1226" s="63"/>
      <c r="CO1226" s="63"/>
      <c r="CP1226" s="63"/>
      <c r="CQ1226" s="63"/>
      <c r="CR1226" s="63"/>
      <c r="CS1226" s="63"/>
      <c r="CT1226" s="63"/>
      <c r="CU1226" s="63"/>
      <c r="CV1226" s="63"/>
      <c r="CW1226" s="63"/>
      <c r="CX1226" s="63"/>
      <c r="CY1226" s="63"/>
      <c r="CZ1226" s="63"/>
      <c r="DA1226" s="63"/>
      <c r="DB1226" s="63"/>
      <c r="DC1226" s="63"/>
      <c r="DD1226" s="63"/>
      <c r="DE1226" s="63"/>
      <c r="DF1226" s="63"/>
      <c r="DG1226" s="63"/>
      <c r="DH1226" s="63"/>
      <c r="DI1226" s="63"/>
      <c r="DJ1226" s="63"/>
      <c r="DK1226" s="63"/>
      <c r="DL1226" s="63"/>
      <c r="DM1226" s="63"/>
      <c r="DN1226" s="63"/>
      <c r="DO1226" s="63"/>
      <c r="DP1226" s="63"/>
      <c r="DQ1226" s="63"/>
      <c r="DR1226" s="63"/>
      <c r="DS1226" s="63"/>
      <c r="DT1226" s="63"/>
      <c r="DU1226" s="63"/>
      <c r="DV1226" s="63"/>
      <c r="DW1226" s="63"/>
      <c r="DX1226" s="63"/>
      <c r="DY1226" s="63"/>
      <c r="DZ1226" s="63"/>
      <c r="EA1226" s="63"/>
      <c r="EB1226" s="63"/>
      <c r="EC1226" s="63"/>
      <c r="ED1226" s="63"/>
      <c r="EE1226" s="63"/>
      <c r="EF1226" s="63"/>
      <c r="EG1226" s="63"/>
      <c r="EH1226" s="63"/>
      <c r="EI1226" s="63"/>
      <c r="EJ1226" s="63"/>
      <c r="EK1226" s="63"/>
      <c r="EL1226" s="63"/>
      <c r="EM1226" s="63"/>
      <c r="EN1226" s="63"/>
      <c r="EO1226" s="63"/>
      <c r="EP1226" s="63"/>
      <c r="EQ1226" s="63"/>
      <c r="ER1226" s="63"/>
      <c r="ES1226" s="63"/>
      <c r="ET1226" s="63"/>
      <c r="EU1226" s="63"/>
      <c r="EV1226" s="63"/>
      <c r="EW1226" s="63"/>
      <c r="EX1226" s="63"/>
      <c r="EY1226" s="63"/>
      <c r="EZ1226" s="63"/>
      <c r="FA1226" s="63"/>
      <c r="FB1226" s="63"/>
      <c r="FC1226" s="63"/>
      <c r="FD1226" s="63"/>
      <c r="FE1226" s="63"/>
      <c r="FF1226" s="63"/>
      <c r="FG1226" s="63"/>
      <c r="FH1226" s="63"/>
      <c r="FI1226" s="63"/>
      <c r="FJ1226" s="63"/>
      <c r="FK1226" s="63"/>
      <c r="FL1226" s="63"/>
      <c r="FM1226" s="63"/>
      <c r="FN1226" s="63"/>
      <c r="FO1226" s="63"/>
      <c r="FP1226" s="63"/>
      <c r="FQ1226" s="63"/>
      <c r="FR1226" s="63"/>
      <c r="FS1226" s="63"/>
      <c r="FT1226" s="63"/>
      <c r="FU1226" s="63"/>
      <c r="FV1226" s="63"/>
      <c r="FW1226" s="63"/>
      <c r="FX1226" s="63"/>
      <c r="FY1226" s="63"/>
      <c r="FZ1226" s="63"/>
      <c r="GA1226" s="63"/>
      <c r="GB1226" s="63"/>
      <c r="GC1226" s="63"/>
      <c r="GD1226" s="63"/>
      <c r="GE1226" s="63"/>
      <c r="GF1226" s="63"/>
      <c r="GG1226" s="63"/>
      <c r="GH1226" s="63"/>
      <c r="GI1226" s="63"/>
      <c r="GJ1226" s="63"/>
      <c r="GK1226" s="63"/>
      <c r="GL1226" s="63"/>
      <c r="GM1226" s="63"/>
      <c r="GN1226" s="63"/>
      <c r="GO1226" s="63"/>
      <c r="GP1226" s="63"/>
      <c r="GQ1226" s="63"/>
      <c r="GR1226" s="63"/>
      <c r="GS1226" s="63"/>
      <c r="GT1226" s="63"/>
      <c r="GU1226" s="63"/>
      <c r="GV1226" s="63"/>
      <c r="GW1226" s="63"/>
      <c r="GX1226" s="63"/>
      <c r="GY1226" s="63"/>
      <c r="GZ1226" s="63"/>
      <c r="HA1226" s="63"/>
      <c r="HB1226" s="63"/>
      <c r="HC1226" s="63"/>
      <c r="HD1226" s="63"/>
      <c r="HE1226" s="63"/>
      <c r="HF1226" s="63"/>
      <c r="HG1226" s="63"/>
      <c r="HH1226" s="63"/>
      <c r="HI1226" s="63"/>
      <c r="HJ1226" s="63"/>
      <c r="HK1226" s="63"/>
      <c r="HL1226" s="63"/>
      <c r="HM1226" s="63"/>
      <c r="HN1226" s="63"/>
      <c r="HO1226" s="63"/>
      <c r="HP1226" s="63"/>
      <c r="HQ1226" s="63"/>
      <c r="HR1226" s="63"/>
      <c r="HS1226" s="63"/>
      <c r="HT1226" s="63"/>
      <c r="HU1226" s="63"/>
      <c r="HV1226" s="63"/>
      <c r="HW1226" s="63"/>
      <c r="HX1226" s="63"/>
      <c r="HY1226" s="63"/>
      <c r="HZ1226" s="63"/>
      <c r="IA1226" s="63"/>
      <c r="IB1226" s="63"/>
      <c r="IC1226" s="63"/>
      <c r="ID1226" s="63"/>
      <c r="IE1226" s="63"/>
      <c r="IF1226" s="63"/>
      <c r="IG1226" s="63"/>
      <c r="IH1226" s="63"/>
      <c r="II1226" s="63"/>
      <c r="IJ1226" s="63"/>
      <c r="IK1226" s="63"/>
      <c r="IL1226" s="63"/>
      <c r="IM1226" s="63"/>
      <c r="IN1226" s="63"/>
      <c r="IO1226" s="63"/>
      <c r="IP1226" s="63"/>
      <c r="IQ1226" s="63"/>
      <c r="IR1226" s="63"/>
      <c r="IS1226" s="63"/>
      <c r="IT1226" s="63"/>
      <c r="IU1226" s="63"/>
      <c r="IV1226" s="63"/>
      <c r="IW1226" s="63"/>
      <c r="IX1226" s="63"/>
      <c r="IY1226" s="63"/>
      <c r="IZ1226" s="63"/>
      <c r="JA1226" s="63"/>
      <c r="JB1226" s="63"/>
      <c r="JC1226" s="63"/>
      <c r="JD1226" s="63"/>
      <c r="JE1226" s="63"/>
      <c r="JF1226" s="63"/>
      <c r="JG1226" s="63"/>
      <c r="JH1226" s="63"/>
      <c r="JI1226" s="63"/>
      <c r="JJ1226" s="63"/>
      <c r="JK1226" s="63"/>
      <c r="JL1226" s="63"/>
      <c r="JM1226" s="63"/>
    </row>
    <row r="1227" spans="1:273" ht="15.45" customHeight="1" x14ac:dyDescent="0.25">
      <c r="A1227" s="29" t="s">
        <v>1583</v>
      </c>
      <c r="C1227" s="37" t="s">
        <v>1584</v>
      </c>
      <c r="E1227" s="37" t="s">
        <v>2926</v>
      </c>
      <c r="F1227" s="24" t="s">
        <v>5442</v>
      </c>
      <c r="P1227" s="37" t="s">
        <v>212</v>
      </c>
      <c r="U1227" s="22">
        <v>1</v>
      </c>
      <c r="V1227" s="22">
        <v>1</v>
      </c>
      <c r="W1227" s="73">
        <v>1</v>
      </c>
      <c r="X1227" s="80">
        <f>V1227+X1225</f>
        <v>2082</v>
      </c>
      <c r="Y1227" s="82" t="s">
        <v>3584</v>
      </c>
    </row>
    <row r="1228" spans="1:273" ht="15.45" customHeight="1" x14ac:dyDescent="0.25">
      <c r="A1228" s="29" t="s">
        <v>1001</v>
      </c>
      <c r="C1228" s="37" t="s">
        <v>1584</v>
      </c>
      <c r="E1228" s="37" t="s">
        <v>2926</v>
      </c>
      <c r="F1228" s="24" t="s">
        <v>5442</v>
      </c>
      <c r="P1228" s="37" t="s">
        <v>212</v>
      </c>
      <c r="U1228" s="22">
        <v>1</v>
      </c>
      <c r="V1228" s="22">
        <v>1</v>
      </c>
      <c r="W1228" s="73">
        <v>2</v>
      </c>
      <c r="X1228" s="80">
        <f>V1228+X1227</f>
        <v>2083</v>
      </c>
      <c r="Y1228" s="82" t="s">
        <v>3584</v>
      </c>
    </row>
    <row r="1229" spans="1:273" s="51" customFormat="1" ht="15.45" customHeight="1" x14ac:dyDescent="0.3">
      <c r="A1229" s="45" t="s">
        <v>1002</v>
      </c>
      <c r="B1229" s="90"/>
      <c r="C1229" s="49"/>
      <c r="D1229" s="49"/>
      <c r="E1229" s="49"/>
      <c r="F1229" s="50"/>
      <c r="G1229" s="50"/>
      <c r="H1229" s="46"/>
      <c r="I1229" s="109"/>
      <c r="J1229" s="217"/>
      <c r="K1229" s="147"/>
      <c r="L1229" s="101"/>
      <c r="M1229" s="101"/>
      <c r="N1229" s="149"/>
      <c r="O1229" s="149"/>
      <c r="P1229" s="49"/>
      <c r="Q1229" s="49"/>
      <c r="R1229" s="49"/>
      <c r="S1229" s="47"/>
      <c r="T1229" s="47"/>
      <c r="U1229" s="48"/>
      <c r="V1229" s="48"/>
      <c r="W1229" s="74"/>
      <c r="X1229" s="81"/>
      <c r="Y1229" s="133"/>
      <c r="Z1229" s="134"/>
      <c r="AA1229" s="181"/>
      <c r="AB1229" s="181"/>
      <c r="AC1229" s="139"/>
      <c r="AD1229" s="139"/>
      <c r="AE1229" s="86"/>
      <c r="AF1229" s="47"/>
      <c r="AG1229" s="47"/>
      <c r="AH1229" s="47"/>
      <c r="AI1229" s="47"/>
      <c r="AJ1229" s="47"/>
      <c r="AK1229" s="47"/>
      <c r="AL1229" s="63"/>
      <c r="AM1229" s="63"/>
      <c r="AN1229" s="63"/>
      <c r="AO1229" s="63"/>
      <c r="AP1229" s="63"/>
      <c r="AQ1229" s="63"/>
      <c r="AR1229" s="63"/>
      <c r="AS1229" s="63"/>
      <c r="AT1229" s="63"/>
      <c r="AU1229" s="63"/>
      <c r="AV1229" s="63"/>
      <c r="AW1229" s="63"/>
      <c r="AX1229" s="63"/>
      <c r="AY1229" s="63"/>
      <c r="AZ1229" s="63"/>
      <c r="BA1229" s="63"/>
      <c r="BB1229" s="63"/>
      <c r="BC1229" s="63"/>
      <c r="BD1229" s="63"/>
      <c r="BE1229" s="63"/>
      <c r="BF1229" s="63"/>
      <c r="BG1229" s="63"/>
      <c r="BH1229" s="63"/>
      <c r="BI1229" s="63"/>
      <c r="BJ1229" s="63"/>
      <c r="BK1229" s="63"/>
      <c r="BL1229" s="63"/>
      <c r="BM1229" s="63"/>
      <c r="BN1229" s="63"/>
      <c r="BO1229" s="63"/>
      <c r="BP1229" s="63"/>
      <c r="BQ1229" s="63"/>
      <c r="BR1229" s="63"/>
      <c r="BS1229" s="63"/>
      <c r="BT1229" s="63"/>
      <c r="BU1229" s="63"/>
      <c r="BV1229" s="63"/>
      <c r="BW1229" s="63"/>
      <c r="BX1229" s="63"/>
      <c r="BY1229" s="63"/>
      <c r="BZ1229" s="63"/>
      <c r="CA1229" s="63"/>
      <c r="CB1229" s="63"/>
      <c r="CC1229" s="63"/>
      <c r="CD1229" s="63"/>
      <c r="CE1229" s="63"/>
      <c r="CF1229" s="63"/>
      <c r="CG1229" s="63"/>
      <c r="CH1229" s="63"/>
      <c r="CI1229" s="63"/>
      <c r="CJ1229" s="63"/>
      <c r="CK1229" s="63"/>
      <c r="CL1229" s="63"/>
      <c r="CM1229" s="63"/>
      <c r="CN1229" s="63"/>
      <c r="CO1229" s="63"/>
      <c r="CP1229" s="63"/>
      <c r="CQ1229" s="63"/>
      <c r="CR1229" s="63"/>
      <c r="CS1229" s="63"/>
      <c r="CT1229" s="63"/>
      <c r="CU1229" s="63"/>
      <c r="CV1229" s="63"/>
      <c r="CW1229" s="63"/>
      <c r="CX1229" s="63"/>
      <c r="CY1229" s="63"/>
      <c r="CZ1229" s="63"/>
      <c r="DA1229" s="63"/>
      <c r="DB1229" s="63"/>
      <c r="DC1229" s="63"/>
      <c r="DD1229" s="63"/>
      <c r="DE1229" s="63"/>
      <c r="DF1229" s="63"/>
      <c r="DG1229" s="63"/>
      <c r="DH1229" s="63"/>
      <c r="DI1229" s="63"/>
      <c r="DJ1229" s="63"/>
      <c r="DK1229" s="63"/>
      <c r="DL1229" s="63"/>
      <c r="DM1229" s="63"/>
      <c r="DN1229" s="63"/>
      <c r="DO1229" s="63"/>
      <c r="DP1229" s="63"/>
      <c r="DQ1229" s="63"/>
      <c r="DR1229" s="63"/>
      <c r="DS1229" s="63"/>
      <c r="DT1229" s="63"/>
      <c r="DU1229" s="63"/>
      <c r="DV1229" s="63"/>
      <c r="DW1229" s="63"/>
      <c r="DX1229" s="63"/>
      <c r="DY1229" s="63"/>
      <c r="DZ1229" s="63"/>
      <c r="EA1229" s="63"/>
      <c r="EB1229" s="63"/>
      <c r="EC1229" s="63"/>
      <c r="ED1229" s="63"/>
      <c r="EE1229" s="63"/>
      <c r="EF1229" s="63"/>
      <c r="EG1229" s="63"/>
      <c r="EH1229" s="63"/>
      <c r="EI1229" s="63"/>
      <c r="EJ1229" s="63"/>
      <c r="EK1229" s="63"/>
      <c r="EL1229" s="63"/>
      <c r="EM1229" s="63"/>
      <c r="EN1229" s="63"/>
      <c r="EO1229" s="63"/>
      <c r="EP1229" s="63"/>
      <c r="EQ1229" s="63"/>
      <c r="ER1229" s="63"/>
      <c r="ES1229" s="63"/>
      <c r="ET1229" s="63"/>
      <c r="EU1229" s="63"/>
      <c r="EV1229" s="63"/>
      <c r="EW1229" s="63"/>
      <c r="EX1229" s="63"/>
      <c r="EY1229" s="63"/>
      <c r="EZ1229" s="63"/>
      <c r="FA1229" s="63"/>
      <c r="FB1229" s="63"/>
      <c r="FC1229" s="63"/>
      <c r="FD1229" s="63"/>
      <c r="FE1229" s="63"/>
      <c r="FF1229" s="63"/>
      <c r="FG1229" s="63"/>
      <c r="FH1229" s="63"/>
      <c r="FI1229" s="63"/>
      <c r="FJ1229" s="63"/>
      <c r="FK1229" s="63"/>
      <c r="FL1229" s="63"/>
      <c r="FM1229" s="63"/>
      <c r="FN1229" s="63"/>
      <c r="FO1229" s="63"/>
      <c r="FP1229" s="63"/>
      <c r="FQ1229" s="63"/>
      <c r="FR1229" s="63"/>
      <c r="FS1229" s="63"/>
      <c r="FT1229" s="63"/>
      <c r="FU1229" s="63"/>
      <c r="FV1229" s="63"/>
      <c r="FW1229" s="63"/>
      <c r="FX1229" s="63"/>
      <c r="FY1229" s="63"/>
      <c r="FZ1229" s="63"/>
      <c r="GA1229" s="63"/>
      <c r="GB1229" s="63"/>
      <c r="GC1229" s="63"/>
      <c r="GD1229" s="63"/>
      <c r="GE1229" s="63"/>
      <c r="GF1229" s="63"/>
      <c r="GG1229" s="63"/>
      <c r="GH1229" s="63"/>
      <c r="GI1229" s="63"/>
      <c r="GJ1229" s="63"/>
      <c r="GK1229" s="63"/>
      <c r="GL1229" s="63"/>
      <c r="GM1229" s="63"/>
      <c r="GN1229" s="63"/>
      <c r="GO1229" s="63"/>
      <c r="GP1229" s="63"/>
      <c r="GQ1229" s="63"/>
      <c r="GR1229" s="63"/>
      <c r="GS1229" s="63"/>
      <c r="GT1229" s="63"/>
      <c r="GU1229" s="63"/>
      <c r="GV1229" s="63"/>
      <c r="GW1229" s="63"/>
      <c r="GX1229" s="63"/>
      <c r="GY1229" s="63"/>
      <c r="GZ1229" s="63"/>
      <c r="HA1229" s="63"/>
      <c r="HB1229" s="63"/>
      <c r="HC1229" s="63"/>
      <c r="HD1229" s="63"/>
      <c r="HE1229" s="63"/>
      <c r="HF1229" s="63"/>
      <c r="HG1229" s="63"/>
      <c r="HH1229" s="63"/>
      <c r="HI1229" s="63"/>
      <c r="HJ1229" s="63"/>
      <c r="HK1229" s="63"/>
      <c r="HL1229" s="63"/>
      <c r="HM1229" s="63"/>
      <c r="HN1229" s="63"/>
      <c r="HO1229" s="63"/>
      <c r="HP1229" s="63"/>
      <c r="HQ1229" s="63"/>
      <c r="HR1229" s="63"/>
      <c r="HS1229" s="63"/>
      <c r="HT1229" s="63"/>
      <c r="HU1229" s="63"/>
      <c r="HV1229" s="63"/>
      <c r="HW1229" s="63"/>
      <c r="HX1229" s="63"/>
      <c r="HY1229" s="63"/>
      <c r="HZ1229" s="63"/>
      <c r="IA1229" s="63"/>
      <c r="IB1229" s="63"/>
      <c r="IC1229" s="63"/>
      <c r="ID1229" s="63"/>
      <c r="IE1229" s="63"/>
      <c r="IF1229" s="63"/>
      <c r="IG1229" s="63"/>
      <c r="IH1229" s="63"/>
      <c r="II1229" s="63"/>
      <c r="IJ1229" s="63"/>
      <c r="IK1229" s="63"/>
      <c r="IL1229" s="63"/>
      <c r="IM1229" s="63"/>
      <c r="IN1229" s="63"/>
      <c r="IO1229" s="63"/>
      <c r="IP1229" s="63"/>
      <c r="IQ1229" s="63"/>
      <c r="IR1229" s="63"/>
      <c r="IS1229" s="63"/>
      <c r="IT1229" s="63"/>
      <c r="IU1229" s="63"/>
      <c r="IV1229" s="63"/>
      <c r="IW1229" s="63"/>
      <c r="IX1229" s="63"/>
      <c r="IY1229" s="63"/>
      <c r="IZ1229" s="63"/>
      <c r="JA1229" s="63"/>
      <c r="JB1229" s="63"/>
      <c r="JC1229" s="63"/>
      <c r="JD1229" s="63"/>
      <c r="JE1229" s="63"/>
      <c r="JF1229" s="63"/>
      <c r="JG1229" s="63"/>
      <c r="JH1229" s="63"/>
      <c r="JI1229" s="63"/>
      <c r="JJ1229" s="63"/>
      <c r="JK1229" s="63"/>
      <c r="JL1229" s="63"/>
      <c r="JM1229" s="63"/>
    </row>
    <row r="1230" spans="1:273" ht="15.45" customHeight="1" x14ac:dyDescent="0.25">
      <c r="A1230" s="29" t="s">
        <v>1226</v>
      </c>
      <c r="B1230" s="24" t="s">
        <v>6502</v>
      </c>
      <c r="C1230" s="37" t="s">
        <v>1022</v>
      </c>
      <c r="E1230" s="37" t="s">
        <v>2926</v>
      </c>
      <c r="F1230" s="24" t="s">
        <v>5442</v>
      </c>
      <c r="H1230" s="38" t="s">
        <v>6503</v>
      </c>
      <c r="P1230" s="37" t="s">
        <v>1971</v>
      </c>
      <c r="U1230" s="22">
        <v>1</v>
      </c>
      <c r="V1230" s="22">
        <v>2</v>
      </c>
      <c r="W1230" s="73">
        <f>W1229+V1230</f>
        <v>2</v>
      </c>
      <c r="X1230" s="80">
        <f>V1230+X1228</f>
        <v>2085</v>
      </c>
      <c r="Y1230" s="82" t="s">
        <v>3584</v>
      </c>
    </row>
    <row r="1231" spans="1:273" ht="15.45" customHeight="1" x14ac:dyDescent="0.25">
      <c r="A1231" s="29" t="s">
        <v>3197</v>
      </c>
      <c r="C1231" s="37" t="s">
        <v>1022</v>
      </c>
      <c r="E1231" s="37" t="s">
        <v>2926</v>
      </c>
      <c r="F1231" s="24" t="s">
        <v>5442</v>
      </c>
      <c r="P1231" s="37" t="s">
        <v>212</v>
      </c>
      <c r="U1231" s="22">
        <v>1</v>
      </c>
      <c r="V1231" s="22">
        <v>1</v>
      </c>
      <c r="W1231" s="73">
        <f>W1230+V1231</f>
        <v>3</v>
      </c>
      <c r="X1231" s="80">
        <f>V1231+X1230</f>
        <v>2086</v>
      </c>
      <c r="Y1231" s="82" t="s">
        <v>3584</v>
      </c>
    </row>
    <row r="1232" spans="1:273" ht="15.45" customHeight="1" x14ac:dyDescent="0.25">
      <c r="A1232" s="29" t="s">
        <v>1127</v>
      </c>
      <c r="B1232" s="24" t="s">
        <v>1596</v>
      </c>
      <c r="C1232" s="37" t="s">
        <v>1022</v>
      </c>
      <c r="E1232" s="37" t="s">
        <v>2926</v>
      </c>
      <c r="F1232" s="24" t="s">
        <v>5442</v>
      </c>
      <c r="P1232" s="37" t="s">
        <v>212</v>
      </c>
      <c r="U1232" s="22">
        <v>1</v>
      </c>
      <c r="V1232" s="22">
        <v>1</v>
      </c>
      <c r="W1232" s="73">
        <f>W1231+V1232</f>
        <v>4</v>
      </c>
      <c r="X1232" s="80">
        <f>V1232+X1231</f>
        <v>2087</v>
      </c>
      <c r="Y1232" s="82" t="s">
        <v>3584</v>
      </c>
    </row>
    <row r="1233" spans="1:37" s="51" customFormat="1" ht="15.45" customHeight="1" x14ac:dyDescent="0.25">
      <c r="A1233" s="45" t="s">
        <v>1213</v>
      </c>
      <c r="B1233" s="50"/>
      <c r="C1233" s="49"/>
      <c r="D1233" s="49"/>
      <c r="E1233" s="49"/>
      <c r="F1233" s="50"/>
      <c r="G1233" s="50"/>
      <c r="H1233" s="46" t="s">
        <v>5115</v>
      </c>
      <c r="I1233" s="109"/>
      <c r="J1233" s="212"/>
      <c r="K1233" s="56"/>
      <c r="L1233" s="100"/>
      <c r="M1233" s="100"/>
      <c r="N1233" s="49"/>
      <c r="O1233" s="49"/>
      <c r="P1233" s="49"/>
      <c r="Q1233" s="49"/>
      <c r="R1233" s="49"/>
      <c r="S1233" s="47"/>
      <c r="T1233" s="47"/>
      <c r="U1233" s="53"/>
      <c r="V1233" s="53"/>
      <c r="W1233" s="74"/>
      <c r="X1233" s="81"/>
      <c r="Y1233" s="132"/>
      <c r="Z1233" s="50"/>
      <c r="AA1233" s="173"/>
      <c r="AB1233" s="173"/>
      <c r="AC1233" s="137"/>
      <c r="AD1233" s="137"/>
      <c r="AE1233" s="83"/>
      <c r="AF1233" s="47"/>
      <c r="AG1233" s="47"/>
      <c r="AH1233" s="47"/>
      <c r="AI1233" s="47"/>
      <c r="AJ1233" s="47"/>
      <c r="AK1233" s="47"/>
    </row>
    <row r="1234" spans="1:37" ht="15.45" customHeight="1" x14ac:dyDescent="0.25">
      <c r="A1234" s="29" t="s">
        <v>896</v>
      </c>
      <c r="B1234" s="24" t="s">
        <v>398</v>
      </c>
      <c r="C1234" s="37" t="s">
        <v>1223</v>
      </c>
      <c r="E1234" s="37" t="s">
        <v>2832</v>
      </c>
      <c r="F1234" s="24" t="s">
        <v>2129</v>
      </c>
      <c r="P1234" s="37" t="s">
        <v>1676</v>
      </c>
      <c r="S1234" s="10" t="s">
        <v>2983</v>
      </c>
      <c r="U1234" s="22">
        <v>1</v>
      </c>
      <c r="V1234" s="22">
        <v>1</v>
      </c>
      <c r="W1234" s="73">
        <v>1</v>
      </c>
      <c r="X1234" s="80">
        <f>V1234+X1232</f>
        <v>2088</v>
      </c>
      <c r="Y1234" s="82" t="s">
        <v>3584</v>
      </c>
    </row>
    <row r="1235" spans="1:37" ht="15.45" customHeight="1" x14ac:dyDescent="0.25">
      <c r="A1235" s="29" t="s">
        <v>1767</v>
      </c>
      <c r="B1235" s="24" t="s">
        <v>399</v>
      </c>
      <c r="C1235" s="37" t="s">
        <v>1223</v>
      </c>
      <c r="E1235" s="37" t="s">
        <v>2832</v>
      </c>
      <c r="F1235" s="24" t="s">
        <v>2129</v>
      </c>
      <c r="P1235" s="37" t="s">
        <v>1603</v>
      </c>
      <c r="S1235" s="10" t="s">
        <v>2983</v>
      </c>
      <c r="U1235" s="22">
        <v>1</v>
      </c>
      <c r="V1235" s="22">
        <v>5</v>
      </c>
      <c r="W1235" s="73">
        <f t="shared" ref="W1235:W1267" si="56">W1234+V1235</f>
        <v>6</v>
      </c>
      <c r="X1235" s="80">
        <f t="shared" ref="X1235:X1267" si="57">V1235+X1234</f>
        <v>2093</v>
      </c>
      <c r="Y1235" s="82" t="s">
        <v>3592</v>
      </c>
      <c r="Z1235" s="24" t="s">
        <v>2884</v>
      </c>
    </row>
    <row r="1236" spans="1:37" ht="15.45" customHeight="1" x14ac:dyDescent="0.25">
      <c r="A1236" s="29" t="s">
        <v>1312</v>
      </c>
      <c r="B1236" s="24" t="s">
        <v>1850</v>
      </c>
      <c r="C1236" s="37" t="s">
        <v>1223</v>
      </c>
      <c r="E1236" s="37" t="s">
        <v>2832</v>
      </c>
      <c r="F1236" s="24" t="s">
        <v>2129</v>
      </c>
      <c r="G1236" s="231" t="s">
        <v>7163</v>
      </c>
      <c r="H1236" s="38" t="s">
        <v>7162</v>
      </c>
      <c r="P1236" s="37" t="s">
        <v>1603</v>
      </c>
      <c r="S1236" s="10" t="s">
        <v>2983</v>
      </c>
      <c r="U1236" s="22">
        <v>1</v>
      </c>
      <c r="V1236" s="22">
        <v>1</v>
      </c>
      <c r="W1236" s="73">
        <f t="shared" si="56"/>
        <v>7</v>
      </c>
      <c r="X1236" s="80">
        <f t="shared" si="57"/>
        <v>2094</v>
      </c>
      <c r="Y1236" s="82" t="s">
        <v>3584</v>
      </c>
    </row>
    <row r="1237" spans="1:37" ht="15.45" customHeight="1" x14ac:dyDescent="0.25">
      <c r="A1237" s="29" t="s">
        <v>1765</v>
      </c>
      <c r="B1237" s="24" t="s">
        <v>401</v>
      </c>
      <c r="C1237" s="37" t="s">
        <v>1223</v>
      </c>
      <c r="E1237" s="37" t="s">
        <v>2832</v>
      </c>
      <c r="F1237" s="24" t="s">
        <v>2129</v>
      </c>
      <c r="P1237" s="37" t="s">
        <v>1603</v>
      </c>
      <c r="S1237" s="10" t="s">
        <v>2983</v>
      </c>
      <c r="U1237" s="22">
        <v>1</v>
      </c>
      <c r="V1237" s="22">
        <v>1</v>
      </c>
      <c r="W1237" s="73">
        <f t="shared" si="56"/>
        <v>8</v>
      </c>
      <c r="X1237" s="80">
        <f t="shared" si="57"/>
        <v>2095</v>
      </c>
      <c r="Y1237" s="82" t="s">
        <v>3592</v>
      </c>
      <c r="Z1237" s="24" t="s">
        <v>2884</v>
      </c>
    </row>
    <row r="1238" spans="1:37" ht="15.45" customHeight="1" x14ac:dyDescent="0.25">
      <c r="A1238" s="29" t="s">
        <v>1766</v>
      </c>
      <c r="B1238" s="24" t="s">
        <v>402</v>
      </c>
      <c r="C1238" s="37" t="s">
        <v>1223</v>
      </c>
      <c r="E1238" s="37" t="s">
        <v>2832</v>
      </c>
      <c r="F1238" s="24" t="s">
        <v>2129</v>
      </c>
      <c r="P1238" s="37" t="s">
        <v>1603</v>
      </c>
      <c r="S1238" s="10" t="s">
        <v>2983</v>
      </c>
      <c r="U1238" s="22">
        <v>1</v>
      </c>
      <c r="V1238" s="22">
        <v>1</v>
      </c>
      <c r="W1238" s="73">
        <f t="shared" si="56"/>
        <v>9</v>
      </c>
      <c r="X1238" s="80">
        <f t="shared" si="57"/>
        <v>2096</v>
      </c>
      <c r="Y1238" s="82" t="s">
        <v>3592</v>
      </c>
      <c r="Z1238" s="24" t="s">
        <v>2884</v>
      </c>
    </row>
    <row r="1239" spans="1:37" ht="15.45" customHeight="1" x14ac:dyDescent="0.25">
      <c r="A1239" s="29" t="s">
        <v>622</v>
      </c>
      <c r="B1239" s="24" t="s">
        <v>4345</v>
      </c>
      <c r="C1239" s="37" t="s">
        <v>1223</v>
      </c>
      <c r="E1239" s="37" t="s">
        <v>2832</v>
      </c>
      <c r="F1239" s="24" t="s">
        <v>2129</v>
      </c>
      <c r="P1239" s="37" t="s">
        <v>1603</v>
      </c>
      <c r="S1239" s="10" t="s">
        <v>2983</v>
      </c>
      <c r="U1239" s="22">
        <v>1</v>
      </c>
      <c r="V1239" s="22">
        <v>2</v>
      </c>
      <c r="W1239" s="73">
        <f t="shared" si="56"/>
        <v>11</v>
      </c>
      <c r="X1239" s="80">
        <f t="shared" si="57"/>
        <v>2098</v>
      </c>
      <c r="Y1239" s="82" t="s">
        <v>3592</v>
      </c>
      <c r="Z1239" s="24" t="s">
        <v>2884</v>
      </c>
    </row>
    <row r="1240" spans="1:37" ht="15.45" customHeight="1" x14ac:dyDescent="0.25">
      <c r="A1240" s="29" t="s">
        <v>1762</v>
      </c>
      <c r="B1240" s="24" t="s">
        <v>4345</v>
      </c>
      <c r="C1240" s="37" t="s">
        <v>1223</v>
      </c>
      <c r="E1240" s="37" t="s">
        <v>2832</v>
      </c>
      <c r="F1240" s="24" t="s">
        <v>2129</v>
      </c>
      <c r="P1240" s="37" t="s">
        <v>1603</v>
      </c>
      <c r="S1240" s="10" t="s">
        <v>2983</v>
      </c>
      <c r="U1240" s="22">
        <v>1</v>
      </c>
      <c r="V1240" s="22">
        <v>1</v>
      </c>
      <c r="W1240" s="73">
        <f t="shared" si="56"/>
        <v>12</v>
      </c>
      <c r="X1240" s="80">
        <f t="shared" si="57"/>
        <v>2099</v>
      </c>
      <c r="Y1240" s="82" t="s">
        <v>3592</v>
      </c>
      <c r="Z1240" s="24" t="s">
        <v>2884</v>
      </c>
    </row>
    <row r="1241" spans="1:37" ht="15.45" customHeight="1" x14ac:dyDescent="0.25">
      <c r="A1241" s="29" t="s">
        <v>2102</v>
      </c>
      <c r="B1241" s="24" t="s">
        <v>2103</v>
      </c>
      <c r="C1241" s="37" t="s">
        <v>1223</v>
      </c>
      <c r="E1241" s="37" t="s">
        <v>2832</v>
      </c>
      <c r="F1241" s="24" t="s">
        <v>2129</v>
      </c>
      <c r="P1241" s="37" t="s">
        <v>1603</v>
      </c>
      <c r="S1241" s="10" t="s">
        <v>2983</v>
      </c>
      <c r="U1241" s="22">
        <v>1</v>
      </c>
      <c r="V1241" s="22">
        <v>1</v>
      </c>
      <c r="W1241" s="73">
        <f t="shared" si="56"/>
        <v>13</v>
      </c>
      <c r="X1241" s="80">
        <f t="shared" si="57"/>
        <v>2100</v>
      </c>
      <c r="Y1241" s="82" t="s">
        <v>3592</v>
      </c>
      <c r="Z1241" s="24" t="s">
        <v>2884</v>
      </c>
    </row>
    <row r="1242" spans="1:37" ht="15.45" customHeight="1" x14ac:dyDescent="0.25">
      <c r="A1242" s="29" t="s">
        <v>3741</v>
      </c>
      <c r="B1242" s="24" t="s">
        <v>3742</v>
      </c>
      <c r="C1242" s="37" t="s">
        <v>1223</v>
      </c>
      <c r="E1242" s="37" t="s">
        <v>2832</v>
      </c>
      <c r="F1242" s="24" t="s">
        <v>2128</v>
      </c>
      <c r="J1242" s="214" t="s">
        <v>3691</v>
      </c>
      <c r="K1242" s="10" t="s">
        <v>3717</v>
      </c>
      <c r="P1242" s="37" t="s">
        <v>84</v>
      </c>
      <c r="S1242" s="10" t="s">
        <v>2983</v>
      </c>
      <c r="U1242" s="22">
        <v>1</v>
      </c>
      <c r="V1242" s="21">
        <v>1</v>
      </c>
      <c r="W1242" s="73">
        <f t="shared" si="56"/>
        <v>14</v>
      </c>
      <c r="X1242" s="80">
        <f t="shared" si="57"/>
        <v>2101</v>
      </c>
      <c r="Y1242" s="82" t="s">
        <v>3584</v>
      </c>
      <c r="AB1242" s="177">
        <v>42510</v>
      </c>
      <c r="AC1242" s="84" t="s">
        <v>2885</v>
      </c>
      <c r="AI1242" s="10" t="s">
        <v>2595</v>
      </c>
    </row>
    <row r="1243" spans="1:37" ht="15.45" customHeight="1" x14ac:dyDescent="0.25">
      <c r="A1243" s="29" t="s">
        <v>1607</v>
      </c>
      <c r="B1243" s="24" t="s">
        <v>579</v>
      </c>
      <c r="C1243" s="37" t="s">
        <v>1223</v>
      </c>
      <c r="E1243" s="37" t="s">
        <v>2832</v>
      </c>
      <c r="F1243" s="24" t="s">
        <v>2129</v>
      </c>
      <c r="P1243" s="37" t="s">
        <v>1603</v>
      </c>
      <c r="S1243" s="10" t="s">
        <v>2983</v>
      </c>
      <c r="U1243" s="22">
        <v>1</v>
      </c>
      <c r="V1243" s="22">
        <v>1</v>
      </c>
      <c r="W1243" s="73">
        <f t="shared" si="56"/>
        <v>15</v>
      </c>
      <c r="X1243" s="80">
        <f t="shared" si="57"/>
        <v>2102</v>
      </c>
      <c r="Y1243" s="82" t="s">
        <v>3584</v>
      </c>
    </row>
    <row r="1244" spans="1:37" ht="15.45" customHeight="1" x14ac:dyDescent="0.25">
      <c r="A1244" s="29" t="s">
        <v>846</v>
      </c>
      <c r="B1244" s="24" t="s">
        <v>579</v>
      </c>
      <c r="C1244" s="37" t="s">
        <v>1223</v>
      </c>
      <c r="E1244" s="37" t="s">
        <v>2832</v>
      </c>
      <c r="F1244" s="24" t="s">
        <v>2129</v>
      </c>
      <c r="P1244" s="37" t="s">
        <v>1603</v>
      </c>
      <c r="S1244" s="10" t="s">
        <v>2983</v>
      </c>
      <c r="U1244" s="22">
        <v>1</v>
      </c>
      <c r="V1244" s="22">
        <v>2</v>
      </c>
      <c r="W1244" s="73">
        <f t="shared" si="56"/>
        <v>17</v>
      </c>
      <c r="X1244" s="80">
        <f t="shared" si="57"/>
        <v>2104</v>
      </c>
      <c r="Y1244" s="82" t="s">
        <v>3584</v>
      </c>
    </row>
    <row r="1245" spans="1:37" ht="15.45" customHeight="1" x14ac:dyDescent="0.25">
      <c r="A1245" s="29" t="s">
        <v>1401</v>
      </c>
      <c r="B1245" s="24" t="s">
        <v>563</v>
      </c>
      <c r="C1245" s="37" t="s">
        <v>1223</v>
      </c>
      <c r="E1245" s="37" t="s">
        <v>2832</v>
      </c>
      <c r="F1245" s="24" t="s">
        <v>2129</v>
      </c>
      <c r="P1245" s="37" t="s">
        <v>1857</v>
      </c>
      <c r="S1245" s="10" t="s">
        <v>2983</v>
      </c>
      <c r="U1245" s="22">
        <v>1</v>
      </c>
      <c r="V1245" s="22">
        <v>1</v>
      </c>
      <c r="W1245" s="73">
        <f t="shared" si="56"/>
        <v>18</v>
      </c>
      <c r="X1245" s="80">
        <f t="shared" si="57"/>
        <v>2105</v>
      </c>
      <c r="Y1245" s="82" t="s">
        <v>3584</v>
      </c>
    </row>
    <row r="1246" spans="1:37" ht="15.45" customHeight="1" x14ac:dyDescent="0.25">
      <c r="A1246" s="29" t="s">
        <v>2100</v>
      </c>
      <c r="B1246" s="24" t="s">
        <v>2101</v>
      </c>
      <c r="C1246" s="37" t="s">
        <v>1223</v>
      </c>
      <c r="E1246" s="37" t="s">
        <v>2832</v>
      </c>
      <c r="F1246" s="24" t="s">
        <v>2129</v>
      </c>
      <c r="P1246" s="37" t="s">
        <v>1603</v>
      </c>
      <c r="S1246" s="10" t="s">
        <v>2983</v>
      </c>
      <c r="U1246" s="22">
        <v>1</v>
      </c>
      <c r="V1246" s="22">
        <v>1</v>
      </c>
      <c r="W1246" s="73">
        <f t="shared" si="56"/>
        <v>19</v>
      </c>
      <c r="X1246" s="80">
        <f t="shared" si="57"/>
        <v>2106</v>
      </c>
      <c r="Y1246" s="82" t="s">
        <v>3592</v>
      </c>
      <c r="Z1246" s="24" t="s">
        <v>2884</v>
      </c>
    </row>
    <row r="1247" spans="1:37" ht="15.45" customHeight="1" x14ac:dyDescent="0.25">
      <c r="A1247" s="29" t="s">
        <v>835</v>
      </c>
      <c r="B1247" s="24" t="s">
        <v>13</v>
      </c>
      <c r="C1247" s="37" t="s">
        <v>1223</v>
      </c>
      <c r="E1247" s="37" t="s">
        <v>2832</v>
      </c>
      <c r="F1247" s="24" t="s">
        <v>2129</v>
      </c>
      <c r="P1247" s="37" t="s">
        <v>1858</v>
      </c>
      <c r="S1247" s="10" t="s">
        <v>2983</v>
      </c>
      <c r="U1247" s="22">
        <v>1</v>
      </c>
      <c r="V1247" s="22">
        <v>1</v>
      </c>
      <c r="W1247" s="73">
        <f t="shared" si="56"/>
        <v>20</v>
      </c>
      <c r="X1247" s="80">
        <f t="shared" si="57"/>
        <v>2107</v>
      </c>
      <c r="Y1247" s="82" t="s">
        <v>3584</v>
      </c>
    </row>
    <row r="1248" spans="1:37" ht="15.45" customHeight="1" x14ac:dyDescent="0.25">
      <c r="A1248" s="29" t="s">
        <v>1409</v>
      </c>
      <c r="B1248" s="24" t="s">
        <v>580</v>
      </c>
      <c r="C1248" s="37" t="s">
        <v>1223</v>
      </c>
      <c r="E1248" s="37" t="s">
        <v>2832</v>
      </c>
      <c r="F1248" s="24" t="s">
        <v>2129</v>
      </c>
      <c r="P1248" s="37" t="s">
        <v>1603</v>
      </c>
      <c r="S1248" s="10" t="s">
        <v>2983</v>
      </c>
      <c r="U1248" s="22">
        <v>1</v>
      </c>
      <c r="V1248" s="22">
        <v>1</v>
      </c>
      <c r="W1248" s="73">
        <f t="shared" si="56"/>
        <v>21</v>
      </c>
      <c r="X1248" s="80">
        <f t="shared" si="57"/>
        <v>2108</v>
      </c>
      <c r="Y1248" s="82" t="s">
        <v>3584</v>
      </c>
    </row>
    <row r="1249" spans="1:35" ht="15.45" customHeight="1" x14ac:dyDescent="0.25">
      <c r="A1249" s="29" t="s">
        <v>1410</v>
      </c>
      <c r="B1249" s="24" t="s">
        <v>206</v>
      </c>
      <c r="C1249" s="37" t="s">
        <v>1223</v>
      </c>
      <c r="E1249" s="37" t="s">
        <v>2832</v>
      </c>
      <c r="F1249" s="24" t="s">
        <v>2129</v>
      </c>
      <c r="P1249" s="37" t="s">
        <v>1603</v>
      </c>
      <c r="S1249" s="10" t="s">
        <v>2983</v>
      </c>
      <c r="U1249" s="22">
        <v>1</v>
      </c>
      <c r="V1249" s="22">
        <v>1</v>
      </c>
      <c r="W1249" s="73">
        <f t="shared" si="56"/>
        <v>22</v>
      </c>
      <c r="X1249" s="80">
        <f t="shared" si="57"/>
        <v>2109</v>
      </c>
      <c r="Y1249" s="82" t="s">
        <v>3584</v>
      </c>
    </row>
    <row r="1250" spans="1:35" ht="15.45" customHeight="1" x14ac:dyDescent="0.25">
      <c r="A1250" s="29" t="s">
        <v>1776</v>
      </c>
      <c r="B1250" s="24" t="s">
        <v>4207</v>
      </c>
      <c r="C1250" s="37" t="s">
        <v>1223</v>
      </c>
      <c r="E1250" s="37" t="s">
        <v>2832</v>
      </c>
      <c r="F1250" s="24" t="s">
        <v>2129</v>
      </c>
      <c r="H1250" s="38" t="s">
        <v>5214</v>
      </c>
      <c r="P1250" s="37" t="s">
        <v>1603</v>
      </c>
      <c r="S1250" s="10" t="s">
        <v>2983</v>
      </c>
      <c r="U1250" s="22">
        <v>1</v>
      </c>
      <c r="V1250" s="21">
        <v>1</v>
      </c>
      <c r="W1250" s="73">
        <f t="shared" si="56"/>
        <v>23</v>
      </c>
      <c r="X1250" s="80">
        <f t="shared" si="57"/>
        <v>2110</v>
      </c>
      <c r="Y1250" s="82" t="s">
        <v>3584</v>
      </c>
      <c r="AA1250" s="180"/>
      <c r="AB1250" s="180"/>
      <c r="AH1250" t="s">
        <v>4805</v>
      </c>
    </row>
    <row r="1251" spans="1:35" ht="15.45" customHeight="1" x14ac:dyDescent="0.25">
      <c r="A1251" s="29" t="s">
        <v>2398</v>
      </c>
      <c r="B1251" s="24" t="s">
        <v>547</v>
      </c>
      <c r="C1251" s="37" t="s">
        <v>1223</v>
      </c>
      <c r="E1251" s="37" t="s">
        <v>2832</v>
      </c>
      <c r="F1251" s="24" t="s">
        <v>2129</v>
      </c>
      <c r="P1251" s="37" t="s">
        <v>1603</v>
      </c>
      <c r="S1251" s="10" t="s">
        <v>2983</v>
      </c>
      <c r="U1251" s="22">
        <v>1</v>
      </c>
      <c r="V1251" s="22">
        <v>1</v>
      </c>
      <c r="W1251" s="73">
        <f t="shared" si="56"/>
        <v>24</v>
      </c>
      <c r="X1251" s="80">
        <f t="shared" si="57"/>
        <v>2111</v>
      </c>
      <c r="Y1251" s="82" t="s">
        <v>3592</v>
      </c>
      <c r="Z1251" s="24" t="s">
        <v>2884</v>
      </c>
    </row>
    <row r="1252" spans="1:35" ht="15.45" customHeight="1" x14ac:dyDescent="0.25">
      <c r="A1252" s="29" t="s">
        <v>2399</v>
      </c>
      <c r="B1252" s="24" t="s">
        <v>549</v>
      </c>
      <c r="C1252" s="37" t="s">
        <v>1223</v>
      </c>
      <c r="E1252" s="37" t="s">
        <v>2832</v>
      </c>
      <c r="F1252" s="24" t="s">
        <v>2128</v>
      </c>
      <c r="P1252" s="37" t="s">
        <v>1603</v>
      </c>
      <c r="S1252" s="10" t="s">
        <v>2983</v>
      </c>
      <c r="U1252" s="22">
        <v>2</v>
      </c>
      <c r="V1252" s="22">
        <v>2</v>
      </c>
      <c r="W1252" s="73">
        <f t="shared" si="56"/>
        <v>26</v>
      </c>
      <c r="X1252" s="80">
        <f t="shared" si="57"/>
        <v>2113</v>
      </c>
      <c r="Y1252" s="82" t="s">
        <v>3592</v>
      </c>
      <c r="Z1252" s="24" t="s">
        <v>2884</v>
      </c>
    </row>
    <row r="1253" spans="1:35" ht="15.45" customHeight="1" x14ac:dyDescent="0.25">
      <c r="A1253" s="29" t="s">
        <v>1386</v>
      </c>
      <c r="B1253" s="24" t="s">
        <v>548</v>
      </c>
      <c r="C1253" s="37" t="s">
        <v>1223</v>
      </c>
      <c r="E1253" s="37" t="s">
        <v>2832</v>
      </c>
      <c r="F1253" s="24" t="s">
        <v>2128</v>
      </c>
      <c r="H1253" s="38" t="s">
        <v>2694</v>
      </c>
      <c r="P1253" s="37" t="s">
        <v>1603</v>
      </c>
      <c r="S1253" s="10" t="s">
        <v>2983</v>
      </c>
      <c r="U1253" s="22">
        <v>1</v>
      </c>
      <c r="V1253" s="22">
        <v>1</v>
      </c>
      <c r="W1253" s="73">
        <f t="shared" si="56"/>
        <v>27</v>
      </c>
      <c r="X1253" s="80">
        <f t="shared" si="57"/>
        <v>2114</v>
      </c>
      <c r="Y1253" s="82" t="s">
        <v>3592</v>
      </c>
      <c r="Z1253" s="24" t="s">
        <v>2884</v>
      </c>
    </row>
    <row r="1254" spans="1:35" ht="15.45" customHeight="1" x14ac:dyDescent="0.25">
      <c r="A1254" s="29" t="s">
        <v>1386</v>
      </c>
      <c r="B1254" s="24" t="s">
        <v>548</v>
      </c>
      <c r="C1254" s="37" t="s">
        <v>1223</v>
      </c>
      <c r="E1254" s="37" t="s">
        <v>2832</v>
      </c>
      <c r="F1254" s="24" t="s">
        <v>2128</v>
      </c>
      <c r="H1254" s="38" t="s">
        <v>2693</v>
      </c>
      <c r="P1254" s="37" t="s">
        <v>1603</v>
      </c>
      <c r="S1254" s="10" t="s">
        <v>2983</v>
      </c>
      <c r="U1254" s="22">
        <v>1</v>
      </c>
      <c r="V1254" s="22">
        <v>1</v>
      </c>
      <c r="W1254" s="73">
        <f t="shared" si="56"/>
        <v>28</v>
      </c>
      <c r="X1254" s="80">
        <f t="shared" si="57"/>
        <v>2115</v>
      </c>
      <c r="Y1254" s="82" t="s">
        <v>3591</v>
      </c>
      <c r="Z1254" s="24" t="s">
        <v>2553</v>
      </c>
      <c r="AB1254" s="177">
        <v>43133</v>
      </c>
      <c r="AC1254" s="84" t="s">
        <v>2885</v>
      </c>
    </row>
    <row r="1255" spans="1:35" ht="15.45" customHeight="1" x14ac:dyDescent="0.25">
      <c r="A1255" s="29" t="s">
        <v>1044</v>
      </c>
      <c r="B1255" s="24" t="s">
        <v>503</v>
      </c>
      <c r="C1255" s="37" t="s">
        <v>1223</v>
      </c>
      <c r="E1255" s="37" t="s">
        <v>2832</v>
      </c>
      <c r="F1255" s="24" t="s">
        <v>2129</v>
      </c>
      <c r="P1255" s="37" t="s">
        <v>1603</v>
      </c>
      <c r="S1255" s="10" t="s">
        <v>2983</v>
      </c>
      <c r="U1255" s="22">
        <v>1</v>
      </c>
      <c r="V1255" s="22">
        <v>1</v>
      </c>
      <c r="W1255" s="73">
        <f t="shared" si="56"/>
        <v>29</v>
      </c>
      <c r="X1255" s="80">
        <f t="shared" si="57"/>
        <v>2116</v>
      </c>
      <c r="Y1255" s="82" t="s">
        <v>3584</v>
      </c>
    </row>
    <row r="1256" spans="1:35" ht="15.45" customHeight="1" x14ac:dyDescent="0.25">
      <c r="A1256" s="29" t="s">
        <v>3198</v>
      </c>
      <c r="B1256" s="24" t="s">
        <v>665</v>
      </c>
      <c r="C1256" s="37" t="s">
        <v>1223</v>
      </c>
      <c r="E1256" s="37" t="s">
        <v>2832</v>
      </c>
      <c r="F1256" s="24" t="s">
        <v>2129</v>
      </c>
      <c r="P1256" s="37" t="s">
        <v>1603</v>
      </c>
      <c r="S1256" s="10" t="s">
        <v>2983</v>
      </c>
      <c r="U1256" s="22">
        <v>1</v>
      </c>
      <c r="V1256" s="21">
        <v>1</v>
      </c>
      <c r="W1256" s="73">
        <f t="shared" si="56"/>
        <v>30</v>
      </c>
      <c r="X1256" s="80">
        <f t="shared" si="57"/>
        <v>2117</v>
      </c>
      <c r="Y1256" s="82" t="s">
        <v>3584</v>
      </c>
    </row>
    <row r="1257" spans="1:35" ht="15.45" customHeight="1" x14ac:dyDescent="0.25">
      <c r="A1257" s="29" t="s">
        <v>1</v>
      </c>
      <c r="B1257" s="24" t="s">
        <v>665</v>
      </c>
      <c r="C1257" s="37" t="s">
        <v>1223</v>
      </c>
      <c r="E1257" s="37" t="s">
        <v>2832</v>
      </c>
      <c r="F1257" s="24" t="s">
        <v>2142</v>
      </c>
      <c r="H1257" s="38" t="s">
        <v>6190</v>
      </c>
      <c r="J1257" s="214" t="s">
        <v>5279</v>
      </c>
      <c r="K1257" s="10" t="s">
        <v>6181</v>
      </c>
      <c r="O1257" s="37" t="s">
        <v>4512</v>
      </c>
      <c r="P1257" s="37" t="s">
        <v>6191</v>
      </c>
      <c r="S1257" s="10" t="s">
        <v>3412</v>
      </c>
      <c r="U1257" s="22">
        <v>1</v>
      </c>
      <c r="V1257" s="21">
        <v>1</v>
      </c>
      <c r="W1257" s="73">
        <f t="shared" si="56"/>
        <v>31</v>
      </c>
      <c r="X1257" s="80">
        <f t="shared" si="57"/>
        <v>2118</v>
      </c>
      <c r="Y1257" s="82" t="s">
        <v>3591</v>
      </c>
      <c r="Z1257" s="24" t="s">
        <v>4514</v>
      </c>
      <c r="AB1257" s="177">
        <v>44493</v>
      </c>
      <c r="AC1257" s="84" t="s">
        <v>5308</v>
      </c>
    </row>
    <row r="1258" spans="1:35" ht="15.45" customHeight="1" x14ac:dyDescent="0.25">
      <c r="A1258" s="29" t="s">
        <v>1</v>
      </c>
      <c r="B1258" s="24" t="s">
        <v>665</v>
      </c>
      <c r="C1258" s="37" t="s">
        <v>1223</v>
      </c>
      <c r="E1258" s="37" t="s">
        <v>2832</v>
      </c>
      <c r="F1258" s="24" t="s">
        <v>2129</v>
      </c>
      <c r="J1258" s="218"/>
      <c r="N1258" s="150"/>
      <c r="O1258" s="150"/>
      <c r="P1258" s="37" t="s">
        <v>1603</v>
      </c>
      <c r="S1258" s="10" t="s">
        <v>2983</v>
      </c>
      <c r="U1258" s="22">
        <v>2</v>
      </c>
      <c r="V1258" s="21">
        <v>2</v>
      </c>
      <c r="W1258" s="73">
        <f t="shared" si="56"/>
        <v>33</v>
      </c>
      <c r="X1258" s="80">
        <f t="shared" si="57"/>
        <v>2120</v>
      </c>
      <c r="Y1258" s="82" t="s">
        <v>3592</v>
      </c>
      <c r="Z1258" s="24" t="s">
        <v>6230</v>
      </c>
      <c r="AA1258" s="182"/>
      <c r="AB1258" s="182"/>
      <c r="AC1258" s="140"/>
      <c r="AD1258" s="140"/>
    </row>
    <row r="1259" spans="1:35" ht="15.45" customHeight="1" x14ac:dyDescent="0.25">
      <c r="A1259" s="29" t="s">
        <v>143</v>
      </c>
      <c r="B1259" s="24" t="s">
        <v>144</v>
      </c>
      <c r="C1259" s="37" t="s">
        <v>1223</v>
      </c>
      <c r="E1259" s="37" t="s">
        <v>2832</v>
      </c>
      <c r="F1259" s="24" t="s">
        <v>2129</v>
      </c>
      <c r="H1259" s="38" t="s">
        <v>2736</v>
      </c>
      <c r="P1259" s="37" t="s">
        <v>78</v>
      </c>
      <c r="S1259" s="10" t="s">
        <v>2983</v>
      </c>
      <c r="U1259" s="22">
        <v>1</v>
      </c>
      <c r="V1259" s="22">
        <v>1</v>
      </c>
      <c r="W1259" s="73">
        <f t="shared" si="56"/>
        <v>34</v>
      </c>
      <c r="X1259" s="80">
        <f t="shared" si="57"/>
        <v>2121</v>
      </c>
      <c r="Y1259" s="82" t="s">
        <v>3592</v>
      </c>
      <c r="Z1259" s="24" t="s">
        <v>6230</v>
      </c>
    </row>
    <row r="1260" spans="1:35" ht="15.45" customHeight="1" x14ac:dyDescent="0.25">
      <c r="A1260" s="7" t="s">
        <v>2732</v>
      </c>
      <c r="B1260" s="24" t="s">
        <v>2734</v>
      </c>
      <c r="C1260" s="37" t="s">
        <v>1223</v>
      </c>
      <c r="E1260" s="37" t="s">
        <v>2832</v>
      </c>
      <c r="F1260" s="24" t="s">
        <v>2129</v>
      </c>
      <c r="H1260" s="38" t="s">
        <v>2733</v>
      </c>
      <c r="P1260" s="37" t="s">
        <v>2735</v>
      </c>
      <c r="S1260" s="10" t="s">
        <v>2983</v>
      </c>
      <c r="U1260" s="22">
        <v>1</v>
      </c>
      <c r="V1260" s="22">
        <v>1</v>
      </c>
      <c r="W1260" s="73">
        <f t="shared" si="56"/>
        <v>35</v>
      </c>
      <c r="X1260" s="80">
        <f t="shared" si="57"/>
        <v>2122</v>
      </c>
      <c r="Y1260" s="82" t="s">
        <v>3592</v>
      </c>
      <c r="Z1260" s="24" t="s">
        <v>6230</v>
      </c>
      <c r="AB1260" s="177">
        <v>43132</v>
      </c>
      <c r="AC1260" s="84" t="s">
        <v>2885</v>
      </c>
    </row>
    <row r="1261" spans="1:35" ht="15.45" customHeight="1" x14ac:dyDescent="0.25">
      <c r="A1261" s="29" t="s">
        <v>82</v>
      </c>
      <c r="B1261" s="24" t="s">
        <v>81</v>
      </c>
      <c r="C1261" s="37" t="s">
        <v>1223</v>
      </c>
      <c r="E1261" s="37" t="s">
        <v>2832</v>
      </c>
      <c r="F1261" s="24" t="s">
        <v>2319</v>
      </c>
      <c r="P1261" s="37" t="s">
        <v>1857</v>
      </c>
      <c r="S1261" s="10" t="s">
        <v>2983</v>
      </c>
      <c r="U1261" s="22">
        <v>1</v>
      </c>
      <c r="V1261" s="22">
        <v>1</v>
      </c>
      <c r="W1261" s="73">
        <f t="shared" si="56"/>
        <v>36</v>
      </c>
      <c r="X1261" s="80">
        <f t="shared" si="57"/>
        <v>2123</v>
      </c>
      <c r="Y1261" s="82" t="s">
        <v>3584</v>
      </c>
    </row>
    <row r="1262" spans="1:35" ht="15.45" customHeight="1" x14ac:dyDescent="0.25">
      <c r="A1262" s="29" t="s">
        <v>1601</v>
      </c>
      <c r="B1262" s="24" t="s">
        <v>1602</v>
      </c>
      <c r="C1262" s="37" t="s">
        <v>1223</v>
      </c>
      <c r="E1262" s="37" t="s">
        <v>2832</v>
      </c>
      <c r="F1262" s="24" t="s">
        <v>2129</v>
      </c>
      <c r="P1262" s="37" t="s">
        <v>1603</v>
      </c>
      <c r="S1262" s="10" t="s">
        <v>2983</v>
      </c>
      <c r="U1262" s="22">
        <v>1</v>
      </c>
      <c r="V1262" s="22">
        <v>2</v>
      </c>
      <c r="W1262" s="73">
        <f t="shared" si="56"/>
        <v>38</v>
      </c>
      <c r="X1262" s="80">
        <f t="shared" si="57"/>
        <v>2125</v>
      </c>
      <c r="Y1262" s="82" t="s">
        <v>3592</v>
      </c>
      <c r="Z1262" s="24" t="s">
        <v>2894</v>
      </c>
    </row>
    <row r="1263" spans="1:35" ht="15.45" customHeight="1" x14ac:dyDescent="0.25">
      <c r="A1263" s="29" t="s">
        <v>1761</v>
      </c>
      <c r="B1263" s="24" t="s">
        <v>7279</v>
      </c>
      <c r="C1263" s="37" t="s">
        <v>1223</v>
      </c>
      <c r="E1263" s="37" t="s">
        <v>2832</v>
      </c>
      <c r="F1263" s="24" t="s">
        <v>2129</v>
      </c>
      <c r="H1263" s="38" t="s">
        <v>7277</v>
      </c>
      <c r="P1263" s="37" t="s">
        <v>1603</v>
      </c>
      <c r="S1263" s="10" t="s">
        <v>2983</v>
      </c>
      <c r="U1263" s="22">
        <v>1</v>
      </c>
      <c r="V1263" s="22">
        <v>1</v>
      </c>
      <c r="W1263" s="73">
        <f t="shared" si="56"/>
        <v>39</v>
      </c>
      <c r="X1263" s="80">
        <f t="shared" si="57"/>
        <v>2126</v>
      </c>
      <c r="Y1263" s="82" t="s">
        <v>3592</v>
      </c>
      <c r="Z1263" s="24" t="s">
        <v>2884</v>
      </c>
      <c r="AI1263" s="10" t="s">
        <v>2802</v>
      </c>
    </row>
    <row r="1264" spans="1:35" ht="15.45" customHeight="1" x14ac:dyDescent="0.25">
      <c r="A1264" s="29" t="s">
        <v>2801</v>
      </c>
      <c r="B1264" s="24" t="s">
        <v>7279</v>
      </c>
      <c r="C1264" s="37" t="s">
        <v>1223</v>
      </c>
      <c r="E1264" s="37" t="s">
        <v>2832</v>
      </c>
      <c r="F1264" s="24" t="s">
        <v>2129</v>
      </c>
      <c r="H1264" s="38" t="s">
        <v>2786</v>
      </c>
      <c r="P1264" s="37" t="s">
        <v>1603</v>
      </c>
      <c r="S1264" s="10" t="s">
        <v>2983</v>
      </c>
      <c r="U1264" s="22">
        <v>1</v>
      </c>
      <c r="V1264" s="22">
        <v>1</v>
      </c>
      <c r="W1264" s="73">
        <f t="shared" si="56"/>
        <v>40</v>
      </c>
      <c r="X1264" s="80">
        <f t="shared" si="57"/>
        <v>2127</v>
      </c>
      <c r="Y1264" s="82" t="s">
        <v>3591</v>
      </c>
      <c r="Z1264" s="24" t="s">
        <v>2553</v>
      </c>
      <c r="AB1264" s="177">
        <v>43160</v>
      </c>
      <c r="AC1264" s="84" t="s">
        <v>2885</v>
      </c>
    </row>
    <row r="1265" spans="1:37" ht="15.45" customHeight="1" x14ac:dyDescent="0.25">
      <c r="A1265" s="29" t="s">
        <v>2857</v>
      </c>
      <c r="B1265" s="24" t="s">
        <v>7279</v>
      </c>
      <c r="C1265" s="37" t="s">
        <v>1223</v>
      </c>
      <c r="E1265" s="37" t="s">
        <v>2832</v>
      </c>
      <c r="F1265" s="24" t="s">
        <v>2129</v>
      </c>
      <c r="H1265" s="38" t="s">
        <v>2787</v>
      </c>
      <c r="J1265" s="214" t="s">
        <v>7278</v>
      </c>
      <c r="P1265" s="37" t="s">
        <v>1603</v>
      </c>
      <c r="S1265" s="10" t="s">
        <v>2983</v>
      </c>
      <c r="U1265" s="22">
        <v>1</v>
      </c>
      <c r="V1265" s="22">
        <v>1</v>
      </c>
      <c r="W1265" s="73">
        <f t="shared" si="56"/>
        <v>41</v>
      </c>
      <c r="X1265" s="80">
        <f t="shared" si="57"/>
        <v>2128</v>
      </c>
      <c r="Y1265" s="82" t="s">
        <v>3584</v>
      </c>
      <c r="AB1265" s="177">
        <v>42064</v>
      </c>
      <c r="AC1265" s="84" t="s">
        <v>2885</v>
      </c>
      <c r="AI1265" s="10" t="s">
        <v>2112</v>
      </c>
    </row>
    <row r="1266" spans="1:37" ht="15.45" customHeight="1" x14ac:dyDescent="0.25">
      <c r="A1266" s="29" t="s">
        <v>470</v>
      </c>
      <c r="B1266" s="24" t="s">
        <v>504</v>
      </c>
      <c r="C1266" s="37" t="s">
        <v>1223</v>
      </c>
      <c r="E1266" s="37" t="s">
        <v>2832</v>
      </c>
      <c r="F1266" s="24" t="s">
        <v>2129</v>
      </c>
      <c r="P1266" s="37" t="s">
        <v>1603</v>
      </c>
      <c r="S1266" s="10" t="s">
        <v>2983</v>
      </c>
      <c r="U1266" s="22">
        <v>1</v>
      </c>
      <c r="V1266" s="22">
        <v>3</v>
      </c>
      <c r="W1266" s="73">
        <f t="shared" si="56"/>
        <v>44</v>
      </c>
      <c r="X1266" s="80">
        <f t="shared" si="57"/>
        <v>2131</v>
      </c>
      <c r="Y1266" s="82" t="s">
        <v>3584</v>
      </c>
    </row>
    <row r="1267" spans="1:37" ht="15.45" customHeight="1" x14ac:dyDescent="0.25">
      <c r="A1267" s="29" t="s">
        <v>1764</v>
      </c>
      <c r="B1267" s="24" t="s">
        <v>504</v>
      </c>
      <c r="C1267" s="37" t="s">
        <v>1223</v>
      </c>
      <c r="E1267" s="37" t="s">
        <v>2832</v>
      </c>
      <c r="F1267" s="24" t="s">
        <v>2129</v>
      </c>
      <c r="P1267" s="37" t="s">
        <v>1603</v>
      </c>
      <c r="S1267" s="10" t="s">
        <v>2983</v>
      </c>
      <c r="U1267" s="22">
        <v>1</v>
      </c>
      <c r="V1267" s="22">
        <v>1</v>
      </c>
      <c r="W1267" s="73">
        <f t="shared" si="56"/>
        <v>45</v>
      </c>
      <c r="X1267" s="80">
        <f t="shared" si="57"/>
        <v>2132</v>
      </c>
      <c r="Y1267" s="82" t="s">
        <v>3592</v>
      </c>
      <c r="Z1267" s="24" t="s">
        <v>2884</v>
      </c>
    </row>
    <row r="1268" spans="1:37" ht="15.45" customHeight="1" x14ac:dyDescent="0.25">
      <c r="A1268" s="29" t="s">
        <v>1855</v>
      </c>
      <c r="B1268" s="24" t="s">
        <v>505</v>
      </c>
      <c r="C1268" s="37" t="s">
        <v>1223</v>
      </c>
      <c r="E1268" s="37" t="s">
        <v>2832</v>
      </c>
      <c r="F1268" s="24" t="s">
        <v>2129</v>
      </c>
      <c r="P1268" s="37" t="s">
        <v>1603</v>
      </c>
      <c r="S1268" s="10" t="s">
        <v>2983</v>
      </c>
      <c r="U1268" s="22">
        <v>1</v>
      </c>
      <c r="V1268" s="22">
        <v>1</v>
      </c>
      <c r="W1268" s="73">
        <f t="shared" ref="W1268:W1299" si="58">W1267+V1268</f>
        <v>46</v>
      </c>
      <c r="X1268" s="80">
        <f t="shared" ref="X1268:X1299" si="59">V1268+X1267</f>
        <v>2133</v>
      </c>
      <c r="Y1268" s="82" t="s">
        <v>3592</v>
      </c>
      <c r="Z1268" s="24" t="s">
        <v>2884</v>
      </c>
    </row>
    <row r="1269" spans="1:37" ht="15.45" customHeight="1" x14ac:dyDescent="0.25">
      <c r="A1269" s="29" t="s">
        <v>893</v>
      </c>
      <c r="B1269" s="24" t="s">
        <v>506</v>
      </c>
      <c r="C1269" s="37" t="s">
        <v>1223</v>
      </c>
      <c r="E1269" s="37" t="s">
        <v>2832</v>
      </c>
      <c r="F1269" s="24" t="s">
        <v>2129</v>
      </c>
      <c r="P1269" s="37" t="s">
        <v>1603</v>
      </c>
      <c r="S1269" s="10" t="s">
        <v>2983</v>
      </c>
      <c r="U1269" s="22">
        <v>1</v>
      </c>
      <c r="V1269" s="22">
        <v>2</v>
      </c>
      <c r="W1269" s="73">
        <f t="shared" si="58"/>
        <v>48</v>
      </c>
      <c r="X1269" s="80">
        <f t="shared" si="59"/>
        <v>2135</v>
      </c>
      <c r="Y1269" s="82" t="s">
        <v>3584</v>
      </c>
    </row>
    <row r="1270" spans="1:37" ht="15.45" customHeight="1" x14ac:dyDescent="0.25">
      <c r="A1270" s="29" t="s">
        <v>1770</v>
      </c>
      <c r="B1270" s="24" t="s">
        <v>507</v>
      </c>
      <c r="C1270" s="37" t="s">
        <v>1223</v>
      </c>
      <c r="E1270" s="37" t="s">
        <v>2832</v>
      </c>
      <c r="F1270" s="24" t="s">
        <v>2129</v>
      </c>
      <c r="P1270" s="37" t="s">
        <v>1603</v>
      </c>
      <c r="S1270" s="10" t="s">
        <v>2983</v>
      </c>
      <c r="U1270" s="22">
        <v>1</v>
      </c>
      <c r="V1270" s="22">
        <v>1</v>
      </c>
      <c r="W1270" s="73">
        <f t="shared" si="58"/>
        <v>49</v>
      </c>
      <c r="X1270" s="80">
        <f t="shared" si="59"/>
        <v>2136</v>
      </c>
      <c r="Y1270" s="82" t="s">
        <v>3592</v>
      </c>
      <c r="Z1270" s="24" t="s">
        <v>2884</v>
      </c>
    </row>
    <row r="1271" spans="1:37" ht="15.45" customHeight="1" x14ac:dyDescent="0.25">
      <c r="A1271" s="29" t="s">
        <v>894</v>
      </c>
      <c r="B1271" s="24" t="s">
        <v>508</v>
      </c>
      <c r="C1271" s="37" t="s">
        <v>1223</v>
      </c>
      <c r="E1271" s="37" t="s">
        <v>2832</v>
      </c>
      <c r="F1271" s="24" t="s">
        <v>2129</v>
      </c>
      <c r="P1271" s="37" t="s">
        <v>1603</v>
      </c>
      <c r="S1271" s="10" t="s">
        <v>2983</v>
      </c>
      <c r="U1271" s="22">
        <v>1</v>
      </c>
      <c r="V1271" s="22">
        <v>1</v>
      </c>
      <c r="W1271" s="73">
        <f t="shared" si="58"/>
        <v>50</v>
      </c>
      <c r="X1271" s="80">
        <f t="shared" si="59"/>
        <v>2137</v>
      </c>
      <c r="Y1271" s="82" t="s">
        <v>3584</v>
      </c>
    </row>
    <row r="1272" spans="1:37" ht="15.45" customHeight="1" x14ac:dyDescent="0.25">
      <c r="A1272" s="29" t="s">
        <v>1018</v>
      </c>
      <c r="B1272" s="24" t="s">
        <v>408</v>
      </c>
      <c r="C1272" s="37" t="s">
        <v>1223</v>
      </c>
      <c r="E1272" s="37" t="s">
        <v>2832</v>
      </c>
      <c r="F1272" s="24" t="s">
        <v>2129</v>
      </c>
      <c r="P1272" s="37" t="s">
        <v>1857</v>
      </c>
      <c r="S1272" s="10" t="s">
        <v>2983</v>
      </c>
      <c r="U1272" s="22">
        <v>1</v>
      </c>
      <c r="V1272" s="22">
        <v>1</v>
      </c>
      <c r="W1272" s="73">
        <f t="shared" si="58"/>
        <v>51</v>
      </c>
      <c r="X1272" s="80">
        <f t="shared" si="59"/>
        <v>2138</v>
      </c>
      <c r="Y1272" s="82" t="s">
        <v>3584</v>
      </c>
    </row>
    <row r="1273" spans="1:37" ht="15.45" customHeight="1" x14ac:dyDescent="0.25">
      <c r="A1273" s="29" t="s">
        <v>1018</v>
      </c>
      <c r="B1273" s="24" t="s">
        <v>408</v>
      </c>
      <c r="C1273" s="37" t="s">
        <v>1223</v>
      </c>
      <c r="E1273" s="37" t="s">
        <v>2832</v>
      </c>
      <c r="F1273" s="24" t="s">
        <v>2129</v>
      </c>
      <c r="P1273" s="37" t="s">
        <v>1603</v>
      </c>
      <c r="S1273" s="10" t="s">
        <v>2983</v>
      </c>
      <c r="U1273" s="22">
        <v>1</v>
      </c>
      <c r="V1273" s="22">
        <v>2</v>
      </c>
      <c r="W1273" s="73">
        <f t="shared" si="58"/>
        <v>53</v>
      </c>
      <c r="X1273" s="80">
        <f t="shared" si="59"/>
        <v>2140</v>
      </c>
      <c r="Y1273" s="82" t="s">
        <v>3584</v>
      </c>
    </row>
    <row r="1274" spans="1:37" ht="15.45" customHeight="1" x14ac:dyDescent="0.25">
      <c r="A1274" s="29" t="s">
        <v>2400</v>
      </c>
      <c r="B1274" s="24" t="s">
        <v>409</v>
      </c>
      <c r="C1274" s="37" t="s">
        <v>1223</v>
      </c>
      <c r="E1274" s="37" t="s">
        <v>2832</v>
      </c>
      <c r="F1274" s="24" t="s">
        <v>2129</v>
      </c>
      <c r="P1274" s="37" t="s">
        <v>1603</v>
      </c>
      <c r="S1274" s="10" t="s">
        <v>2983</v>
      </c>
      <c r="U1274" s="22">
        <v>1</v>
      </c>
      <c r="V1274" s="22">
        <v>1</v>
      </c>
      <c r="W1274" s="73">
        <f t="shared" si="58"/>
        <v>54</v>
      </c>
      <c r="X1274" s="80">
        <f t="shared" si="59"/>
        <v>2141</v>
      </c>
      <c r="Y1274" s="82" t="s">
        <v>3592</v>
      </c>
      <c r="Z1274" s="24" t="s">
        <v>2884</v>
      </c>
    </row>
    <row r="1275" spans="1:37" ht="15.45" customHeight="1" x14ac:dyDescent="0.25">
      <c r="A1275" s="29" t="s">
        <v>377</v>
      </c>
      <c r="B1275" s="24" t="s">
        <v>4806</v>
      </c>
      <c r="C1275" s="37" t="s">
        <v>1223</v>
      </c>
      <c r="E1275" s="37" t="s">
        <v>2832</v>
      </c>
      <c r="F1275" s="24" t="s">
        <v>2128</v>
      </c>
      <c r="H1275" s="38" t="s">
        <v>4807</v>
      </c>
      <c r="P1275" s="37" t="s">
        <v>1857</v>
      </c>
      <c r="S1275" s="10" t="s">
        <v>2983</v>
      </c>
      <c r="U1275" s="22">
        <v>1</v>
      </c>
      <c r="V1275" s="21">
        <v>1</v>
      </c>
      <c r="W1275" s="73">
        <f t="shared" si="58"/>
        <v>55</v>
      </c>
      <c r="X1275" s="80">
        <f t="shared" si="59"/>
        <v>2142</v>
      </c>
      <c r="Y1275" s="82" t="s">
        <v>3584</v>
      </c>
    </row>
    <row r="1276" spans="1:37" ht="15.45" customHeight="1" x14ac:dyDescent="0.25">
      <c r="A1276" s="29" t="s">
        <v>3314</v>
      </c>
      <c r="B1276" s="24" t="s">
        <v>410</v>
      </c>
      <c r="C1276" s="37" t="s">
        <v>1223</v>
      </c>
      <c r="E1276" s="37" t="s">
        <v>2832</v>
      </c>
      <c r="F1276" s="24" t="s">
        <v>2129</v>
      </c>
      <c r="P1276" s="37" t="s">
        <v>1603</v>
      </c>
      <c r="S1276" s="10" t="s">
        <v>2983</v>
      </c>
      <c r="U1276" s="22">
        <v>1</v>
      </c>
      <c r="V1276" s="22">
        <v>1</v>
      </c>
      <c r="W1276" s="73">
        <f t="shared" si="58"/>
        <v>56</v>
      </c>
      <c r="X1276" s="80">
        <f t="shared" si="59"/>
        <v>2143</v>
      </c>
      <c r="Y1276" s="82" t="s">
        <v>3584</v>
      </c>
    </row>
    <row r="1277" spans="1:37" ht="15.45" customHeight="1" x14ac:dyDescent="0.25">
      <c r="A1277" s="31" t="s">
        <v>949</v>
      </c>
      <c r="B1277" s="25" t="s">
        <v>950</v>
      </c>
      <c r="C1277" s="37" t="s">
        <v>1223</v>
      </c>
      <c r="E1277" s="37" t="s">
        <v>2832</v>
      </c>
      <c r="F1277" s="24" t="s">
        <v>2129</v>
      </c>
      <c r="L1277" s="103"/>
      <c r="M1277" s="103"/>
      <c r="P1277" s="37" t="s">
        <v>1603</v>
      </c>
      <c r="S1277" s="10" t="s">
        <v>2983</v>
      </c>
      <c r="T1277" s="11"/>
      <c r="U1277" s="22">
        <v>1</v>
      </c>
      <c r="V1277" s="21">
        <v>1</v>
      </c>
      <c r="W1277" s="73">
        <f t="shared" si="58"/>
        <v>57</v>
      </c>
      <c r="X1277" s="80">
        <f t="shared" si="59"/>
        <v>2144</v>
      </c>
      <c r="Y1277" s="82" t="s">
        <v>3584</v>
      </c>
      <c r="AF1277" s="11"/>
      <c r="AG1277" s="11"/>
      <c r="AH1277" s="11"/>
      <c r="AI1277" s="11"/>
      <c r="AJ1277" s="11"/>
      <c r="AK1277" s="11"/>
    </row>
    <row r="1278" spans="1:37" ht="15.45" customHeight="1" x14ac:dyDescent="0.25">
      <c r="A1278" s="29" t="s">
        <v>2788</v>
      </c>
      <c r="B1278" s="24" t="s">
        <v>2785</v>
      </c>
      <c r="C1278" s="37" t="s">
        <v>1223</v>
      </c>
      <c r="E1278" s="37" t="s">
        <v>2832</v>
      </c>
      <c r="F1278" s="24" t="s">
        <v>2129</v>
      </c>
      <c r="H1278" s="38" t="s">
        <v>2786</v>
      </c>
      <c r="P1278" s="37" t="s">
        <v>1603</v>
      </c>
      <c r="S1278" s="10" t="s">
        <v>2983</v>
      </c>
      <c r="U1278" s="22">
        <v>1</v>
      </c>
      <c r="V1278" s="22">
        <v>1</v>
      </c>
      <c r="W1278" s="73">
        <f t="shared" si="58"/>
        <v>58</v>
      </c>
      <c r="X1278" s="80">
        <f t="shared" si="59"/>
        <v>2145</v>
      </c>
      <c r="Y1278" s="82" t="s">
        <v>3592</v>
      </c>
      <c r="Z1278" s="24" t="s">
        <v>2884</v>
      </c>
    </row>
    <row r="1279" spans="1:37" ht="15.45" customHeight="1" x14ac:dyDescent="0.25">
      <c r="A1279" s="29" t="s">
        <v>2788</v>
      </c>
      <c r="B1279" s="24" t="s">
        <v>2785</v>
      </c>
      <c r="C1279" s="37" t="s">
        <v>1223</v>
      </c>
      <c r="E1279" s="37" t="s">
        <v>2832</v>
      </c>
      <c r="F1279" s="24" t="s">
        <v>2129</v>
      </c>
      <c r="H1279" s="38" t="s">
        <v>2787</v>
      </c>
      <c r="J1279" s="214" t="s">
        <v>3691</v>
      </c>
      <c r="K1279" s="10" t="s">
        <v>3717</v>
      </c>
      <c r="P1279" s="37" t="s">
        <v>1603</v>
      </c>
      <c r="S1279" s="10" t="s">
        <v>2983</v>
      </c>
      <c r="U1279" s="22">
        <v>1</v>
      </c>
      <c r="V1279" s="22">
        <v>1</v>
      </c>
      <c r="W1279" s="73">
        <f t="shared" si="58"/>
        <v>59</v>
      </c>
      <c r="X1279" s="80">
        <f t="shared" si="59"/>
        <v>2146</v>
      </c>
      <c r="Y1279" s="82" t="s">
        <v>3584</v>
      </c>
    </row>
    <row r="1280" spans="1:37" ht="15.45" customHeight="1" x14ac:dyDescent="0.25">
      <c r="A1280" s="29" t="s">
        <v>2803</v>
      </c>
      <c r="B1280" s="24" t="s">
        <v>2804</v>
      </c>
      <c r="C1280" s="37" t="s">
        <v>1223</v>
      </c>
      <c r="E1280" s="37" t="s">
        <v>2832</v>
      </c>
      <c r="F1280" s="24" t="s">
        <v>2129</v>
      </c>
      <c r="P1280" s="37" t="s">
        <v>1603</v>
      </c>
      <c r="S1280" s="10" t="s">
        <v>2983</v>
      </c>
      <c r="U1280" s="22">
        <v>1</v>
      </c>
      <c r="V1280" s="22">
        <v>1</v>
      </c>
      <c r="W1280" s="73">
        <f t="shared" si="58"/>
        <v>60</v>
      </c>
      <c r="X1280" s="80">
        <f t="shared" si="59"/>
        <v>2147</v>
      </c>
      <c r="Y1280" s="82" t="s">
        <v>3591</v>
      </c>
      <c r="Z1280" s="24" t="s">
        <v>2553</v>
      </c>
      <c r="AB1280" s="177">
        <v>43160</v>
      </c>
      <c r="AC1280" s="84" t="s">
        <v>2885</v>
      </c>
    </row>
    <row r="1281" spans="1:37" ht="15.45" customHeight="1" x14ac:dyDescent="0.25">
      <c r="A1281" s="29" t="s">
        <v>2788</v>
      </c>
      <c r="B1281" s="24" t="s">
        <v>2785</v>
      </c>
      <c r="C1281" s="37" t="s">
        <v>1223</v>
      </c>
      <c r="E1281" s="37" t="s">
        <v>2832</v>
      </c>
      <c r="F1281" s="24" t="s">
        <v>2129</v>
      </c>
      <c r="H1281" s="38" t="s">
        <v>2790</v>
      </c>
      <c r="P1281" s="37" t="s">
        <v>1603</v>
      </c>
      <c r="S1281" s="10" t="s">
        <v>2983</v>
      </c>
      <c r="U1281" s="22">
        <v>1</v>
      </c>
      <c r="V1281" s="22">
        <v>3</v>
      </c>
      <c r="W1281" s="73">
        <f t="shared" si="58"/>
        <v>63</v>
      </c>
      <c r="X1281" s="80">
        <f t="shared" si="59"/>
        <v>2150</v>
      </c>
      <c r="Y1281" s="82" t="s">
        <v>3591</v>
      </c>
      <c r="Z1281" s="24" t="s">
        <v>2553</v>
      </c>
      <c r="AB1281" s="177">
        <v>43132</v>
      </c>
      <c r="AC1281" s="84" t="s">
        <v>2885</v>
      </c>
    </row>
    <row r="1282" spans="1:37" ht="15.45" customHeight="1" x14ac:dyDescent="0.25">
      <c r="A1282" s="29" t="s">
        <v>2789</v>
      </c>
      <c r="B1282" s="24" t="s">
        <v>301</v>
      </c>
      <c r="C1282" s="37" t="s">
        <v>1223</v>
      </c>
      <c r="E1282" s="37" t="s">
        <v>2832</v>
      </c>
      <c r="F1282" s="24" t="s">
        <v>2129</v>
      </c>
      <c r="H1282" s="38" t="s">
        <v>2685</v>
      </c>
      <c r="J1282" s="214" t="s">
        <v>5113</v>
      </c>
      <c r="K1282" s="10" t="s">
        <v>4042</v>
      </c>
      <c r="L1282" s="102" t="s">
        <v>3645</v>
      </c>
      <c r="P1282" s="37" t="s">
        <v>1603</v>
      </c>
      <c r="S1282" s="10" t="s">
        <v>2983</v>
      </c>
      <c r="U1282" s="22">
        <v>1</v>
      </c>
      <c r="V1282" s="22">
        <v>1</v>
      </c>
      <c r="W1282" s="73">
        <f t="shared" si="58"/>
        <v>64</v>
      </c>
      <c r="X1282" s="80">
        <f t="shared" si="59"/>
        <v>2151</v>
      </c>
      <c r="Y1282" s="82" t="s">
        <v>3584</v>
      </c>
      <c r="AB1282" s="177">
        <v>43040</v>
      </c>
      <c r="AC1282" s="84" t="s">
        <v>2885</v>
      </c>
      <c r="AI1282" s="10" t="s">
        <v>2596</v>
      </c>
    </row>
    <row r="1283" spans="1:37" ht="15.45" customHeight="1" x14ac:dyDescent="0.25">
      <c r="A1283" s="29" t="s">
        <v>912</v>
      </c>
      <c r="B1283" s="24" t="s">
        <v>301</v>
      </c>
      <c r="C1283" s="37" t="s">
        <v>1223</v>
      </c>
      <c r="E1283" s="37" t="s">
        <v>2832</v>
      </c>
      <c r="F1283" s="24" t="s">
        <v>2129</v>
      </c>
      <c r="P1283" s="37" t="s">
        <v>1603</v>
      </c>
      <c r="S1283" s="10" t="s">
        <v>2983</v>
      </c>
      <c r="U1283" s="22">
        <v>1</v>
      </c>
      <c r="V1283" s="22">
        <v>1</v>
      </c>
      <c r="W1283" s="73">
        <f t="shared" si="58"/>
        <v>65</v>
      </c>
      <c r="X1283" s="80">
        <f t="shared" si="59"/>
        <v>2152</v>
      </c>
      <c r="Y1283" s="82" t="s">
        <v>3584</v>
      </c>
    </row>
    <row r="1284" spans="1:37" ht="15.45" customHeight="1" x14ac:dyDescent="0.25">
      <c r="A1284" s="29" t="s">
        <v>895</v>
      </c>
      <c r="B1284" s="24" t="s">
        <v>411</v>
      </c>
      <c r="C1284" s="37" t="s">
        <v>1223</v>
      </c>
      <c r="E1284" s="37" t="s">
        <v>2832</v>
      </c>
      <c r="F1284" s="24" t="s">
        <v>2129</v>
      </c>
      <c r="J1284" s="214" t="s">
        <v>3691</v>
      </c>
      <c r="K1284" s="10" t="s">
        <v>3717</v>
      </c>
      <c r="P1284" s="37" t="s">
        <v>1603</v>
      </c>
      <c r="S1284" s="10" t="s">
        <v>2983</v>
      </c>
      <c r="U1284" s="22">
        <v>1</v>
      </c>
      <c r="V1284" s="22">
        <v>2</v>
      </c>
      <c r="W1284" s="73">
        <f t="shared" si="58"/>
        <v>67</v>
      </c>
      <c r="X1284" s="80">
        <f t="shared" si="59"/>
        <v>2154</v>
      </c>
      <c r="Y1284" s="82" t="s">
        <v>3584</v>
      </c>
    </row>
    <row r="1285" spans="1:37" ht="15.45" customHeight="1" x14ac:dyDescent="0.25">
      <c r="A1285" s="29" t="s">
        <v>3804</v>
      </c>
      <c r="B1285" s="24" t="s">
        <v>1078</v>
      </c>
      <c r="C1285" s="37" t="s">
        <v>1223</v>
      </c>
      <c r="E1285" s="37" t="s">
        <v>2832</v>
      </c>
      <c r="F1285" s="24" t="s">
        <v>2128</v>
      </c>
      <c r="H1285" s="38" t="s">
        <v>3805</v>
      </c>
      <c r="P1285" s="37" t="s">
        <v>1857</v>
      </c>
      <c r="S1285" s="10" t="s">
        <v>2983</v>
      </c>
      <c r="U1285" s="22">
        <v>1</v>
      </c>
      <c r="V1285" s="22">
        <v>1</v>
      </c>
      <c r="W1285" s="73">
        <f t="shared" si="58"/>
        <v>68</v>
      </c>
      <c r="X1285" s="80">
        <f t="shared" si="59"/>
        <v>2155</v>
      </c>
      <c r="Y1285" s="82" t="s">
        <v>3584</v>
      </c>
    </row>
    <row r="1286" spans="1:37" ht="15.45" customHeight="1" x14ac:dyDescent="0.25">
      <c r="A1286" s="29" t="s">
        <v>677</v>
      </c>
      <c r="B1286" s="24" t="s">
        <v>4346</v>
      </c>
      <c r="C1286" s="37" t="s">
        <v>1223</v>
      </c>
      <c r="E1286" s="37" t="s">
        <v>2832</v>
      </c>
      <c r="F1286" s="24" t="s">
        <v>2129</v>
      </c>
      <c r="P1286" s="37" t="s">
        <v>1859</v>
      </c>
      <c r="S1286" s="10" t="s">
        <v>2983</v>
      </c>
      <c r="U1286" s="22">
        <v>1</v>
      </c>
      <c r="V1286" s="22">
        <v>8</v>
      </c>
      <c r="W1286" s="73">
        <f t="shared" si="58"/>
        <v>76</v>
      </c>
      <c r="X1286" s="80">
        <f t="shared" si="59"/>
        <v>2163</v>
      </c>
      <c r="Y1286" s="82" t="s">
        <v>3584</v>
      </c>
    </row>
    <row r="1287" spans="1:37" ht="15.45" customHeight="1" x14ac:dyDescent="0.25">
      <c r="A1287" s="29" t="s">
        <v>7298</v>
      </c>
      <c r="B1287" s="24" t="s">
        <v>7299</v>
      </c>
      <c r="C1287" s="37" t="s">
        <v>1223</v>
      </c>
      <c r="E1287" s="37" t="s">
        <v>2832</v>
      </c>
      <c r="F1287" s="24" t="s">
        <v>2128</v>
      </c>
      <c r="H1287" s="38" t="s">
        <v>7308</v>
      </c>
      <c r="O1287" s="37" t="s">
        <v>7300</v>
      </c>
      <c r="P1287" s="37" t="s">
        <v>85</v>
      </c>
      <c r="S1287" s="10" t="s">
        <v>2983</v>
      </c>
      <c r="U1287" s="22">
        <v>1</v>
      </c>
      <c r="V1287" s="22">
        <v>1</v>
      </c>
      <c r="W1287" s="73">
        <f t="shared" si="58"/>
        <v>77</v>
      </c>
      <c r="X1287" s="80">
        <f t="shared" si="59"/>
        <v>2164</v>
      </c>
      <c r="Y1287" s="82" t="s">
        <v>3584</v>
      </c>
    </row>
    <row r="1288" spans="1:37" ht="15.45" customHeight="1" x14ac:dyDescent="0.25">
      <c r="A1288" s="31" t="s">
        <v>5239</v>
      </c>
      <c r="B1288" s="25" t="s">
        <v>872</v>
      </c>
      <c r="C1288" s="37" t="s">
        <v>1223</v>
      </c>
      <c r="E1288" s="37" t="s">
        <v>2832</v>
      </c>
      <c r="F1288" s="24" t="s">
        <v>2317</v>
      </c>
      <c r="H1288" s="38" t="s">
        <v>5240</v>
      </c>
      <c r="L1288" s="103"/>
      <c r="M1288" s="103"/>
      <c r="P1288" s="37" t="s">
        <v>1603</v>
      </c>
      <c r="S1288" s="10" t="s">
        <v>2983</v>
      </c>
      <c r="T1288" s="11"/>
      <c r="U1288" s="22">
        <v>1</v>
      </c>
      <c r="V1288" s="21">
        <v>1</v>
      </c>
      <c r="W1288" s="73">
        <f t="shared" si="58"/>
        <v>78</v>
      </c>
      <c r="X1288" s="80">
        <f t="shared" si="59"/>
        <v>2165</v>
      </c>
      <c r="Y1288" s="82" t="s">
        <v>3584</v>
      </c>
      <c r="AF1288" s="11"/>
      <c r="AG1288" s="11"/>
      <c r="AH1288" s="11"/>
      <c r="AI1288" s="11"/>
      <c r="AJ1288" s="11"/>
      <c r="AK1288" s="11"/>
    </row>
    <row r="1289" spans="1:37" ht="15.45" customHeight="1" x14ac:dyDescent="0.25">
      <c r="A1289" s="29" t="s">
        <v>3199</v>
      </c>
      <c r="B1289" s="24" t="s">
        <v>288</v>
      </c>
      <c r="C1289" s="37" t="s">
        <v>1223</v>
      </c>
      <c r="E1289" s="37" t="s">
        <v>2832</v>
      </c>
      <c r="F1289" s="24" t="s">
        <v>2129</v>
      </c>
      <c r="P1289" s="37" t="s">
        <v>84</v>
      </c>
      <c r="S1289" s="10" t="s">
        <v>2983</v>
      </c>
      <c r="U1289" s="22">
        <v>1</v>
      </c>
      <c r="V1289" s="22">
        <v>1</v>
      </c>
      <c r="W1289" s="73">
        <f t="shared" si="58"/>
        <v>79</v>
      </c>
      <c r="X1289" s="80">
        <f t="shared" si="59"/>
        <v>2166</v>
      </c>
      <c r="Y1289" s="82" t="s">
        <v>3584</v>
      </c>
    </row>
    <row r="1290" spans="1:37" ht="15.45" customHeight="1" x14ac:dyDescent="0.25">
      <c r="A1290" s="29" t="s">
        <v>1702</v>
      </c>
      <c r="B1290" s="24" t="s">
        <v>1703</v>
      </c>
      <c r="C1290" s="37" t="s">
        <v>1223</v>
      </c>
      <c r="E1290" s="37" t="s">
        <v>2832</v>
      </c>
      <c r="F1290" s="24" t="s">
        <v>2129</v>
      </c>
      <c r="P1290" s="37" t="s">
        <v>1603</v>
      </c>
      <c r="S1290" s="10" t="s">
        <v>2983</v>
      </c>
      <c r="U1290" s="22">
        <v>1</v>
      </c>
      <c r="V1290" s="22">
        <v>1</v>
      </c>
      <c r="W1290" s="73">
        <f t="shared" si="58"/>
        <v>80</v>
      </c>
      <c r="X1290" s="80">
        <f t="shared" si="59"/>
        <v>2167</v>
      </c>
      <c r="Y1290" s="82" t="s">
        <v>3592</v>
      </c>
      <c r="Z1290" s="24" t="s">
        <v>623</v>
      </c>
    </row>
    <row r="1291" spans="1:37" ht="15.45" customHeight="1" x14ac:dyDescent="0.25">
      <c r="A1291" s="29" t="s">
        <v>2096</v>
      </c>
      <c r="B1291" s="24" t="s">
        <v>2097</v>
      </c>
      <c r="C1291" s="37" t="s">
        <v>1223</v>
      </c>
      <c r="E1291" s="37" t="s">
        <v>2832</v>
      </c>
      <c r="F1291" s="24" t="s">
        <v>2129</v>
      </c>
      <c r="P1291" s="37" t="s">
        <v>1603</v>
      </c>
      <c r="S1291" s="10" t="s">
        <v>2983</v>
      </c>
      <c r="U1291" s="22">
        <v>1</v>
      </c>
      <c r="V1291" s="22">
        <v>1</v>
      </c>
      <c r="W1291" s="73">
        <f t="shared" si="58"/>
        <v>81</v>
      </c>
      <c r="X1291" s="80">
        <f t="shared" si="59"/>
        <v>2168</v>
      </c>
      <c r="Y1291" s="82" t="s">
        <v>3592</v>
      </c>
      <c r="Z1291" s="24" t="s">
        <v>2884</v>
      </c>
    </row>
    <row r="1292" spans="1:37" ht="15.45" customHeight="1" x14ac:dyDescent="0.25">
      <c r="A1292" s="29" t="s">
        <v>1605</v>
      </c>
      <c r="B1292" s="25" t="s">
        <v>4347</v>
      </c>
      <c r="C1292" s="37" t="s">
        <v>1223</v>
      </c>
      <c r="E1292" s="37" t="s">
        <v>2832</v>
      </c>
      <c r="F1292" s="24" t="s">
        <v>2129</v>
      </c>
      <c r="L1292" s="103"/>
      <c r="M1292" s="103"/>
      <c r="P1292" s="37" t="s">
        <v>1603</v>
      </c>
      <c r="S1292" s="10" t="s">
        <v>2983</v>
      </c>
      <c r="U1292" s="22">
        <v>1</v>
      </c>
      <c r="V1292" s="22">
        <v>2</v>
      </c>
      <c r="W1292" s="73">
        <f t="shared" si="58"/>
        <v>83</v>
      </c>
      <c r="X1292" s="80">
        <f t="shared" si="59"/>
        <v>2170</v>
      </c>
      <c r="Y1292" s="82" t="s">
        <v>3584</v>
      </c>
    </row>
    <row r="1293" spans="1:37" ht="15.45" customHeight="1" x14ac:dyDescent="0.25">
      <c r="A1293" s="29" t="s">
        <v>1003</v>
      </c>
      <c r="B1293" s="24" t="s">
        <v>337</v>
      </c>
      <c r="C1293" s="37" t="s">
        <v>1223</v>
      </c>
      <c r="E1293" s="37" t="s">
        <v>2832</v>
      </c>
      <c r="F1293" s="24" t="s">
        <v>2129</v>
      </c>
      <c r="P1293" s="37" t="s">
        <v>1603</v>
      </c>
      <c r="S1293" s="10" t="s">
        <v>2983</v>
      </c>
      <c r="U1293" s="22">
        <v>1</v>
      </c>
      <c r="V1293" s="22">
        <v>1</v>
      </c>
      <c r="W1293" s="73">
        <f t="shared" si="58"/>
        <v>84</v>
      </c>
      <c r="X1293" s="80">
        <f t="shared" si="59"/>
        <v>2171</v>
      </c>
      <c r="Y1293" s="82" t="s">
        <v>3584</v>
      </c>
    </row>
    <row r="1294" spans="1:37" ht="15.45" customHeight="1" x14ac:dyDescent="0.25">
      <c r="A1294" s="29" t="s">
        <v>780</v>
      </c>
      <c r="B1294" s="25" t="s">
        <v>338</v>
      </c>
      <c r="C1294" s="37" t="s">
        <v>1223</v>
      </c>
      <c r="E1294" s="37" t="s">
        <v>2832</v>
      </c>
      <c r="F1294" s="24" t="s">
        <v>2129</v>
      </c>
      <c r="L1294" s="103"/>
      <c r="M1294" s="103"/>
      <c r="P1294" s="37" t="s">
        <v>1603</v>
      </c>
      <c r="S1294" s="10" t="s">
        <v>2983</v>
      </c>
      <c r="U1294" s="22">
        <v>1</v>
      </c>
      <c r="V1294" s="22">
        <v>1</v>
      </c>
      <c r="W1294" s="73">
        <f t="shared" si="58"/>
        <v>85</v>
      </c>
      <c r="X1294" s="80">
        <f t="shared" si="59"/>
        <v>2172</v>
      </c>
      <c r="Y1294" s="82" t="s">
        <v>3584</v>
      </c>
    </row>
    <row r="1295" spans="1:37" ht="15.45" customHeight="1" x14ac:dyDescent="0.25">
      <c r="A1295" s="29" t="s">
        <v>1856</v>
      </c>
      <c r="B1295" s="24" t="s">
        <v>338</v>
      </c>
      <c r="C1295" s="37" t="s">
        <v>1223</v>
      </c>
      <c r="E1295" s="37" t="s">
        <v>2832</v>
      </c>
      <c r="F1295" s="24" t="s">
        <v>2129</v>
      </c>
      <c r="P1295" s="37" t="s">
        <v>1603</v>
      </c>
      <c r="S1295" s="10" t="s">
        <v>2983</v>
      </c>
      <c r="U1295" s="22">
        <v>1</v>
      </c>
      <c r="V1295" s="22">
        <v>1</v>
      </c>
      <c r="W1295" s="73">
        <f t="shared" si="58"/>
        <v>86</v>
      </c>
      <c r="X1295" s="80">
        <f t="shared" si="59"/>
        <v>2173</v>
      </c>
      <c r="Y1295" s="82" t="s">
        <v>3592</v>
      </c>
      <c r="Z1295" s="24" t="s">
        <v>2884</v>
      </c>
    </row>
    <row r="1296" spans="1:37" ht="15.45" customHeight="1" x14ac:dyDescent="0.25">
      <c r="A1296" s="29" t="s">
        <v>4978</v>
      </c>
      <c r="B1296" s="24" t="s">
        <v>4979</v>
      </c>
      <c r="C1296" s="37" t="s">
        <v>1223</v>
      </c>
      <c r="E1296" s="37" t="s">
        <v>2832</v>
      </c>
      <c r="F1296" s="24" t="s">
        <v>2129</v>
      </c>
      <c r="H1296" s="38" t="s">
        <v>5114</v>
      </c>
      <c r="J1296" s="215">
        <v>2009</v>
      </c>
      <c r="P1296" s="37" t="s">
        <v>1603</v>
      </c>
      <c r="S1296" s="10" t="s">
        <v>3412</v>
      </c>
      <c r="U1296" s="22">
        <v>1</v>
      </c>
      <c r="V1296" s="22">
        <v>1</v>
      </c>
      <c r="W1296" s="73">
        <f t="shared" si="58"/>
        <v>87</v>
      </c>
      <c r="X1296" s="80">
        <f t="shared" si="59"/>
        <v>2174</v>
      </c>
      <c r="Y1296" s="82" t="s">
        <v>3591</v>
      </c>
      <c r="Z1296" s="24" t="s">
        <v>2885</v>
      </c>
      <c r="AB1296" s="177">
        <v>43629</v>
      </c>
      <c r="AC1296" s="84" t="s">
        <v>2885</v>
      </c>
    </row>
    <row r="1297" spans="1:37" ht="15.45" customHeight="1" x14ac:dyDescent="0.25">
      <c r="A1297" s="29" t="s">
        <v>5088</v>
      </c>
      <c r="B1297" s="24" t="s">
        <v>752</v>
      </c>
      <c r="C1297" s="37" t="s">
        <v>1223</v>
      </c>
      <c r="E1297" s="37" t="s">
        <v>2832</v>
      </c>
      <c r="F1297" s="24" t="s">
        <v>2128</v>
      </c>
      <c r="H1297" s="38" t="s">
        <v>2697</v>
      </c>
      <c r="J1297" s="214" t="s">
        <v>5113</v>
      </c>
      <c r="K1297" s="10" t="s">
        <v>4042</v>
      </c>
      <c r="P1297" s="37" t="s">
        <v>84</v>
      </c>
      <c r="S1297" s="10" t="s">
        <v>2983</v>
      </c>
      <c r="U1297" s="22">
        <v>1</v>
      </c>
      <c r="V1297" s="21">
        <v>1</v>
      </c>
      <c r="W1297" s="73">
        <f t="shared" si="58"/>
        <v>88</v>
      </c>
      <c r="X1297" s="80">
        <f t="shared" si="59"/>
        <v>2175</v>
      </c>
      <c r="Y1297" s="82" t="s">
        <v>3584</v>
      </c>
    </row>
    <row r="1298" spans="1:37" ht="15.45" customHeight="1" x14ac:dyDescent="0.25">
      <c r="A1298" s="29" t="s">
        <v>5088</v>
      </c>
      <c r="B1298" s="24" t="s">
        <v>752</v>
      </c>
      <c r="C1298" s="37" t="s">
        <v>1223</v>
      </c>
      <c r="E1298" s="37" t="s">
        <v>2832</v>
      </c>
      <c r="F1298" s="24" t="s">
        <v>2128</v>
      </c>
      <c r="H1298" s="38" t="s">
        <v>2693</v>
      </c>
      <c r="P1298" s="37" t="s">
        <v>2695</v>
      </c>
      <c r="S1298" s="10" t="s">
        <v>2983</v>
      </c>
      <c r="U1298" s="22">
        <v>1</v>
      </c>
      <c r="V1298" s="21">
        <v>1</v>
      </c>
      <c r="W1298" s="73">
        <f t="shared" si="58"/>
        <v>89</v>
      </c>
      <c r="X1298" s="80">
        <f t="shared" si="59"/>
        <v>2176</v>
      </c>
      <c r="Y1298" s="82" t="s">
        <v>3591</v>
      </c>
      <c r="Z1298" s="24" t="s">
        <v>2553</v>
      </c>
      <c r="AB1298" s="177">
        <v>43132</v>
      </c>
      <c r="AC1298" s="84" t="s">
        <v>2885</v>
      </c>
    </row>
    <row r="1299" spans="1:37" ht="15.45" customHeight="1" x14ac:dyDescent="0.25">
      <c r="A1299" s="29" t="s">
        <v>5088</v>
      </c>
      <c r="B1299" s="24" t="s">
        <v>752</v>
      </c>
      <c r="C1299" s="37" t="s">
        <v>1223</v>
      </c>
      <c r="E1299" s="37" t="s">
        <v>2832</v>
      </c>
      <c r="F1299" s="24" t="s">
        <v>2128</v>
      </c>
      <c r="H1299" s="38" t="s">
        <v>2696</v>
      </c>
      <c r="J1299" s="214" t="s">
        <v>6020</v>
      </c>
      <c r="P1299" s="37" t="s">
        <v>1603</v>
      </c>
      <c r="S1299" s="10" t="s">
        <v>3412</v>
      </c>
      <c r="U1299" s="22">
        <v>1</v>
      </c>
      <c r="V1299" s="21">
        <v>1</v>
      </c>
      <c r="W1299" s="73">
        <f t="shared" si="58"/>
        <v>90</v>
      </c>
      <c r="X1299" s="80">
        <f t="shared" si="59"/>
        <v>2177</v>
      </c>
      <c r="Y1299" s="82" t="s">
        <v>3591</v>
      </c>
      <c r="Z1299" s="24" t="s">
        <v>2885</v>
      </c>
      <c r="AB1299" s="177">
        <v>42522</v>
      </c>
      <c r="AC1299" s="84" t="s">
        <v>2885</v>
      </c>
    </row>
    <row r="1300" spans="1:37" ht="15.45" customHeight="1" x14ac:dyDescent="0.25">
      <c r="A1300" s="29" t="s">
        <v>5838</v>
      </c>
      <c r="B1300" s="24" t="s">
        <v>2700</v>
      </c>
      <c r="C1300" s="37" t="s">
        <v>1223</v>
      </c>
      <c r="E1300" s="37" t="s">
        <v>2832</v>
      </c>
      <c r="F1300" s="24" t="s">
        <v>2128</v>
      </c>
      <c r="P1300" s="37" t="s">
        <v>1603</v>
      </c>
      <c r="S1300" s="10" t="s">
        <v>2983</v>
      </c>
      <c r="U1300" s="22">
        <v>1</v>
      </c>
      <c r="V1300" s="21">
        <v>1</v>
      </c>
      <c r="W1300" s="73">
        <f t="shared" ref="W1300:W1312" si="60">W1299+V1300</f>
        <v>91</v>
      </c>
      <c r="X1300" s="80">
        <f t="shared" ref="X1300:X1316" si="61">V1300+X1299</f>
        <v>2178</v>
      </c>
      <c r="Y1300" s="82" t="s">
        <v>3591</v>
      </c>
      <c r="Z1300" s="24" t="s">
        <v>2553</v>
      </c>
      <c r="AB1300" s="177">
        <v>43132</v>
      </c>
      <c r="AC1300" s="84" t="s">
        <v>2885</v>
      </c>
    </row>
    <row r="1301" spans="1:37" ht="15.45" customHeight="1" x14ac:dyDescent="0.25">
      <c r="A1301" s="29" t="s">
        <v>2698</v>
      </c>
      <c r="B1301" s="24" t="s">
        <v>2699</v>
      </c>
      <c r="C1301" s="37" t="s">
        <v>1223</v>
      </c>
      <c r="E1301" s="37" t="s">
        <v>2832</v>
      </c>
      <c r="F1301" s="24" t="s">
        <v>2128</v>
      </c>
      <c r="H1301" s="38" t="s">
        <v>2694</v>
      </c>
      <c r="P1301" s="37" t="s">
        <v>1603</v>
      </c>
      <c r="S1301" s="10" t="s">
        <v>2983</v>
      </c>
      <c r="U1301" s="22">
        <v>1</v>
      </c>
      <c r="V1301" s="21">
        <v>1</v>
      </c>
      <c r="W1301" s="73">
        <f t="shared" si="60"/>
        <v>92</v>
      </c>
      <c r="X1301" s="80">
        <f t="shared" si="61"/>
        <v>2179</v>
      </c>
      <c r="Y1301" s="82" t="s">
        <v>3591</v>
      </c>
      <c r="Z1301" s="24" t="s">
        <v>2553</v>
      </c>
      <c r="AB1301" s="177">
        <v>43132</v>
      </c>
      <c r="AC1301" s="84" t="s">
        <v>2885</v>
      </c>
    </row>
    <row r="1302" spans="1:37" ht="15.45" customHeight="1" x14ac:dyDescent="0.25">
      <c r="A1302" s="29" t="s">
        <v>356</v>
      </c>
      <c r="B1302" s="24" t="s">
        <v>376</v>
      </c>
      <c r="C1302" s="37" t="s">
        <v>1223</v>
      </c>
      <c r="E1302" s="37" t="s">
        <v>2832</v>
      </c>
      <c r="F1302" s="24" t="s">
        <v>2128</v>
      </c>
      <c r="P1302" s="37" t="s">
        <v>1857</v>
      </c>
      <c r="S1302" s="10" t="s">
        <v>2983</v>
      </c>
      <c r="U1302" s="22">
        <v>1</v>
      </c>
      <c r="V1302" s="21">
        <v>1</v>
      </c>
      <c r="W1302" s="73">
        <f t="shared" si="60"/>
        <v>93</v>
      </c>
      <c r="X1302" s="80">
        <f t="shared" si="61"/>
        <v>2180</v>
      </c>
      <c r="Y1302" s="82" t="s">
        <v>3584</v>
      </c>
    </row>
    <row r="1303" spans="1:37" ht="15.45" customHeight="1" x14ac:dyDescent="0.25">
      <c r="A1303" s="29" t="s">
        <v>4937</v>
      </c>
      <c r="B1303" s="24" t="s">
        <v>298</v>
      </c>
      <c r="C1303" s="37" t="s">
        <v>1223</v>
      </c>
      <c r="E1303" s="37" t="s">
        <v>2832</v>
      </c>
      <c r="F1303" s="24" t="s">
        <v>2129</v>
      </c>
      <c r="P1303" s="37" t="s">
        <v>1970</v>
      </c>
      <c r="S1303" s="10" t="s">
        <v>2983</v>
      </c>
      <c r="U1303" s="22">
        <v>1</v>
      </c>
      <c r="V1303" s="22">
        <v>1</v>
      </c>
      <c r="W1303" s="73">
        <f t="shared" si="60"/>
        <v>94</v>
      </c>
      <c r="X1303" s="80">
        <f t="shared" si="61"/>
        <v>2181</v>
      </c>
      <c r="Y1303" s="82" t="s">
        <v>3592</v>
      </c>
      <c r="Z1303" s="24" t="s">
        <v>2884</v>
      </c>
    </row>
    <row r="1304" spans="1:37" ht="15.45" customHeight="1" x14ac:dyDescent="0.25">
      <c r="A1304" s="29" t="s">
        <v>995</v>
      </c>
      <c r="B1304" s="24" t="s">
        <v>299</v>
      </c>
      <c r="C1304" s="37" t="s">
        <v>1223</v>
      </c>
      <c r="E1304" s="37" t="s">
        <v>2832</v>
      </c>
      <c r="F1304" s="24" t="s">
        <v>2129</v>
      </c>
      <c r="P1304" s="37" t="s">
        <v>1603</v>
      </c>
      <c r="S1304" s="10" t="s">
        <v>2983</v>
      </c>
      <c r="U1304" s="22">
        <v>1</v>
      </c>
      <c r="V1304" s="22">
        <v>1</v>
      </c>
      <c r="W1304" s="73">
        <f t="shared" si="60"/>
        <v>95</v>
      </c>
      <c r="X1304" s="80">
        <f t="shared" si="61"/>
        <v>2182</v>
      </c>
      <c r="Y1304" s="82" t="s">
        <v>3592</v>
      </c>
      <c r="Z1304" s="24" t="s">
        <v>2884</v>
      </c>
    </row>
    <row r="1305" spans="1:37" ht="15.45" customHeight="1" x14ac:dyDescent="0.25">
      <c r="A1305" s="29" t="s">
        <v>3315</v>
      </c>
      <c r="B1305" s="24" t="s">
        <v>818</v>
      </c>
      <c r="C1305" s="37" t="s">
        <v>1223</v>
      </c>
      <c r="E1305" s="37" t="s">
        <v>2832</v>
      </c>
      <c r="F1305" s="24" t="s">
        <v>2128</v>
      </c>
      <c r="J1305" s="214" t="s">
        <v>3691</v>
      </c>
      <c r="K1305" s="10" t="s">
        <v>3717</v>
      </c>
      <c r="P1305" s="37" t="s">
        <v>84</v>
      </c>
      <c r="S1305" s="10" t="s">
        <v>2983</v>
      </c>
      <c r="U1305" s="22">
        <v>1</v>
      </c>
      <c r="V1305" s="21">
        <v>1</v>
      </c>
      <c r="W1305" s="73">
        <f t="shared" si="60"/>
        <v>96</v>
      </c>
      <c r="X1305" s="80">
        <f t="shared" si="61"/>
        <v>2183</v>
      </c>
      <c r="Y1305" s="82" t="s">
        <v>3584</v>
      </c>
    </row>
    <row r="1306" spans="1:37" ht="15.45" customHeight="1" x14ac:dyDescent="0.25">
      <c r="A1306" s="29" t="s">
        <v>826</v>
      </c>
      <c r="B1306" s="24" t="s">
        <v>664</v>
      </c>
      <c r="C1306" s="37" t="s">
        <v>1223</v>
      </c>
      <c r="E1306" s="37" t="s">
        <v>2832</v>
      </c>
      <c r="F1306" s="24" t="s">
        <v>2128</v>
      </c>
      <c r="P1306" s="37" t="s">
        <v>1603</v>
      </c>
      <c r="S1306" s="10" t="s">
        <v>2983</v>
      </c>
      <c r="U1306" s="22">
        <v>1</v>
      </c>
      <c r="V1306" s="21">
        <v>1</v>
      </c>
      <c r="W1306" s="73">
        <f t="shared" si="60"/>
        <v>97</v>
      </c>
      <c r="X1306" s="80">
        <f t="shared" si="61"/>
        <v>2184</v>
      </c>
      <c r="Y1306" s="82" t="s">
        <v>3584</v>
      </c>
    </row>
    <row r="1307" spans="1:37" ht="15.45" customHeight="1" x14ac:dyDescent="0.25">
      <c r="A1307" s="29" t="s">
        <v>3316</v>
      </c>
      <c r="B1307" s="24" t="s">
        <v>300</v>
      </c>
      <c r="C1307" s="37" t="s">
        <v>1223</v>
      </c>
      <c r="E1307" s="37" t="s">
        <v>2832</v>
      </c>
      <c r="F1307" s="24" t="s">
        <v>2129</v>
      </c>
      <c r="H1307" s="38" t="s">
        <v>3317</v>
      </c>
      <c r="P1307" s="37" t="s">
        <v>1603</v>
      </c>
      <c r="S1307" s="10" t="s">
        <v>2983</v>
      </c>
      <c r="U1307" s="22">
        <v>1</v>
      </c>
      <c r="V1307" s="22">
        <v>1</v>
      </c>
      <c r="W1307" s="73">
        <f t="shared" si="60"/>
        <v>98</v>
      </c>
      <c r="X1307" s="80">
        <f t="shared" si="61"/>
        <v>2185</v>
      </c>
      <c r="Y1307" s="82" t="s">
        <v>3592</v>
      </c>
      <c r="Z1307" s="24" t="s">
        <v>2884</v>
      </c>
    </row>
    <row r="1308" spans="1:37" ht="15.45" customHeight="1" x14ac:dyDescent="0.25">
      <c r="A1308" s="29" t="s">
        <v>621</v>
      </c>
      <c r="C1308" s="37" t="s">
        <v>1223</v>
      </c>
      <c r="E1308" s="37" t="s">
        <v>2832</v>
      </c>
      <c r="F1308" s="24" t="s">
        <v>2129</v>
      </c>
      <c r="P1308" s="37" t="s">
        <v>1859</v>
      </c>
      <c r="S1308" s="10" t="s">
        <v>2983</v>
      </c>
      <c r="U1308" s="22">
        <v>1</v>
      </c>
      <c r="V1308" s="22">
        <v>3</v>
      </c>
      <c r="W1308" s="73">
        <f t="shared" si="60"/>
        <v>101</v>
      </c>
      <c r="X1308" s="80">
        <f t="shared" si="61"/>
        <v>2188</v>
      </c>
      <c r="Y1308" s="82" t="s">
        <v>3592</v>
      </c>
      <c r="Z1308" s="24" t="s">
        <v>2884</v>
      </c>
    </row>
    <row r="1309" spans="1:37" ht="15.45" customHeight="1" x14ac:dyDescent="0.25">
      <c r="A1309" s="29" t="s">
        <v>3318</v>
      </c>
      <c r="C1309" s="37" t="s">
        <v>1223</v>
      </c>
      <c r="E1309" s="37" t="s">
        <v>2832</v>
      </c>
      <c r="F1309" s="24" t="s">
        <v>2129</v>
      </c>
      <c r="H1309" s="38" t="s">
        <v>2597</v>
      </c>
      <c r="J1309" s="214" t="s">
        <v>5113</v>
      </c>
      <c r="K1309" s="10" t="s">
        <v>4042</v>
      </c>
      <c r="L1309" s="102" t="s">
        <v>2878</v>
      </c>
      <c r="P1309" s="37" t="s">
        <v>1603</v>
      </c>
      <c r="S1309" s="10" t="s">
        <v>2983</v>
      </c>
      <c r="U1309" s="22">
        <v>1</v>
      </c>
      <c r="V1309" s="22">
        <v>1</v>
      </c>
      <c r="W1309" s="73">
        <f t="shared" si="60"/>
        <v>102</v>
      </c>
      <c r="X1309" s="80">
        <f t="shared" si="61"/>
        <v>2189</v>
      </c>
      <c r="Y1309" s="82" t="s">
        <v>3584</v>
      </c>
      <c r="AB1309" s="177">
        <v>43040</v>
      </c>
      <c r="AC1309" s="84" t="s">
        <v>2885</v>
      </c>
      <c r="AI1309" s="10" t="s">
        <v>2598</v>
      </c>
    </row>
    <row r="1310" spans="1:37" ht="15.45" customHeight="1" x14ac:dyDescent="0.25">
      <c r="A1310" s="29" t="s">
        <v>792</v>
      </c>
      <c r="B1310" s="24" t="s">
        <v>5218</v>
      </c>
      <c r="C1310" s="37" t="s">
        <v>1223</v>
      </c>
      <c r="E1310" s="37" t="s">
        <v>2832</v>
      </c>
      <c r="F1310" s="24" t="s">
        <v>2129</v>
      </c>
      <c r="H1310" s="233" t="s">
        <v>5219</v>
      </c>
      <c r="P1310" s="37" t="s">
        <v>1603</v>
      </c>
      <c r="S1310" s="10" t="s">
        <v>2983</v>
      </c>
      <c r="U1310" s="22">
        <v>1</v>
      </c>
      <c r="V1310" s="22">
        <v>2</v>
      </c>
      <c r="W1310" s="73">
        <f t="shared" si="60"/>
        <v>104</v>
      </c>
      <c r="X1310" s="80">
        <f t="shared" si="61"/>
        <v>2191</v>
      </c>
      <c r="Y1310" s="82" t="s">
        <v>3584</v>
      </c>
    </row>
    <row r="1311" spans="1:37" ht="15.45" customHeight="1" x14ac:dyDescent="0.25">
      <c r="A1311" s="29" t="s">
        <v>1527</v>
      </c>
      <c r="B1311" s="24" t="s">
        <v>5055</v>
      </c>
      <c r="C1311" s="37" t="s">
        <v>1223</v>
      </c>
      <c r="E1311" s="37" t="s">
        <v>2832</v>
      </c>
      <c r="F1311" s="24" t="s">
        <v>2129</v>
      </c>
      <c r="H1311" s="41"/>
      <c r="I1311" s="114"/>
      <c r="J1311" s="214" t="s">
        <v>3691</v>
      </c>
      <c r="K1311" s="10" t="s">
        <v>3717</v>
      </c>
      <c r="P1311" s="37" t="s">
        <v>1603</v>
      </c>
      <c r="S1311" s="10" t="s">
        <v>2983</v>
      </c>
      <c r="T1311" s="13"/>
      <c r="U1311" s="22">
        <v>1</v>
      </c>
      <c r="V1311" s="22">
        <v>1</v>
      </c>
      <c r="W1311" s="73">
        <f t="shared" si="60"/>
        <v>105</v>
      </c>
      <c r="X1311" s="80">
        <f t="shared" si="61"/>
        <v>2192</v>
      </c>
      <c r="Y1311" s="82" t="s">
        <v>3584</v>
      </c>
      <c r="AF1311" s="13"/>
      <c r="AG1311" s="13"/>
      <c r="AH1311" s="13"/>
      <c r="AI1311" s="13" t="s">
        <v>2599</v>
      </c>
      <c r="AJ1311" s="13"/>
      <c r="AK1311" s="13"/>
    </row>
    <row r="1312" spans="1:37" ht="15.45" customHeight="1" x14ac:dyDescent="0.25">
      <c r="A1312" s="29" t="s">
        <v>1527</v>
      </c>
      <c r="B1312" s="24" t="s">
        <v>5055</v>
      </c>
      <c r="C1312" s="37" t="s">
        <v>1223</v>
      </c>
      <c r="E1312" s="37" t="s">
        <v>2832</v>
      </c>
      <c r="F1312" s="24" t="s">
        <v>2129</v>
      </c>
      <c r="H1312" s="41" t="s">
        <v>2540</v>
      </c>
      <c r="I1312" s="114"/>
      <c r="J1312" s="215">
        <v>2017</v>
      </c>
      <c r="S1312" s="10" t="s">
        <v>2983</v>
      </c>
      <c r="T1312" s="13"/>
      <c r="U1312" s="22">
        <v>1</v>
      </c>
      <c r="V1312" s="22">
        <v>1</v>
      </c>
      <c r="W1312" s="73">
        <f t="shared" si="60"/>
        <v>106</v>
      </c>
      <c r="X1312" s="80">
        <f t="shared" si="61"/>
        <v>2193</v>
      </c>
      <c r="Y1312" s="82" t="s">
        <v>3591</v>
      </c>
      <c r="Z1312" s="24" t="s">
        <v>2486</v>
      </c>
      <c r="AB1312" s="177">
        <v>42979</v>
      </c>
      <c r="AC1312" s="84" t="s">
        <v>2885</v>
      </c>
      <c r="AF1312" s="13"/>
      <c r="AG1312" s="13"/>
      <c r="AH1312" s="13"/>
      <c r="AI1312" s="13"/>
      <c r="AJ1312" s="13"/>
      <c r="AK1312" s="13"/>
    </row>
    <row r="1313" spans="1:37" ht="15.45" customHeight="1" x14ac:dyDescent="0.25">
      <c r="A1313" s="29" t="s">
        <v>1852</v>
      </c>
      <c r="B1313" s="24" t="s">
        <v>513</v>
      </c>
      <c r="C1313" s="37" t="s">
        <v>1223</v>
      </c>
      <c r="E1313" s="37" t="s">
        <v>2832</v>
      </c>
      <c r="F1313" s="24" t="s">
        <v>2129</v>
      </c>
      <c r="H1313" s="38" t="s">
        <v>2791</v>
      </c>
      <c r="P1313" s="37" t="s">
        <v>1603</v>
      </c>
      <c r="S1313" s="10" t="s">
        <v>2983</v>
      </c>
      <c r="U1313" s="22">
        <v>1</v>
      </c>
      <c r="V1313" s="22">
        <v>1</v>
      </c>
      <c r="W1313" s="73">
        <f>W2550+V1313</f>
        <v>114</v>
      </c>
      <c r="X1313" s="80">
        <f t="shared" si="61"/>
        <v>2194</v>
      </c>
      <c r="Y1313" s="82" t="s">
        <v>3592</v>
      </c>
      <c r="Z1313" s="24" t="s">
        <v>2884</v>
      </c>
    </row>
    <row r="1314" spans="1:37" ht="15.45" customHeight="1" x14ac:dyDescent="0.25">
      <c r="A1314" s="29" t="s">
        <v>1852</v>
      </c>
      <c r="B1314" s="24" t="s">
        <v>513</v>
      </c>
      <c r="C1314" s="37" t="s">
        <v>1223</v>
      </c>
      <c r="E1314" s="37" t="s">
        <v>2832</v>
      </c>
      <c r="F1314" s="24" t="s">
        <v>2129</v>
      </c>
      <c r="H1314" s="38" t="s">
        <v>2786</v>
      </c>
      <c r="P1314" s="37" t="s">
        <v>1603</v>
      </c>
      <c r="S1314" s="10" t="s">
        <v>2983</v>
      </c>
      <c r="U1314" s="22">
        <v>1</v>
      </c>
      <c r="V1314" s="22">
        <v>1</v>
      </c>
      <c r="W1314" s="73">
        <f>W1313+V1314</f>
        <v>115</v>
      </c>
      <c r="X1314" s="80">
        <f t="shared" si="61"/>
        <v>2195</v>
      </c>
      <c r="Y1314" s="82" t="s">
        <v>3592</v>
      </c>
      <c r="Z1314" s="24" t="s">
        <v>2884</v>
      </c>
    </row>
    <row r="1315" spans="1:37" ht="15.45" customHeight="1" x14ac:dyDescent="0.25">
      <c r="A1315" s="29" t="s">
        <v>1768</v>
      </c>
      <c r="B1315" s="24" t="s">
        <v>7158</v>
      </c>
      <c r="C1315" s="37" t="s">
        <v>1223</v>
      </c>
      <c r="E1315" s="37" t="s">
        <v>2832</v>
      </c>
      <c r="F1315" s="24" t="s">
        <v>2129</v>
      </c>
      <c r="P1315" s="37" t="s">
        <v>1603</v>
      </c>
      <c r="S1315" s="10" t="s">
        <v>2983</v>
      </c>
      <c r="U1315" s="22">
        <v>1</v>
      </c>
      <c r="V1315" s="22">
        <v>1</v>
      </c>
      <c r="W1315" s="73">
        <f>W1314+V1315</f>
        <v>116</v>
      </c>
      <c r="X1315" s="80">
        <f t="shared" si="61"/>
        <v>2196</v>
      </c>
      <c r="Y1315" s="82" t="s">
        <v>3592</v>
      </c>
      <c r="Z1315" s="24" t="s">
        <v>2884</v>
      </c>
    </row>
    <row r="1316" spans="1:37" ht="15.45" customHeight="1" x14ac:dyDescent="0.25">
      <c r="A1316" s="29" t="s">
        <v>4437</v>
      </c>
      <c r="B1316" s="24" t="s">
        <v>4436</v>
      </c>
      <c r="C1316" s="37" t="s">
        <v>1223</v>
      </c>
      <c r="E1316" s="37" t="s">
        <v>2832</v>
      </c>
      <c r="F1316" s="24" t="s">
        <v>2129</v>
      </c>
      <c r="J1316" s="215">
        <v>2016</v>
      </c>
      <c r="P1316" s="37" t="s">
        <v>1603</v>
      </c>
      <c r="S1316" s="10" t="s">
        <v>3412</v>
      </c>
      <c r="U1316" s="22">
        <v>1</v>
      </c>
      <c r="V1316" s="22">
        <v>1</v>
      </c>
      <c r="W1316" s="73">
        <f>W1315+V1316</f>
        <v>117</v>
      </c>
      <c r="X1316" s="80">
        <f t="shared" si="61"/>
        <v>2197</v>
      </c>
      <c r="Y1316" s="82" t="s">
        <v>3591</v>
      </c>
      <c r="Z1316" s="24" t="s">
        <v>2885</v>
      </c>
      <c r="AB1316" s="177">
        <v>42614</v>
      </c>
      <c r="AC1316" s="84" t="s">
        <v>2885</v>
      </c>
    </row>
    <row r="1317" spans="1:37" s="51" customFormat="1" ht="15.45" customHeight="1" x14ac:dyDescent="0.25">
      <c r="A1317" s="45" t="s">
        <v>2781</v>
      </c>
      <c r="B1317" s="50"/>
      <c r="C1317" s="49"/>
      <c r="D1317" s="49"/>
      <c r="E1317" s="49"/>
      <c r="F1317" s="50"/>
      <c r="G1317" s="50"/>
      <c r="H1317" s="46"/>
      <c r="I1317" s="109"/>
      <c r="J1317" s="212"/>
      <c r="K1317" s="56"/>
      <c r="L1317" s="100"/>
      <c r="M1317" s="100"/>
      <c r="N1317" s="49"/>
      <c r="O1317" s="49"/>
      <c r="P1317" s="49"/>
      <c r="Q1317" s="49"/>
      <c r="R1317" s="49"/>
      <c r="S1317" s="47"/>
      <c r="T1317" s="47"/>
      <c r="U1317" s="53"/>
      <c r="V1317" s="53"/>
      <c r="W1317" s="74"/>
      <c r="X1317" s="81"/>
      <c r="Y1317" s="132"/>
      <c r="Z1317" s="50"/>
      <c r="AA1317" s="173"/>
      <c r="AB1317" s="173"/>
      <c r="AC1317" s="137"/>
      <c r="AD1317" s="137"/>
      <c r="AE1317" s="83"/>
      <c r="AF1317" s="47"/>
      <c r="AG1317" s="47"/>
      <c r="AH1317" s="47"/>
      <c r="AI1317" s="47"/>
      <c r="AJ1317" s="47"/>
      <c r="AK1317" s="47"/>
    </row>
    <row r="1318" spans="1:37" ht="15.45" customHeight="1" x14ac:dyDescent="0.25">
      <c r="A1318" s="29" t="s">
        <v>4417</v>
      </c>
      <c r="B1318" s="24" t="s">
        <v>4418</v>
      </c>
      <c r="C1318" s="37" t="s">
        <v>4502</v>
      </c>
      <c r="E1318" s="37" t="s">
        <v>2926</v>
      </c>
      <c r="F1318" s="24" t="s">
        <v>2117</v>
      </c>
      <c r="P1318" s="37" t="s">
        <v>1463</v>
      </c>
      <c r="S1318" s="10" t="s">
        <v>2983</v>
      </c>
      <c r="U1318" s="22">
        <v>1</v>
      </c>
      <c r="V1318" s="22">
        <v>2</v>
      </c>
      <c r="W1318" s="73">
        <f>V1318</f>
        <v>2</v>
      </c>
      <c r="X1318" s="80">
        <f>V1318+X1316</f>
        <v>2199</v>
      </c>
      <c r="Y1318" s="82" t="s">
        <v>3584</v>
      </c>
      <c r="AA1318" s="180"/>
      <c r="AB1318" s="180"/>
    </row>
    <row r="1319" spans="1:37" ht="15.45" customHeight="1" x14ac:dyDescent="0.25">
      <c r="A1319" s="29" t="s">
        <v>4419</v>
      </c>
      <c r="B1319" s="24" t="s">
        <v>4418</v>
      </c>
      <c r="C1319" s="37" t="s">
        <v>4502</v>
      </c>
      <c r="E1319" s="37" t="s">
        <v>2926</v>
      </c>
      <c r="F1319" s="24" t="s">
        <v>2117</v>
      </c>
      <c r="S1319" s="10" t="s">
        <v>2983</v>
      </c>
      <c r="U1319" s="22">
        <v>1</v>
      </c>
      <c r="V1319" s="22">
        <v>1</v>
      </c>
      <c r="W1319" s="73">
        <f t="shared" ref="W1319:W1331" si="62">W1318+V1319</f>
        <v>3</v>
      </c>
      <c r="X1319" s="80">
        <f t="shared" ref="X1319:X1331" si="63">V1319+X1318</f>
        <v>2200</v>
      </c>
      <c r="Y1319" s="82" t="s">
        <v>3584</v>
      </c>
      <c r="AA1319" s="180"/>
      <c r="AB1319" s="180"/>
    </row>
    <row r="1320" spans="1:37" ht="15.45" customHeight="1" x14ac:dyDescent="0.25">
      <c r="A1320" s="29" t="s">
        <v>4420</v>
      </c>
      <c r="B1320" s="24" t="s">
        <v>4418</v>
      </c>
      <c r="C1320" s="37" t="s">
        <v>4502</v>
      </c>
      <c r="E1320" s="37" t="s">
        <v>2926</v>
      </c>
      <c r="F1320" s="24" t="s">
        <v>2117</v>
      </c>
      <c r="S1320" s="10" t="s">
        <v>2983</v>
      </c>
      <c r="U1320" s="22">
        <v>1</v>
      </c>
      <c r="V1320" s="22">
        <v>1</v>
      </c>
      <c r="W1320" s="73">
        <f t="shared" si="62"/>
        <v>4</v>
      </c>
      <c r="X1320" s="80">
        <f t="shared" si="63"/>
        <v>2201</v>
      </c>
      <c r="Y1320" s="82" t="s">
        <v>3584</v>
      </c>
      <c r="AA1320" s="180"/>
      <c r="AB1320" s="180"/>
    </row>
    <row r="1321" spans="1:37" ht="15.45" customHeight="1" x14ac:dyDescent="0.25">
      <c r="A1321" s="29" t="s">
        <v>4420</v>
      </c>
      <c r="B1321" s="24" t="s">
        <v>4418</v>
      </c>
      <c r="C1321" s="37" t="s">
        <v>4502</v>
      </c>
      <c r="E1321" s="37" t="s">
        <v>2926</v>
      </c>
      <c r="F1321" s="24" t="s">
        <v>5444</v>
      </c>
      <c r="P1321" s="37" t="s">
        <v>1463</v>
      </c>
      <c r="S1321" s="10" t="s">
        <v>2983</v>
      </c>
      <c r="U1321" s="22">
        <v>1</v>
      </c>
      <c r="V1321" s="22">
        <v>1</v>
      </c>
      <c r="W1321" s="73">
        <f t="shared" si="62"/>
        <v>5</v>
      </c>
      <c r="X1321" s="80">
        <f t="shared" si="63"/>
        <v>2202</v>
      </c>
      <c r="Y1321" s="82" t="s">
        <v>3591</v>
      </c>
      <c r="Z1321" s="24" t="s">
        <v>2553</v>
      </c>
      <c r="AA1321" s="180"/>
      <c r="AB1321" s="180">
        <v>43419</v>
      </c>
      <c r="AC1321" s="84" t="s">
        <v>2885</v>
      </c>
    </row>
    <row r="1322" spans="1:37" ht="15.45" customHeight="1" x14ac:dyDescent="0.25">
      <c r="A1322" s="29" t="s">
        <v>897</v>
      </c>
      <c r="B1322" s="24" t="s">
        <v>1646</v>
      </c>
      <c r="C1322" s="37" t="s">
        <v>4502</v>
      </c>
      <c r="E1322" s="37" t="s">
        <v>2926</v>
      </c>
      <c r="F1322" s="24" t="s">
        <v>2117</v>
      </c>
      <c r="H1322" s="38" t="s">
        <v>3807</v>
      </c>
      <c r="P1322" s="37" t="s">
        <v>1463</v>
      </c>
      <c r="S1322" s="10" t="s">
        <v>2983</v>
      </c>
      <c r="U1322" s="22">
        <v>1</v>
      </c>
      <c r="V1322" s="22">
        <v>3</v>
      </c>
      <c r="W1322" s="73">
        <f t="shared" si="62"/>
        <v>8</v>
      </c>
      <c r="X1322" s="80">
        <f t="shared" si="63"/>
        <v>2205</v>
      </c>
      <c r="Y1322" s="82" t="s">
        <v>3584</v>
      </c>
      <c r="AA1322" s="180"/>
      <c r="AB1322" s="180"/>
    </row>
    <row r="1323" spans="1:37" ht="15.45" customHeight="1" x14ac:dyDescent="0.25">
      <c r="A1323" s="29" t="s">
        <v>897</v>
      </c>
      <c r="B1323" s="24" t="s">
        <v>1646</v>
      </c>
      <c r="C1323" s="37" t="s">
        <v>4502</v>
      </c>
      <c r="E1323" s="37" t="s">
        <v>2926</v>
      </c>
      <c r="F1323" s="24" t="s">
        <v>2117</v>
      </c>
      <c r="P1323" s="37" t="s">
        <v>1463</v>
      </c>
      <c r="S1323" s="10" t="s">
        <v>2983</v>
      </c>
      <c r="U1323" s="22">
        <v>1</v>
      </c>
      <c r="V1323" s="22">
        <v>2</v>
      </c>
      <c r="W1323" s="73">
        <f t="shared" si="62"/>
        <v>10</v>
      </c>
      <c r="X1323" s="80">
        <f t="shared" si="63"/>
        <v>2207</v>
      </c>
      <c r="Y1323" s="82" t="s">
        <v>3584</v>
      </c>
      <c r="AA1323" s="180"/>
      <c r="AB1323" s="180"/>
    </row>
    <row r="1324" spans="1:37" ht="15.45" customHeight="1" x14ac:dyDescent="0.25">
      <c r="A1324" s="29" t="s">
        <v>4376</v>
      </c>
      <c r="B1324" s="24" t="s">
        <v>4360</v>
      </c>
      <c r="C1324" s="37" t="s">
        <v>4502</v>
      </c>
      <c r="E1324" s="37" t="s">
        <v>2926</v>
      </c>
      <c r="F1324" s="24" t="s">
        <v>2681</v>
      </c>
      <c r="H1324" s="38" t="s">
        <v>4361</v>
      </c>
      <c r="P1324" s="37" t="s">
        <v>1463</v>
      </c>
      <c r="S1324" s="10" t="s">
        <v>2983</v>
      </c>
      <c r="U1324" s="22">
        <v>1</v>
      </c>
      <c r="V1324" s="22">
        <v>1</v>
      </c>
      <c r="W1324" s="73">
        <f t="shared" si="62"/>
        <v>11</v>
      </c>
      <c r="X1324" s="80">
        <f t="shared" si="63"/>
        <v>2208</v>
      </c>
      <c r="Y1324" s="82" t="s">
        <v>3584</v>
      </c>
      <c r="AA1324" s="180"/>
      <c r="AB1324" s="180">
        <v>43417</v>
      </c>
      <c r="AC1324" s="84" t="s">
        <v>2885</v>
      </c>
    </row>
    <row r="1325" spans="1:37" ht="15.45" customHeight="1" x14ac:dyDescent="0.25">
      <c r="A1325" s="29" t="s">
        <v>4376</v>
      </c>
      <c r="B1325" s="24" t="s">
        <v>4377</v>
      </c>
      <c r="C1325" s="37" t="s">
        <v>4502</v>
      </c>
      <c r="E1325" s="37" t="s">
        <v>2926</v>
      </c>
      <c r="F1325" s="24" t="s">
        <v>2681</v>
      </c>
      <c r="H1325" s="38" t="s">
        <v>4379</v>
      </c>
      <c r="J1325" s="214" t="s">
        <v>4378</v>
      </c>
      <c r="P1325" s="37" t="s">
        <v>1463</v>
      </c>
      <c r="S1325" s="10" t="s">
        <v>2983</v>
      </c>
      <c r="U1325" s="22">
        <v>1</v>
      </c>
      <c r="V1325" s="22">
        <v>1</v>
      </c>
      <c r="W1325" s="73">
        <f t="shared" si="62"/>
        <v>12</v>
      </c>
      <c r="X1325" s="80">
        <f t="shared" si="63"/>
        <v>2209</v>
      </c>
      <c r="Y1325" s="82" t="s">
        <v>3591</v>
      </c>
      <c r="Z1325" s="24" t="s">
        <v>2553</v>
      </c>
      <c r="AA1325" s="180"/>
      <c r="AB1325" s="180">
        <v>43419</v>
      </c>
      <c r="AC1325" s="84" t="s">
        <v>2885</v>
      </c>
    </row>
    <row r="1326" spans="1:37" ht="15.45" customHeight="1" x14ac:dyDescent="0.25">
      <c r="A1326" s="29" t="s">
        <v>4376</v>
      </c>
      <c r="B1326" s="24" t="s">
        <v>4377</v>
      </c>
      <c r="C1326" s="37" t="s">
        <v>4502</v>
      </c>
      <c r="E1326" s="37" t="s">
        <v>2926</v>
      </c>
      <c r="F1326" s="24" t="s">
        <v>2681</v>
      </c>
      <c r="H1326" s="38" t="s">
        <v>4380</v>
      </c>
      <c r="J1326" s="214" t="s">
        <v>4378</v>
      </c>
      <c r="P1326" s="37" t="s">
        <v>1463</v>
      </c>
      <c r="S1326" s="10" t="s">
        <v>2983</v>
      </c>
      <c r="U1326" s="22">
        <v>1</v>
      </c>
      <c r="V1326" s="22">
        <v>1</v>
      </c>
      <c r="W1326" s="73">
        <f t="shared" si="62"/>
        <v>13</v>
      </c>
      <c r="X1326" s="80">
        <f t="shared" si="63"/>
        <v>2210</v>
      </c>
      <c r="Y1326" s="82" t="s">
        <v>3591</v>
      </c>
      <c r="Z1326" s="24" t="s">
        <v>2553</v>
      </c>
      <c r="AA1326" s="180"/>
      <c r="AB1326" s="180">
        <v>43419</v>
      </c>
      <c r="AC1326" s="84" t="s">
        <v>2885</v>
      </c>
    </row>
    <row r="1327" spans="1:37" ht="15.45" customHeight="1" x14ac:dyDescent="0.25">
      <c r="A1327" s="34" t="s">
        <v>2737</v>
      </c>
      <c r="B1327" s="24" t="s">
        <v>2738</v>
      </c>
      <c r="C1327" s="37" t="s">
        <v>1103</v>
      </c>
      <c r="E1327" s="37" t="s">
        <v>2926</v>
      </c>
      <c r="F1327" s="24" t="s">
        <v>2117</v>
      </c>
      <c r="P1327" s="37" t="s">
        <v>1463</v>
      </c>
      <c r="S1327" s="10" t="s">
        <v>2983</v>
      </c>
      <c r="U1327" s="22">
        <v>1</v>
      </c>
      <c r="V1327" s="22">
        <v>3</v>
      </c>
      <c r="W1327" s="73">
        <f t="shared" si="62"/>
        <v>16</v>
      </c>
      <c r="X1327" s="80">
        <f t="shared" si="63"/>
        <v>2213</v>
      </c>
      <c r="Y1327" s="82" t="s">
        <v>3591</v>
      </c>
      <c r="Z1327" s="24" t="s">
        <v>2553</v>
      </c>
      <c r="AA1327" s="180"/>
      <c r="AB1327" s="180">
        <v>43132</v>
      </c>
      <c r="AC1327" s="84" t="s">
        <v>2885</v>
      </c>
    </row>
    <row r="1328" spans="1:37" ht="15.45" customHeight="1" x14ac:dyDescent="0.25">
      <c r="A1328" s="29" t="s">
        <v>650</v>
      </c>
      <c r="B1328" s="24" t="s">
        <v>1431</v>
      </c>
      <c r="C1328" s="37" t="s">
        <v>4501</v>
      </c>
      <c r="E1328" s="37" t="s">
        <v>2926</v>
      </c>
      <c r="F1328" s="24" t="s">
        <v>2117</v>
      </c>
      <c r="P1328" s="37" t="s">
        <v>124</v>
      </c>
      <c r="S1328" s="10" t="s">
        <v>2983</v>
      </c>
      <c r="U1328" s="22">
        <v>1</v>
      </c>
      <c r="V1328" s="22">
        <v>2</v>
      </c>
      <c r="W1328" s="73">
        <f t="shared" si="62"/>
        <v>18</v>
      </c>
      <c r="X1328" s="80">
        <f t="shared" si="63"/>
        <v>2215</v>
      </c>
      <c r="Y1328" s="82" t="s">
        <v>3584</v>
      </c>
      <c r="AA1328" s="180"/>
      <c r="AB1328" s="180"/>
    </row>
    <row r="1329" spans="1:37" ht="15.45" customHeight="1" x14ac:dyDescent="0.25">
      <c r="A1329" s="29" t="s">
        <v>3319</v>
      </c>
      <c r="B1329" s="24" t="s">
        <v>1431</v>
      </c>
      <c r="C1329" s="37" t="s">
        <v>4501</v>
      </c>
      <c r="E1329" s="37" t="s">
        <v>2926</v>
      </c>
      <c r="F1329" s="24" t="s">
        <v>2117</v>
      </c>
      <c r="P1329" s="37" t="s">
        <v>108</v>
      </c>
      <c r="S1329" s="10" t="s">
        <v>2983</v>
      </c>
      <c r="U1329" s="22">
        <v>1</v>
      </c>
      <c r="V1329" s="22">
        <v>1</v>
      </c>
      <c r="W1329" s="73">
        <f t="shared" si="62"/>
        <v>19</v>
      </c>
      <c r="X1329" s="80">
        <f t="shared" si="63"/>
        <v>2216</v>
      </c>
      <c r="Y1329" s="82" t="s">
        <v>3592</v>
      </c>
      <c r="Z1329" s="24" t="s">
        <v>2884</v>
      </c>
      <c r="AA1329" s="180"/>
      <c r="AB1329" s="180"/>
    </row>
    <row r="1330" spans="1:37" ht="15.45" customHeight="1" x14ac:dyDescent="0.25">
      <c r="A1330" s="29" t="s">
        <v>3319</v>
      </c>
      <c r="B1330" s="24" t="s">
        <v>1431</v>
      </c>
      <c r="C1330" s="37" t="s">
        <v>4501</v>
      </c>
      <c r="E1330" s="37" t="s">
        <v>2926</v>
      </c>
      <c r="F1330" s="24" t="s">
        <v>2117</v>
      </c>
      <c r="P1330" s="37" t="s">
        <v>1463</v>
      </c>
      <c r="S1330" s="10" t="s">
        <v>2983</v>
      </c>
      <c r="U1330" s="22">
        <v>1</v>
      </c>
      <c r="V1330" s="22">
        <v>1</v>
      </c>
      <c r="W1330" s="73">
        <f t="shared" si="62"/>
        <v>20</v>
      </c>
      <c r="X1330" s="80">
        <f t="shared" si="63"/>
        <v>2217</v>
      </c>
      <c r="Y1330" s="82" t="s">
        <v>3591</v>
      </c>
      <c r="Z1330" s="24" t="s">
        <v>2553</v>
      </c>
      <c r="AA1330" s="180"/>
      <c r="AB1330" s="180"/>
    </row>
    <row r="1331" spans="1:37" ht="15.45" customHeight="1" x14ac:dyDescent="0.25">
      <c r="A1331" s="29" t="s">
        <v>280</v>
      </c>
      <c r="B1331" s="24" t="s">
        <v>1430</v>
      </c>
      <c r="C1331" s="37" t="s">
        <v>4501</v>
      </c>
      <c r="E1331" s="37" t="s">
        <v>2926</v>
      </c>
      <c r="F1331" s="24" t="s">
        <v>2117</v>
      </c>
      <c r="P1331" s="37" t="s">
        <v>279</v>
      </c>
      <c r="S1331" s="10" t="s">
        <v>2983</v>
      </c>
      <c r="U1331" s="22">
        <v>1</v>
      </c>
      <c r="V1331" s="22">
        <v>1</v>
      </c>
      <c r="W1331" s="73">
        <f t="shared" si="62"/>
        <v>21</v>
      </c>
      <c r="X1331" s="80">
        <f t="shared" si="63"/>
        <v>2218</v>
      </c>
      <c r="Y1331" s="82" t="s">
        <v>3592</v>
      </c>
      <c r="Z1331" s="24" t="s">
        <v>2884</v>
      </c>
      <c r="AA1331" s="180"/>
      <c r="AB1331" s="180"/>
    </row>
    <row r="1332" spans="1:37" s="51" customFormat="1" ht="15.45" customHeight="1" x14ac:dyDescent="0.25">
      <c r="A1332" s="45" t="s">
        <v>2780</v>
      </c>
      <c r="B1332" s="50"/>
      <c r="C1332" s="49"/>
      <c r="D1332" s="49"/>
      <c r="E1332" s="49"/>
      <c r="F1332" s="50"/>
      <c r="G1332" s="50"/>
      <c r="H1332" s="46" t="s">
        <v>3748</v>
      </c>
      <c r="I1332" s="109"/>
      <c r="J1332" s="212"/>
      <c r="K1332" s="56"/>
      <c r="L1332" s="100"/>
      <c r="M1332" s="100"/>
      <c r="N1332" s="49"/>
      <c r="O1332" s="49"/>
      <c r="P1332" s="49"/>
      <c r="Q1332" s="49"/>
      <c r="R1332" s="49"/>
      <c r="S1332" s="47"/>
      <c r="T1332" s="47"/>
      <c r="U1332" s="53"/>
      <c r="V1332" s="53"/>
      <c r="W1332" s="74"/>
      <c r="X1332" s="81"/>
      <c r="Y1332" s="132"/>
      <c r="Z1332" s="50"/>
      <c r="AA1332" s="173"/>
      <c r="AB1332" s="173"/>
      <c r="AC1332" s="137"/>
      <c r="AD1332" s="137"/>
      <c r="AE1332" s="83"/>
      <c r="AF1332" s="47"/>
      <c r="AG1332" s="47"/>
      <c r="AH1332" s="47"/>
      <c r="AI1332" s="47"/>
      <c r="AJ1332" s="47"/>
      <c r="AK1332" s="47"/>
    </row>
    <row r="1333" spans="1:37" ht="15.45" customHeight="1" x14ac:dyDescent="0.25">
      <c r="A1333" s="29" t="s">
        <v>4204</v>
      </c>
      <c r="B1333" s="24" t="s">
        <v>680</v>
      </c>
      <c r="C1333" s="37" t="s">
        <v>4503</v>
      </c>
      <c r="E1333" s="37" t="s">
        <v>2832</v>
      </c>
      <c r="F1333" s="24" t="s">
        <v>2117</v>
      </c>
      <c r="H1333" s="38" t="s">
        <v>4205</v>
      </c>
      <c r="J1333" s="214" t="s">
        <v>5102</v>
      </c>
      <c r="K1333" s="10" t="s">
        <v>4109</v>
      </c>
      <c r="P1333" s="37" t="s">
        <v>1642</v>
      </c>
      <c r="S1333" s="10" t="s">
        <v>2983</v>
      </c>
      <c r="U1333" s="22">
        <v>1</v>
      </c>
      <c r="V1333" s="21">
        <v>1</v>
      </c>
      <c r="W1333" s="73">
        <v>1</v>
      </c>
      <c r="X1333" s="80">
        <f>V1333+X1331</f>
        <v>2219</v>
      </c>
      <c r="Y1333" s="82" t="s">
        <v>3584</v>
      </c>
    </row>
    <row r="1334" spans="1:37" ht="15.45" customHeight="1" x14ac:dyDescent="0.25">
      <c r="A1334" s="29" t="s">
        <v>4195</v>
      </c>
      <c r="B1334" s="24" t="s">
        <v>971</v>
      </c>
      <c r="C1334" s="37" t="s">
        <v>4503</v>
      </c>
      <c r="E1334" s="37" t="s">
        <v>2832</v>
      </c>
      <c r="F1334" s="24" t="s">
        <v>5445</v>
      </c>
      <c r="J1334" s="214" t="s">
        <v>3691</v>
      </c>
      <c r="K1334" s="10" t="s">
        <v>3717</v>
      </c>
      <c r="P1334" s="37" t="s">
        <v>1603</v>
      </c>
      <c r="S1334" s="10" t="s">
        <v>2983</v>
      </c>
      <c r="U1334" s="22">
        <v>1</v>
      </c>
      <c r="V1334" s="21">
        <v>1</v>
      </c>
      <c r="W1334" s="73">
        <f t="shared" ref="W1334:W1377" si="64">V1334+W1333</f>
        <v>2</v>
      </c>
      <c r="X1334" s="80">
        <f t="shared" ref="X1334:X1377" si="65">V1334+X1333</f>
        <v>2220</v>
      </c>
      <c r="Y1334" s="82" t="s">
        <v>3584</v>
      </c>
    </row>
    <row r="1335" spans="1:37" ht="15.45" customHeight="1" x14ac:dyDescent="0.25">
      <c r="A1335" s="29" t="s">
        <v>3765</v>
      </c>
      <c r="B1335" s="24" t="s">
        <v>972</v>
      </c>
      <c r="C1335" s="37" t="s">
        <v>4503</v>
      </c>
      <c r="E1335" s="37" t="s">
        <v>2832</v>
      </c>
      <c r="F1335" s="24" t="s">
        <v>5445</v>
      </c>
      <c r="J1335" s="214" t="s">
        <v>5129</v>
      </c>
      <c r="K1335" s="10" t="s">
        <v>5147</v>
      </c>
      <c r="P1335" s="37" t="s">
        <v>1642</v>
      </c>
      <c r="S1335" s="10" t="s">
        <v>2983</v>
      </c>
      <c r="U1335" s="22">
        <v>1</v>
      </c>
      <c r="V1335" s="21">
        <v>1</v>
      </c>
      <c r="W1335" s="73">
        <f t="shared" si="64"/>
        <v>3</v>
      </c>
      <c r="X1335" s="80">
        <f t="shared" si="65"/>
        <v>2221</v>
      </c>
      <c r="Y1335" s="82" t="s">
        <v>3584</v>
      </c>
    </row>
    <row r="1336" spans="1:37" ht="15.45" customHeight="1" x14ac:dyDescent="0.25">
      <c r="A1336" s="29" t="s">
        <v>4369</v>
      </c>
      <c r="B1336" s="24" t="s">
        <v>4370</v>
      </c>
      <c r="C1336" s="37" t="s">
        <v>4503</v>
      </c>
      <c r="E1336" s="37" t="s">
        <v>2926</v>
      </c>
      <c r="F1336" s="24" t="s">
        <v>2117</v>
      </c>
      <c r="H1336" s="38" t="s">
        <v>4371</v>
      </c>
      <c r="J1336" s="214" t="s">
        <v>5305</v>
      </c>
      <c r="P1336" s="37" t="s">
        <v>1463</v>
      </c>
      <c r="S1336" s="10" t="s">
        <v>3412</v>
      </c>
      <c r="U1336" s="22">
        <v>2</v>
      </c>
      <c r="V1336" s="21">
        <v>2</v>
      </c>
      <c r="W1336" s="73">
        <f t="shared" si="64"/>
        <v>5</v>
      </c>
      <c r="X1336" s="80">
        <f t="shared" si="65"/>
        <v>2223</v>
      </c>
      <c r="Y1336" s="82" t="s">
        <v>3591</v>
      </c>
      <c r="Z1336" s="24" t="s">
        <v>2885</v>
      </c>
      <c r="AB1336" s="177">
        <v>43419</v>
      </c>
      <c r="AC1336" s="84" t="s">
        <v>2885</v>
      </c>
    </row>
    <row r="1337" spans="1:37" ht="15.45" customHeight="1" x14ac:dyDescent="0.25">
      <c r="A1337" s="29" t="s">
        <v>998</v>
      </c>
      <c r="B1337" s="24" t="s">
        <v>1566</v>
      </c>
      <c r="C1337" s="37" t="s">
        <v>4503</v>
      </c>
      <c r="E1337" s="37" t="s">
        <v>2832</v>
      </c>
      <c r="F1337" s="24" t="s">
        <v>2117</v>
      </c>
      <c r="P1337" s="37" t="s">
        <v>201</v>
      </c>
      <c r="S1337" s="10" t="s">
        <v>2983</v>
      </c>
      <c r="U1337" s="22">
        <v>1</v>
      </c>
      <c r="V1337" s="22">
        <v>1</v>
      </c>
      <c r="W1337" s="73">
        <f t="shared" si="64"/>
        <v>6</v>
      </c>
      <c r="X1337" s="80">
        <f t="shared" si="65"/>
        <v>2224</v>
      </c>
      <c r="Y1337" s="82" t="s">
        <v>3584</v>
      </c>
    </row>
    <row r="1338" spans="1:37" ht="15.45" customHeight="1" x14ac:dyDescent="0.25">
      <c r="A1338" s="29" t="s">
        <v>1769</v>
      </c>
      <c r="B1338" s="24" t="s">
        <v>1555</v>
      </c>
      <c r="C1338" s="37" t="s">
        <v>4421</v>
      </c>
      <c r="E1338" s="37" t="s">
        <v>2832</v>
      </c>
      <c r="F1338" s="24" t="s">
        <v>2117</v>
      </c>
      <c r="J1338" s="214" t="s">
        <v>3712</v>
      </c>
      <c r="K1338" s="10" t="s">
        <v>3699</v>
      </c>
      <c r="P1338" s="37" t="s">
        <v>1842</v>
      </c>
      <c r="S1338" s="10" t="s">
        <v>2983</v>
      </c>
      <c r="T1338" s="10" t="s">
        <v>2917</v>
      </c>
      <c r="U1338" s="22">
        <v>1</v>
      </c>
      <c r="V1338" s="22">
        <v>1</v>
      </c>
      <c r="W1338" s="73">
        <f t="shared" si="64"/>
        <v>7</v>
      </c>
      <c r="X1338" s="80">
        <f t="shared" si="65"/>
        <v>2225</v>
      </c>
      <c r="Y1338" s="82" t="s">
        <v>3584</v>
      </c>
    </row>
    <row r="1339" spans="1:37" ht="15.45" customHeight="1" x14ac:dyDescent="0.25">
      <c r="A1339" s="29" t="s">
        <v>122</v>
      </c>
      <c r="B1339" s="24" t="s">
        <v>1555</v>
      </c>
      <c r="C1339" s="37" t="s">
        <v>4421</v>
      </c>
      <c r="E1339" s="37" t="s">
        <v>2832</v>
      </c>
      <c r="F1339" s="24" t="s">
        <v>2117</v>
      </c>
      <c r="S1339" s="10" t="s">
        <v>2983</v>
      </c>
      <c r="U1339" s="22">
        <v>1</v>
      </c>
      <c r="V1339" s="22">
        <v>1</v>
      </c>
      <c r="W1339" s="73">
        <f t="shared" si="64"/>
        <v>8</v>
      </c>
      <c r="X1339" s="80">
        <f t="shared" si="65"/>
        <v>2226</v>
      </c>
      <c r="Y1339" s="82" t="s">
        <v>3584</v>
      </c>
    </row>
    <row r="1340" spans="1:37" ht="15.45" customHeight="1" x14ac:dyDescent="0.25">
      <c r="A1340" s="29" t="s">
        <v>788</v>
      </c>
      <c r="B1340" s="24" t="s">
        <v>1667</v>
      </c>
      <c r="C1340" s="37" t="s">
        <v>4421</v>
      </c>
      <c r="E1340" s="37" t="s">
        <v>2832</v>
      </c>
      <c r="F1340" s="24" t="s">
        <v>2117</v>
      </c>
      <c r="J1340" s="214" t="s">
        <v>4034</v>
      </c>
      <c r="K1340" s="10" t="s">
        <v>4035</v>
      </c>
      <c r="P1340" s="37" t="s">
        <v>1837</v>
      </c>
      <c r="S1340" s="10" t="s">
        <v>2983</v>
      </c>
      <c r="U1340" s="22">
        <v>1</v>
      </c>
      <c r="V1340" s="23">
        <v>1</v>
      </c>
      <c r="W1340" s="73">
        <f t="shared" si="64"/>
        <v>9</v>
      </c>
      <c r="X1340" s="80">
        <f t="shared" si="65"/>
        <v>2227</v>
      </c>
      <c r="Y1340" s="82" t="s">
        <v>3584</v>
      </c>
      <c r="AE1340" s="24" t="s">
        <v>4037</v>
      </c>
    </row>
    <row r="1341" spans="1:37" ht="15.45" customHeight="1" x14ac:dyDescent="0.25">
      <c r="A1341" s="29" t="s">
        <v>707</v>
      </c>
      <c r="B1341" s="24" t="s">
        <v>1739</v>
      </c>
      <c r="C1341" s="37" t="s">
        <v>4421</v>
      </c>
      <c r="E1341" s="37" t="s">
        <v>2832</v>
      </c>
      <c r="F1341" s="24" t="s">
        <v>2117</v>
      </c>
      <c r="J1341" s="214" t="s">
        <v>4034</v>
      </c>
      <c r="K1341" s="10" t="s">
        <v>4035</v>
      </c>
      <c r="P1341" s="37" t="s">
        <v>1836</v>
      </c>
      <c r="S1341" s="10" t="s">
        <v>2983</v>
      </c>
      <c r="U1341" s="22">
        <v>1</v>
      </c>
      <c r="V1341" s="22">
        <v>1</v>
      </c>
      <c r="W1341" s="73">
        <f t="shared" si="64"/>
        <v>10</v>
      </c>
      <c r="X1341" s="80">
        <f t="shared" si="65"/>
        <v>2228</v>
      </c>
      <c r="Y1341" s="82" t="s">
        <v>3584</v>
      </c>
      <c r="AE1341" s="24" t="s">
        <v>4036</v>
      </c>
    </row>
    <row r="1342" spans="1:37" ht="15.45" customHeight="1" x14ac:dyDescent="0.25">
      <c r="A1342" s="29" t="s">
        <v>813</v>
      </c>
      <c r="B1342" s="24" t="s">
        <v>2020</v>
      </c>
      <c r="C1342" s="37" t="s">
        <v>4421</v>
      </c>
      <c r="E1342" s="37" t="s">
        <v>2832</v>
      </c>
      <c r="F1342" s="24" t="s">
        <v>2117</v>
      </c>
      <c r="P1342" s="37" t="s">
        <v>1463</v>
      </c>
      <c r="S1342" s="10" t="s">
        <v>2983</v>
      </c>
      <c r="U1342" s="22">
        <v>1</v>
      </c>
      <c r="V1342" s="22">
        <v>3</v>
      </c>
      <c r="W1342" s="73">
        <f t="shared" si="64"/>
        <v>13</v>
      </c>
      <c r="X1342" s="80">
        <f t="shared" si="65"/>
        <v>2231</v>
      </c>
      <c r="Y1342" s="82" t="s">
        <v>3584</v>
      </c>
      <c r="Z1342" s="24" t="s">
        <v>2911</v>
      </c>
      <c r="AB1342" s="177">
        <v>43419</v>
      </c>
      <c r="AC1342" s="84" t="s">
        <v>2885</v>
      </c>
    </row>
    <row r="1343" spans="1:37" ht="15.45" customHeight="1" x14ac:dyDescent="0.25">
      <c r="A1343" s="29" t="s">
        <v>119</v>
      </c>
      <c r="B1343" s="24" t="s">
        <v>2020</v>
      </c>
      <c r="C1343" s="37" t="s">
        <v>4421</v>
      </c>
      <c r="E1343" s="37" t="s">
        <v>2832</v>
      </c>
      <c r="F1343" s="24" t="s">
        <v>2117</v>
      </c>
      <c r="P1343" s="37" t="s">
        <v>1463</v>
      </c>
      <c r="S1343" s="10" t="s">
        <v>2983</v>
      </c>
      <c r="U1343" s="22">
        <v>1</v>
      </c>
      <c r="V1343" s="22">
        <v>2</v>
      </c>
      <c r="W1343" s="73">
        <f t="shared" si="64"/>
        <v>15</v>
      </c>
      <c r="X1343" s="80">
        <f t="shared" si="65"/>
        <v>2233</v>
      </c>
      <c r="Y1343" s="82" t="s">
        <v>3591</v>
      </c>
      <c r="Z1343" s="24" t="s">
        <v>2884</v>
      </c>
    </row>
    <row r="1344" spans="1:37" ht="15.45" customHeight="1" x14ac:dyDescent="0.25">
      <c r="A1344" s="29" t="s">
        <v>119</v>
      </c>
      <c r="B1344" s="24" t="s">
        <v>2020</v>
      </c>
      <c r="C1344" s="37" t="s">
        <v>4421</v>
      </c>
      <c r="E1344" s="37" t="s">
        <v>2832</v>
      </c>
      <c r="F1344" s="24" t="s">
        <v>2117</v>
      </c>
      <c r="H1344" s="38" t="s">
        <v>7121</v>
      </c>
      <c r="J1344" s="214" t="s">
        <v>5029</v>
      </c>
      <c r="O1344" s="37" t="s">
        <v>7120</v>
      </c>
      <c r="P1344" s="37" t="s">
        <v>1463</v>
      </c>
      <c r="S1344" s="10" t="s">
        <v>3412</v>
      </c>
      <c r="U1344" s="22">
        <v>1</v>
      </c>
      <c r="V1344" s="22">
        <v>1</v>
      </c>
      <c r="W1344" s="73">
        <f t="shared" ref="W1344:W1346" si="66">V1344+W1343</f>
        <v>16</v>
      </c>
      <c r="X1344" s="80">
        <f t="shared" ref="X1344:X1346" si="67">V1344+X1343</f>
        <v>2234</v>
      </c>
      <c r="Y1344" s="82" t="s">
        <v>3591</v>
      </c>
      <c r="Z1344" s="24" t="s">
        <v>2885</v>
      </c>
    </row>
    <row r="1345" spans="1:35" ht="15.45" customHeight="1" x14ac:dyDescent="0.25">
      <c r="A1345" s="29" t="s">
        <v>3320</v>
      </c>
      <c r="B1345" s="24" t="s">
        <v>1922</v>
      </c>
      <c r="C1345" s="37" t="s">
        <v>4421</v>
      </c>
      <c r="E1345" s="37" t="s">
        <v>2832</v>
      </c>
      <c r="F1345" s="24" t="s">
        <v>2117</v>
      </c>
      <c r="H1345" s="38" t="s">
        <v>4358</v>
      </c>
      <c r="S1345" s="10" t="s">
        <v>2983</v>
      </c>
      <c r="U1345" s="22">
        <v>1</v>
      </c>
      <c r="V1345" s="22">
        <v>1</v>
      </c>
      <c r="W1345" s="73">
        <f t="shared" si="66"/>
        <v>17</v>
      </c>
      <c r="X1345" s="80">
        <f t="shared" si="67"/>
        <v>2235</v>
      </c>
      <c r="Y1345" s="82" t="s">
        <v>3592</v>
      </c>
      <c r="Z1345" s="24" t="s">
        <v>2884</v>
      </c>
    </row>
    <row r="1346" spans="1:35" ht="15.45" customHeight="1" x14ac:dyDescent="0.25">
      <c r="A1346" s="29" t="s">
        <v>4504</v>
      </c>
      <c r="B1346" s="24" t="s">
        <v>1840</v>
      </c>
      <c r="C1346" s="37" t="s">
        <v>4421</v>
      </c>
      <c r="E1346" s="37" t="s">
        <v>2832</v>
      </c>
      <c r="F1346" s="24" t="s">
        <v>2117</v>
      </c>
      <c r="H1346" s="38" t="s">
        <v>4384</v>
      </c>
      <c r="P1346" s="37" t="s">
        <v>51</v>
      </c>
      <c r="S1346" s="10" t="s">
        <v>2983</v>
      </c>
      <c r="U1346" s="22">
        <v>1</v>
      </c>
      <c r="V1346" s="22">
        <v>1</v>
      </c>
      <c r="W1346" s="73">
        <f t="shared" si="66"/>
        <v>18</v>
      </c>
      <c r="X1346" s="80">
        <f t="shared" si="67"/>
        <v>2236</v>
      </c>
      <c r="Y1346" s="82" t="s">
        <v>3584</v>
      </c>
    </row>
    <row r="1347" spans="1:35" ht="15.45" customHeight="1" x14ac:dyDescent="0.25">
      <c r="A1347" s="29" t="s">
        <v>4504</v>
      </c>
      <c r="B1347" s="24" t="s">
        <v>1840</v>
      </c>
      <c r="C1347" s="37" t="s">
        <v>4421</v>
      </c>
      <c r="E1347" s="37" t="s">
        <v>2832</v>
      </c>
      <c r="F1347" s="24" t="s">
        <v>2117</v>
      </c>
      <c r="P1347" s="37" t="s">
        <v>1463</v>
      </c>
      <c r="S1347" s="10" t="s">
        <v>2983</v>
      </c>
      <c r="U1347" s="22">
        <v>1</v>
      </c>
      <c r="V1347" s="22">
        <v>1</v>
      </c>
      <c r="W1347" s="73">
        <f t="shared" si="64"/>
        <v>19</v>
      </c>
      <c r="X1347" s="80">
        <f t="shared" si="65"/>
        <v>2237</v>
      </c>
      <c r="Y1347" s="82" t="s">
        <v>3584</v>
      </c>
    </row>
    <row r="1348" spans="1:35" ht="15.45" customHeight="1" x14ac:dyDescent="0.25">
      <c r="A1348" s="29" t="s">
        <v>4504</v>
      </c>
      <c r="B1348" s="24" t="s">
        <v>1840</v>
      </c>
      <c r="C1348" s="37" t="s">
        <v>4421</v>
      </c>
      <c r="E1348" s="37" t="s">
        <v>2832</v>
      </c>
      <c r="F1348" s="24" t="s">
        <v>2117</v>
      </c>
      <c r="H1348" s="38" t="s">
        <v>4397</v>
      </c>
      <c r="J1348" s="214" t="s">
        <v>4398</v>
      </c>
      <c r="P1348" s="37" t="s">
        <v>51</v>
      </c>
      <c r="S1348" s="10" t="s">
        <v>2983</v>
      </c>
      <c r="U1348" s="22">
        <v>1</v>
      </c>
      <c r="V1348" s="22">
        <v>1</v>
      </c>
      <c r="W1348" s="73">
        <f t="shared" si="64"/>
        <v>20</v>
      </c>
      <c r="X1348" s="80">
        <f t="shared" si="65"/>
        <v>2238</v>
      </c>
      <c r="Y1348" s="82" t="s">
        <v>3584</v>
      </c>
    </row>
    <row r="1349" spans="1:35" ht="15.45" customHeight="1" x14ac:dyDescent="0.25">
      <c r="A1349" s="29" t="s">
        <v>4504</v>
      </c>
      <c r="B1349" s="24" t="s">
        <v>1840</v>
      </c>
      <c r="C1349" s="37" t="s">
        <v>4421</v>
      </c>
      <c r="E1349" s="37" t="s">
        <v>2832</v>
      </c>
      <c r="F1349" s="24" t="s">
        <v>2117</v>
      </c>
      <c r="P1349" s="37" t="s">
        <v>1463</v>
      </c>
      <c r="S1349" s="10" t="s">
        <v>2983</v>
      </c>
      <c r="U1349" s="22">
        <v>1</v>
      </c>
      <c r="V1349" s="22">
        <v>2</v>
      </c>
      <c r="W1349" s="73">
        <f t="shared" si="64"/>
        <v>22</v>
      </c>
      <c r="X1349" s="80">
        <f t="shared" si="65"/>
        <v>2240</v>
      </c>
      <c r="Y1349" s="82" t="s">
        <v>3584</v>
      </c>
    </row>
    <row r="1350" spans="1:35" ht="15.45" customHeight="1" x14ac:dyDescent="0.25">
      <c r="A1350" s="29" t="s">
        <v>3321</v>
      </c>
      <c r="B1350" s="24" t="s">
        <v>1923</v>
      </c>
      <c r="C1350" s="37" t="s">
        <v>4421</v>
      </c>
      <c r="E1350" s="37" t="s">
        <v>2832</v>
      </c>
      <c r="F1350" s="24" t="s">
        <v>2117</v>
      </c>
      <c r="H1350" s="38" t="s">
        <v>3317</v>
      </c>
      <c r="S1350" s="10" t="s">
        <v>2983</v>
      </c>
      <c r="U1350" s="22">
        <v>1</v>
      </c>
      <c r="V1350" s="22">
        <v>10</v>
      </c>
      <c r="W1350" s="73">
        <f t="shared" si="64"/>
        <v>32</v>
      </c>
      <c r="X1350" s="80">
        <f t="shared" si="65"/>
        <v>2250</v>
      </c>
      <c r="Y1350" s="82" t="s">
        <v>3584</v>
      </c>
    </row>
    <row r="1351" spans="1:35" ht="15.45" customHeight="1" x14ac:dyDescent="0.25">
      <c r="A1351" s="29" t="s">
        <v>4374</v>
      </c>
      <c r="B1351" s="24" t="s">
        <v>4375</v>
      </c>
      <c r="C1351" s="37" t="s">
        <v>4421</v>
      </c>
      <c r="E1351" s="37" t="s">
        <v>2926</v>
      </c>
      <c r="F1351" s="24" t="s">
        <v>2117</v>
      </c>
      <c r="J1351" s="214" t="s">
        <v>4365</v>
      </c>
      <c r="P1351" s="37" t="s">
        <v>1463</v>
      </c>
      <c r="S1351" s="10" t="s">
        <v>2983</v>
      </c>
      <c r="U1351" s="22">
        <v>1</v>
      </c>
      <c r="V1351" s="22">
        <v>1</v>
      </c>
      <c r="W1351" s="73">
        <f t="shared" si="64"/>
        <v>33</v>
      </c>
      <c r="X1351" s="80">
        <f t="shared" si="65"/>
        <v>2251</v>
      </c>
      <c r="Y1351" s="82" t="s">
        <v>3591</v>
      </c>
      <c r="Z1351" s="24" t="s">
        <v>2553</v>
      </c>
      <c r="AB1351" s="177">
        <v>43419</v>
      </c>
      <c r="AC1351" s="84" t="s">
        <v>2885</v>
      </c>
    </row>
    <row r="1352" spans="1:35" ht="15.45" customHeight="1" x14ac:dyDescent="0.25">
      <c r="A1352" s="29" t="s">
        <v>4374</v>
      </c>
      <c r="B1352" s="24" t="s">
        <v>4375</v>
      </c>
      <c r="C1352" s="37" t="s">
        <v>4421</v>
      </c>
      <c r="E1352" s="37" t="s">
        <v>2926</v>
      </c>
      <c r="F1352" s="24" t="s">
        <v>2117</v>
      </c>
      <c r="J1352" s="214" t="s">
        <v>4365</v>
      </c>
      <c r="P1352" s="37" t="s">
        <v>1463</v>
      </c>
      <c r="S1352" s="10" t="s">
        <v>2983</v>
      </c>
      <c r="U1352" s="22">
        <v>1</v>
      </c>
      <c r="V1352" s="22">
        <v>4</v>
      </c>
      <c r="W1352" s="73">
        <f t="shared" si="64"/>
        <v>37</v>
      </c>
      <c r="X1352" s="80">
        <f t="shared" si="65"/>
        <v>2255</v>
      </c>
      <c r="Y1352" s="82" t="s">
        <v>3591</v>
      </c>
      <c r="Z1352" s="24" t="s">
        <v>2911</v>
      </c>
      <c r="AB1352" s="177">
        <v>43419</v>
      </c>
      <c r="AC1352" s="84" t="s">
        <v>2885</v>
      </c>
    </row>
    <row r="1353" spans="1:35" ht="15.45" customHeight="1" x14ac:dyDescent="0.25">
      <c r="A1353" s="29" t="s">
        <v>4368</v>
      </c>
      <c r="B1353" s="24" t="s">
        <v>1925</v>
      </c>
      <c r="C1353" s="37" t="s">
        <v>4421</v>
      </c>
      <c r="E1353" s="37" t="s">
        <v>2832</v>
      </c>
      <c r="F1353" s="24" t="s">
        <v>2117</v>
      </c>
      <c r="J1353" s="214" t="s">
        <v>3691</v>
      </c>
      <c r="K1353" s="10" t="s">
        <v>3717</v>
      </c>
      <c r="P1353" s="37" t="s">
        <v>123</v>
      </c>
      <c r="S1353" s="10" t="s">
        <v>2983</v>
      </c>
      <c r="U1353" s="22">
        <v>1</v>
      </c>
      <c r="V1353" s="22">
        <v>1</v>
      </c>
      <c r="W1353" s="73">
        <f t="shared" si="64"/>
        <v>38</v>
      </c>
      <c r="X1353" s="80">
        <f t="shared" si="65"/>
        <v>2256</v>
      </c>
      <c r="Y1353" s="82" t="s">
        <v>3584</v>
      </c>
    </row>
    <row r="1354" spans="1:35" ht="15.45" customHeight="1" x14ac:dyDescent="0.25">
      <c r="A1354" s="29" t="s">
        <v>4368</v>
      </c>
      <c r="B1354" s="24" t="s">
        <v>1925</v>
      </c>
      <c r="C1354" s="37" t="s">
        <v>4421</v>
      </c>
      <c r="E1354" s="37" t="s">
        <v>2832</v>
      </c>
      <c r="F1354" s="24" t="s">
        <v>2117</v>
      </c>
      <c r="H1354" s="38" t="s">
        <v>4364</v>
      </c>
      <c r="J1354" s="214" t="s">
        <v>4365</v>
      </c>
      <c r="P1354" s="37" t="s">
        <v>1463</v>
      </c>
      <c r="S1354" s="10" t="s">
        <v>2983</v>
      </c>
      <c r="T1354" s="10" t="s">
        <v>4366</v>
      </c>
      <c r="U1354" s="22">
        <v>1</v>
      </c>
      <c r="V1354" s="22">
        <v>1</v>
      </c>
      <c r="W1354" s="73">
        <f t="shared" si="64"/>
        <v>39</v>
      </c>
      <c r="X1354" s="80">
        <f t="shared" si="65"/>
        <v>2257</v>
      </c>
      <c r="Y1354" s="82" t="s">
        <v>3591</v>
      </c>
      <c r="Z1354" s="24" t="s">
        <v>2911</v>
      </c>
      <c r="AB1354" s="177">
        <v>43419</v>
      </c>
      <c r="AC1354" s="84" t="s">
        <v>2885</v>
      </c>
    </row>
    <row r="1355" spans="1:35" ht="15.45" customHeight="1" x14ac:dyDescent="0.25">
      <c r="A1355" s="29" t="s">
        <v>2435</v>
      </c>
      <c r="B1355" s="24" t="s">
        <v>2436</v>
      </c>
      <c r="C1355" s="37" t="s">
        <v>4421</v>
      </c>
      <c r="E1355" s="37" t="s">
        <v>2832</v>
      </c>
      <c r="F1355" s="24" t="s">
        <v>2117</v>
      </c>
      <c r="H1355" s="38" t="s">
        <v>4367</v>
      </c>
      <c r="S1355" s="10" t="s">
        <v>2983</v>
      </c>
      <c r="U1355" s="22">
        <v>1</v>
      </c>
      <c r="V1355" s="22">
        <v>1</v>
      </c>
      <c r="W1355" s="73">
        <f t="shared" si="64"/>
        <v>40</v>
      </c>
      <c r="X1355" s="80">
        <f t="shared" si="65"/>
        <v>2258</v>
      </c>
      <c r="Y1355" s="82" t="s">
        <v>3584</v>
      </c>
      <c r="AB1355" s="177">
        <v>42095</v>
      </c>
      <c r="AC1355" s="84" t="s">
        <v>2885</v>
      </c>
      <c r="AI1355" s="10" t="s">
        <v>2434</v>
      </c>
    </row>
    <row r="1356" spans="1:35" ht="15.45" customHeight="1" x14ac:dyDescent="0.25">
      <c r="A1356" s="29" t="s">
        <v>2777</v>
      </c>
      <c r="B1356" s="24" t="s">
        <v>2779</v>
      </c>
      <c r="C1356" s="37" t="s">
        <v>4421</v>
      </c>
      <c r="E1356" s="37" t="s">
        <v>2832</v>
      </c>
      <c r="F1356" s="24" t="s">
        <v>2117</v>
      </c>
      <c r="P1356" s="37" t="s">
        <v>1463</v>
      </c>
      <c r="S1356" s="10" t="s">
        <v>2983</v>
      </c>
      <c r="U1356" s="22">
        <v>1</v>
      </c>
      <c r="V1356" s="22">
        <v>1</v>
      </c>
      <c r="W1356" s="73">
        <f t="shared" si="64"/>
        <v>41</v>
      </c>
      <c r="X1356" s="80">
        <f t="shared" si="65"/>
        <v>2259</v>
      </c>
      <c r="Y1356" s="82" t="s">
        <v>3591</v>
      </c>
      <c r="Z1356" s="24" t="s">
        <v>2553</v>
      </c>
      <c r="AB1356" s="177">
        <v>43132</v>
      </c>
      <c r="AC1356" s="84" t="s">
        <v>2885</v>
      </c>
      <c r="AI1356" s="10" t="s">
        <v>2778</v>
      </c>
    </row>
    <row r="1357" spans="1:35" ht="15.45" customHeight="1" x14ac:dyDescent="0.25">
      <c r="A1357" s="29" t="s">
        <v>795</v>
      </c>
      <c r="B1357" s="24" t="s">
        <v>1926</v>
      </c>
      <c r="C1357" s="37" t="s">
        <v>4421</v>
      </c>
      <c r="E1357" s="37" t="s">
        <v>2832</v>
      </c>
      <c r="F1357" s="24" t="s">
        <v>2117</v>
      </c>
      <c r="P1357" s="37" t="s">
        <v>1463</v>
      </c>
      <c r="S1357" s="10" t="s">
        <v>2983</v>
      </c>
      <c r="U1357" s="22">
        <v>1</v>
      </c>
      <c r="V1357" s="22">
        <v>3</v>
      </c>
      <c r="W1357" s="73">
        <f t="shared" si="64"/>
        <v>44</v>
      </c>
      <c r="X1357" s="80">
        <f t="shared" si="65"/>
        <v>2262</v>
      </c>
      <c r="Y1357" s="82" t="s">
        <v>3584</v>
      </c>
    </row>
    <row r="1358" spans="1:35" ht="15.45" customHeight="1" x14ac:dyDescent="0.25">
      <c r="A1358" s="29" t="s">
        <v>795</v>
      </c>
      <c r="B1358" s="24" t="s">
        <v>1926</v>
      </c>
      <c r="C1358" s="37" t="s">
        <v>4421</v>
      </c>
      <c r="E1358" s="37" t="s">
        <v>2832</v>
      </c>
      <c r="F1358" s="24" t="s">
        <v>2117</v>
      </c>
      <c r="P1358" s="37" t="s">
        <v>1463</v>
      </c>
      <c r="S1358" s="10" t="s">
        <v>2983</v>
      </c>
      <c r="U1358" s="22">
        <v>1</v>
      </c>
      <c r="V1358" s="22">
        <v>3</v>
      </c>
      <c r="W1358" s="73">
        <f t="shared" si="64"/>
        <v>47</v>
      </c>
      <c r="X1358" s="80">
        <f t="shared" si="65"/>
        <v>2265</v>
      </c>
      <c r="Y1358" s="82" t="s">
        <v>3591</v>
      </c>
      <c r="Z1358" s="24" t="s">
        <v>2553</v>
      </c>
      <c r="AB1358" s="177">
        <v>43419</v>
      </c>
      <c r="AC1358" s="84" t="s">
        <v>2885</v>
      </c>
    </row>
    <row r="1359" spans="1:35" ht="15.45" customHeight="1" x14ac:dyDescent="0.25">
      <c r="A1359" s="29" t="s">
        <v>4372</v>
      </c>
      <c r="B1359" s="24" t="s">
        <v>4373</v>
      </c>
      <c r="C1359" s="37" t="s">
        <v>4423</v>
      </c>
      <c r="E1359" s="37" t="s">
        <v>2926</v>
      </c>
      <c r="F1359" s="24" t="s">
        <v>2117</v>
      </c>
      <c r="J1359" s="214" t="s">
        <v>4378</v>
      </c>
      <c r="P1359" s="37" t="s">
        <v>1463</v>
      </c>
      <c r="S1359" s="10" t="s">
        <v>2983</v>
      </c>
      <c r="U1359" s="22">
        <v>1</v>
      </c>
      <c r="V1359" s="22">
        <v>1</v>
      </c>
      <c r="W1359" s="73">
        <f t="shared" si="64"/>
        <v>48</v>
      </c>
      <c r="X1359" s="80">
        <f t="shared" si="65"/>
        <v>2266</v>
      </c>
      <c r="Y1359" s="82" t="s">
        <v>3591</v>
      </c>
      <c r="Z1359" s="24" t="s">
        <v>2911</v>
      </c>
      <c r="AB1359" s="177">
        <v>43419</v>
      </c>
      <c r="AC1359" s="84" t="s">
        <v>2885</v>
      </c>
    </row>
    <row r="1360" spans="1:35" ht="15.45" customHeight="1" x14ac:dyDescent="0.25">
      <c r="A1360" s="29" t="s">
        <v>4534</v>
      </c>
      <c r="B1360" s="24" t="s">
        <v>4535</v>
      </c>
      <c r="C1360" s="37" t="s">
        <v>4423</v>
      </c>
      <c r="E1360" s="37" t="s">
        <v>2926</v>
      </c>
      <c r="F1360" s="24" t="s">
        <v>2117</v>
      </c>
      <c r="J1360" s="214" t="s">
        <v>4378</v>
      </c>
      <c r="P1360" s="37" t="s">
        <v>1463</v>
      </c>
      <c r="S1360" s="10" t="s">
        <v>2983</v>
      </c>
      <c r="T1360" s="10" t="s">
        <v>4505</v>
      </c>
      <c r="U1360" s="22">
        <v>1</v>
      </c>
      <c r="V1360" s="22">
        <v>1</v>
      </c>
      <c r="W1360" s="73">
        <f t="shared" si="64"/>
        <v>49</v>
      </c>
      <c r="X1360" s="80">
        <f t="shared" si="65"/>
        <v>2267</v>
      </c>
      <c r="Y1360" s="82" t="s">
        <v>3583</v>
      </c>
      <c r="AB1360" s="177">
        <v>43453</v>
      </c>
      <c r="AC1360" s="84" t="s">
        <v>2885</v>
      </c>
    </row>
    <row r="1361" spans="1:37" ht="15.45" customHeight="1" x14ac:dyDescent="0.25">
      <c r="A1361" s="29" t="s">
        <v>1006</v>
      </c>
      <c r="B1361" s="24" t="s">
        <v>1839</v>
      </c>
      <c r="C1361" s="37" t="s">
        <v>4424</v>
      </c>
      <c r="E1361" s="37" t="s">
        <v>2832</v>
      </c>
      <c r="F1361" s="24" t="s">
        <v>2117</v>
      </c>
      <c r="P1361" s="37" t="s">
        <v>1463</v>
      </c>
      <c r="S1361" s="10" t="s">
        <v>2983</v>
      </c>
      <c r="U1361" s="22">
        <v>1</v>
      </c>
      <c r="V1361" s="23">
        <v>1</v>
      </c>
      <c r="W1361" s="73">
        <f t="shared" si="64"/>
        <v>50</v>
      </c>
      <c r="X1361" s="80">
        <f t="shared" si="65"/>
        <v>2268</v>
      </c>
      <c r="Y1361" s="82" t="s">
        <v>3584</v>
      </c>
    </row>
    <row r="1362" spans="1:37" ht="15.45" customHeight="1" x14ac:dyDescent="0.25">
      <c r="A1362" s="29" t="s">
        <v>116</v>
      </c>
      <c r="B1362" s="24" t="s">
        <v>1847</v>
      </c>
      <c r="C1362" s="37" t="s">
        <v>4425</v>
      </c>
      <c r="E1362" s="37" t="s">
        <v>2832</v>
      </c>
      <c r="F1362" s="24" t="s">
        <v>2117</v>
      </c>
      <c r="P1362" s="37" t="s">
        <v>1463</v>
      </c>
      <c r="S1362" s="10" t="s">
        <v>2983</v>
      </c>
      <c r="U1362" s="22">
        <v>1</v>
      </c>
      <c r="V1362" s="22">
        <v>1</v>
      </c>
      <c r="W1362" s="73">
        <f t="shared" si="64"/>
        <v>51</v>
      </c>
      <c r="X1362" s="80">
        <f t="shared" si="65"/>
        <v>2269</v>
      </c>
      <c r="Y1362" s="82" t="s">
        <v>3592</v>
      </c>
      <c r="Z1362" s="24" t="s">
        <v>2884</v>
      </c>
    </row>
    <row r="1363" spans="1:37" ht="15.45" customHeight="1" x14ac:dyDescent="0.25">
      <c r="A1363" s="29" t="s">
        <v>116</v>
      </c>
      <c r="B1363" s="24" t="s">
        <v>1847</v>
      </c>
      <c r="C1363" s="37" t="s">
        <v>4425</v>
      </c>
      <c r="E1363" s="37" t="s">
        <v>2832</v>
      </c>
      <c r="F1363" s="24" t="s">
        <v>2117</v>
      </c>
      <c r="H1363" s="38" t="s">
        <v>4384</v>
      </c>
      <c r="P1363" s="37" t="s">
        <v>1463</v>
      </c>
      <c r="S1363" s="10" t="s">
        <v>2983</v>
      </c>
      <c r="U1363" s="22">
        <v>1</v>
      </c>
      <c r="V1363" s="22">
        <v>1</v>
      </c>
      <c r="W1363" s="73">
        <f t="shared" si="64"/>
        <v>52</v>
      </c>
      <c r="X1363" s="80">
        <f t="shared" si="65"/>
        <v>2270</v>
      </c>
      <c r="Y1363" s="82" t="s">
        <v>3591</v>
      </c>
      <c r="Z1363" s="24" t="s">
        <v>2911</v>
      </c>
      <c r="AB1363" s="177">
        <v>43419</v>
      </c>
      <c r="AC1363" s="84" t="s">
        <v>2885</v>
      </c>
    </row>
    <row r="1364" spans="1:37" ht="15.45" customHeight="1" x14ac:dyDescent="0.25">
      <c r="A1364" s="29" t="s">
        <v>1020</v>
      </c>
      <c r="B1364" s="24" t="s">
        <v>1564</v>
      </c>
      <c r="C1364" s="37" t="s">
        <v>4425</v>
      </c>
      <c r="E1364" s="37" t="s">
        <v>2832</v>
      </c>
      <c r="F1364" s="24" t="s">
        <v>2117</v>
      </c>
      <c r="P1364" s="37" t="s">
        <v>1463</v>
      </c>
      <c r="S1364" s="10" t="s">
        <v>2983</v>
      </c>
      <c r="U1364" s="22">
        <v>1</v>
      </c>
      <c r="V1364" s="22">
        <v>1</v>
      </c>
      <c r="W1364" s="73">
        <f t="shared" si="64"/>
        <v>53</v>
      </c>
      <c r="X1364" s="80">
        <f t="shared" si="65"/>
        <v>2271</v>
      </c>
      <c r="Y1364" s="82" t="s">
        <v>3584</v>
      </c>
    </row>
    <row r="1365" spans="1:37" ht="15.45" customHeight="1" x14ac:dyDescent="0.25">
      <c r="A1365" s="29" t="s">
        <v>2401</v>
      </c>
      <c r="B1365" s="24" t="s">
        <v>651</v>
      </c>
      <c r="C1365" s="37" t="s">
        <v>4425</v>
      </c>
      <c r="E1365" s="37" t="s">
        <v>2832</v>
      </c>
      <c r="F1365" s="24" t="s">
        <v>2117</v>
      </c>
      <c r="P1365" s="37" t="s">
        <v>1463</v>
      </c>
      <c r="S1365" s="10" t="s">
        <v>2983</v>
      </c>
      <c r="U1365" s="22">
        <v>1</v>
      </c>
      <c r="V1365" s="22">
        <v>1</v>
      </c>
      <c r="W1365" s="73">
        <f t="shared" si="64"/>
        <v>54</v>
      </c>
      <c r="X1365" s="80">
        <f t="shared" si="65"/>
        <v>2272</v>
      </c>
      <c r="Y1365" s="82" t="s">
        <v>3592</v>
      </c>
      <c r="Z1365" s="24" t="s">
        <v>2884</v>
      </c>
    </row>
    <row r="1366" spans="1:37" ht="15.45" customHeight="1" x14ac:dyDescent="0.25">
      <c r="A1366" s="29" t="s">
        <v>2401</v>
      </c>
      <c r="B1366" s="24" t="s">
        <v>651</v>
      </c>
      <c r="C1366" s="37" t="s">
        <v>4425</v>
      </c>
      <c r="E1366" s="37" t="s">
        <v>2832</v>
      </c>
      <c r="F1366" s="24" t="s">
        <v>2117</v>
      </c>
      <c r="H1366" s="38" t="s">
        <v>2697</v>
      </c>
      <c r="P1366" s="37" t="s">
        <v>1463</v>
      </c>
      <c r="S1366" s="10" t="s">
        <v>2983</v>
      </c>
      <c r="U1366" s="22">
        <v>1</v>
      </c>
      <c r="V1366" s="22">
        <v>1</v>
      </c>
      <c r="W1366" s="73">
        <f t="shared" si="64"/>
        <v>55</v>
      </c>
      <c r="X1366" s="80">
        <f t="shared" si="65"/>
        <v>2273</v>
      </c>
      <c r="Y1366" s="82" t="s">
        <v>3584</v>
      </c>
    </row>
    <row r="1367" spans="1:37" ht="15.45" customHeight="1" x14ac:dyDescent="0.25">
      <c r="A1367" s="29" t="s">
        <v>4422</v>
      </c>
      <c r="B1367" s="24" t="s">
        <v>1565</v>
      </c>
      <c r="C1367" s="37" t="s">
        <v>4425</v>
      </c>
      <c r="E1367" s="37" t="s">
        <v>2832</v>
      </c>
      <c r="F1367" s="24" t="s">
        <v>2117</v>
      </c>
      <c r="P1367" s="37" t="s">
        <v>1463</v>
      </c>
      <c r="S1367" s="10" t="s">
        <v>2983</v>
      </c>
      <c r="U1367" s="22">
        <v>1</v>
      </c>
      <c r="V1367" s="22">
        <v>1</v>
      </c>
      <c r="W1367" s="73">
        <f t="shared" si="64"/>
        <v>56</v>
      </c>
      <c r="X1367" s="80">
        <f t="shared" si="65"/>
        <v>2274</v>
      </c>
      <c r="Y1367" s="82" t="s">
        <v>3584</v>
      </c>
    </row>
    <row r="1368" spans="1:37" ht="15.45" customHeight="1" x14ac:dyDescent="0.25">
      <c r="A1368" s="29" t="s">
        <v>4422</v>
      </c>
      <c r="B1368" s="24" t="s">
        <v>1565</v>
      </c>
      <c r="C1368" s="37" t="s">
        <v>4425</v>
      </c>
      <c r="E1368" s="37" t="s">
        <v>2832</v>
      </c>
      <c r="F1368" s="24" t="s">
        <v>2117</v>
      </c>
      <c r="P1368" s="37" t="s">
        <v>1463</v>
      </c>
      <c r="S1368" s="10" t="s">
        <v>2983</v>
      </c>
      <c r="U1368" s="22">
        <v>1</v>
      </c>
      <c r="V1368" s="22">
        <v>1</v>
      </c>
      <c r="W1368" s="73">
        <f t="shared" si="64"/>
        <v>57</v>
      </c>
      <c r="X1368" s="80">
        <f t="shared" si="65"/>
        <v>2275</v>
      </c>
      <c r="Y1368" s="82" t="s">
        <v>3584</v>
      </c>
    </row>
    <row r="1369" spans="1:37" s="2" customFormat="1" ht="15.45" customHeight="1" x14ac:dyDescent="0.25">
      <c r="A1369" s="29" t="s">
        <v>4422</v>
      </c>
      <c r="B1369" s="26" t="s">
        <v>4359</v>
      </c>
      <c r="C1369" s="37" t="s">
        <v>4425</v>
      </c>
      <c r="D1369" s="37"/>
      <c r="E1369" s="37" t="s">
        <v>2832</v>
      </c>
      <c r="F1369" s="24" t="s">
        <v>2117</v>
      </c>
      <c r="G1369" s="24"/>
      <c r="H1369" s="42"/>
      <c r="I1369" s="115"/>
      <c r="J1369" s="219"/>
      <c r="K1369" s="14"/>
      <c r="L1369" s="104"/>
      <c r="M1369" s="104"/>
      <c r="N1369" s="151"/>
      <c r="O1369" s="151"/>
      <c r="P1369" s="37" t="s">
        <v>1463</v>
      </c>
      <c r="Q1369" s="37"/>
      <c r="R1369" s="37"/>
      <c r="S1369" s="10" t="s">
        <v>2983</v>
      </c>
      <c r="T1369" s="14"/>
      <c r="U1369" s="22">
        <v>1</v>
      </c>
      <c r="V1369" s="23">
        <v>1</v>
      </c>
      <c r="W1369" s="73">
        <f t="shared" si="64"/>
        <v>58</v>
      </c>
      <c r="X1369" s="80">
        <f t="shared" si="65"/>
        <v>2276</v>
      </c>
      <c r="Y1369" s="82" t="s">
        <v>3584</v>
      </c>
      <c r="Z1369" s="24"/>
      <c r="AA1369" s="183"/>
      <c r="AB1369" s="183"/>
      <c r="AC1369" s="88"/>
      <c r="AD1369" s="88"/>
      <c r="AE1369" s="87"/>
      <c r="AF1369" s="14"/>
      <c r="AG1369" s="14"/>
      <c r="AH1369" s="14"/>
      <c r="AI1369" s="14"/>
      <c r="AJ1369" s="14"/>
      <c r="AK1369" s="14"/>
    </row>
    <row r="1370" spans="1:37" ht="15.45" customHeight="1" x14ac:dyDescent="0.25">
      <c r="A1370" s="29" t="s">
        <v>4422</v>
      </c>
      <c r="B1370" s="24" t="s">
        <v>1565</v>
      </c>
      <c r="C1370" s="37" t="s">
        <v>4425</v>
      </c>
      <c r="E1370" s="37" t="s">
        <v>2832</v>
      </c>
      <c r="F1370" s="24" t="s">
        <v>2117</v>
      </c>
      <c r="P1370" s="37" t="s">
        <v>1463</v>
      </c>
      <c r="S1370" s="10" t="s">
        <v>2983</v>
      </c>
      <c r="U1370" s="22">
        <v>1</v>
      </c>
      <c r="V1370" s="22">
        <v>1</v>
      </c>
      <c r="W1370" s="73">
        <f t="shared" si="64"/>
        <v>59</v>
      </c>
      <c r="X1370" s="80">
        <f t="shared" si="65"/>
        <v>2277</v>
      </c>
      <c r="Y1370" s="82" t="s">
        <v>3592</v>
      </c>
      <c r="Z1370" s="24" t="s">
        <v>2884</v>
      </c>
    </row>
    <row r="1371" spans="1:37" ht="15.45" customHeight="1" x14ac:dyDescent="0.25">
      <c r="A1371" s="29" t="s">
        <v>4422</v>
      </c>
      <c r="B1371" s="24" t="s">
        <v>1565</v>
      </c>
      <c r="C1371" s="37" t="s">
        <v>4425</v>
      </c>
      <c r="E1371" s="37" t="s">
        <v>2832</v>
      </c>
      <c r="F1371" s="24" t="s">
        <v>2117</v>
      </c>
      <c r="P1371" s="37" t="s">
        <v>1463</v>
      </c>
      <c r="S1371" s="10" t="s">
        <v>2983</v>
      </c>
      <c r="U1371" s="22">
        <v>1</v>
      </c>
      <c r="V1371" s="22">
        <v>1</v>
      </c>
      <c r="W1371" s="73">
        <f t="shared" si="64"/>
        <v>60</v>
      </c>
      <c r="X1371" s="80">
        <f t="shared" si="65"/>
        <v>2278</v>
      </c>
      <c r="Y1371" s="82" t="s">
        <v>3584</v>
      </c>
    </row>
    <row r="1372" spans="1:37" ht="15.45" customHeight="1" x14ac:dyDescent="0.25">
      <c r="A1372" s="29" t="s">
        <v>4387</v>
      </c>
      <c r="B1372" s="24" t="s">
        <v>4388</v>
      </c>
      <c r="C1372" s="37" t="s">
        <v>4425</v>
      </c>
      <c r="E1372" s="37" t="s">
        <v>2926</v>
      </c>
      <c r="F1372" s="24" t="s">
        <v>2117</v>
      </c>
      <c r="H1372" s="38" t="s">
        <v>4384</v>
      </c>
      <c r="J1372" s="214" t="s">
        <v>4378</v>
      </c>
      <c r="P1372" s="37" t="s">
        <v>1463</v>
      </c>
      <c r="S1372" s="10" t="s">
        <v>2983</v>
      </c>
      <c r="U1372" s="22">
        <v>1</v>
      </c>
      <c r="V1372" s="22">
        <v>1</v>
      </c>
      <c r="W1372" s="73">
        <f t="shared" si="64"/>
        <v>61</v>
      </c>
      <c r="X1372" s="80">
        <f t="shared" si="65"/>
        <v>2279</v>
      </c>
      <c r="Y1372" s="82" t="s">
        <v>3591</v>
      </c>
      <c r="Z1372" s="24" t="s">
        <v>2911</v>
      </c>
      <c r="AB1372" s="177">
        <v>43424</v>
      </c>
      <c r="AC1372" s="84" t="s">
        <v>2885</v>
      </c>
    </row>
    <row r="1373" spans="1:37" ht="15.45" customHeight="1" x14ac:dyDescent="0.25">
      <c r="A1373" s="29" t="s">
        <v>920</v>
      </c>
      <c r="B1373" s="24" t="s">
        <v>1841</v>
      </c>
      <c r="C1373" s="37" t="s">
        <v>4425</v>
      </c>
      <c r="E1373" s="37" t="s">
        <v>2832</v>
      </c>
      <c r="F1373" s="24" t="s">
        <v>2117</v>
      </c>
      <c r="P1373" s="37" t="s">
        <v>1463</v>
      </c>
      <c r="S1373" s="10" t="s">
        <v>2983</v>
      </c>
      <c r="U1373" s="22">
        <v>1</v>
      </c>
      <c r="V1373" s="22">
        <v>5</v>
      </c>
      <c r="W1373" s="73">
        <f t="shared" si="64"/>
        <v>66</v>
      </c>
      <c r="X1373" s="80">
        <f t="shared" si="65"/>
        <v>2284</v>
      </c>
      <c r="Y1373" s="82" t="s">
        <v>3584</v>
      </c>
    </row>
    <row r="1374" spans="1:37" ht="15.45" customHeight="1" x14ac:dyDescent="0.25">
      <c r="A1374" s="29" t="s">
        <v>3740</v>
      </c>
      <c r="B1374" s="24" t="s">
        <v>4396</v>
      </c>
      <c r="C1374" s="37" t="s">
        <v>4425</v>
      </c>
      <c r="E1374" s="37" t="s">
        <v>2832</v>
      </c>
      <c r="F1374" s="24" t="s">
        <v>2117</v>
      </c>
      <c r="H1374" s="38" t="s">
        <v>3322</v>
      </c>
      <c r="P1374" s="37" t="s">
        <v>287</v>
      </c>
      <c r="S1374" s="10" t="s">
        <v>2983</v>
      </c>
      <c r="U1374" s="22">
        <v>8</v>
      </c>
      <c r="V1374" s="22">
        <v>8</v>
      </c>
      <c r="W1374" s="73">
        <f t="shared" si="64"/>
        <v>74</v>
      </c>
      <c r="X1374" s="80">
        <f t="shared" si="65"/>
        <v>2292</v>
      </c>
      <c r="Y1374" s="82" t="s">
        <v>3592</v>
      </c>
      <c r="Z1374" s="24" t="s">
        <v>2884</v>
      </c>
    </row>
    <row r="1375" spans="1:37" ht="15.45" customHeight="1" x14ac:dyDescent="0.25">
      <c r="A1375" s="29" t="s">
        <v>2021</v>
      </c>
      <c r="B1375" s="24" t="s">
        <v>1819</v>
      </c>
      <c r="C1375" s="37" t="s">
        <v>4425</v>
      </c>
      <c r="E1375" s="37" t="s">
        <v>2832</v>
      </c>
      <c r="F1375" s="24" t="s">
        <v>2117</v>
      </c>
      <c r="P1375" s="37" t="s">
        <v>1463</v>
      </c>
      <c r="S1375" s="10" t="s">
        <v>2983</v>
      </c>
      <c r="U1375" s="22">
        <v>1</v>
      </c>
      <c r="V1375" s="22">
        <v>1</v>
      </c>
      <c r="W1375" s="73">
        <f t="shared" si="64"/>
        <v>75</v>
      </c>
      <c r="X1375" s="80">
        <f t="shared" si="65"/>
        <v>2293</v>
      </c>
      <c r="Y1375" s="82" t="s">
        <v>3584</v>
      </c>
    </row>
    <row r="1376" spans="1:37" s="2" customFormat="1" ht="15.45" customHeight="1" x14ac:dyDescent="0.25">
      <c r="A1376" s="29" t="s">
        <v>4330</v>
      </c>
      <c r="B1376" s="26" t="s">
        <v>404</v>
      </c>
      <c r="C1376" s="37" t="s">
        <v>4425</v>
      </c>
      <c r="D1376" s="37"/>
      <c r="E1376" s="37" t="s">
        <v>2832</v>
      </c>
      <c r="F1376" s="24" t="s">
        <v>2117</v>
      </c>
      <c r="G1376" s="24"/>
      <c r="H1376" s="42"/>
      <c r="I1376" s="115"/>
      <c r="J1376" s="219" t="s">
        <v>3690</v>
      </c>
      <c r="K1376" s="14" t="s">
        <v>3685</v>
      </c>
      <c r="L1376" s="104"/>
      <c r="M1376" s="104"/>
      <c r="N1376" s="151"/>
      <c r="O1376" s="151"/>
      <c r="P1376" s="37" t="s">
        <v>286</v>
      </c>
      <c r="Q1376" s="37"/>
      <c r="R1376" s="37"/>
      <c r="S1376" s="10" t="s">
        <v>2983</v>
      </c>
      <c r="T1376" s="14"/>
      <c r="U1376" s="22">
        <v>1</v>
      </c>
      <c r="V1376" s="23">
        <v>1</v>
      </c>
      <c r="W1376" s="73">
        <f t="shared" si="64"/>
        <v>76</v>
      </c>
      <c r="X1376" s="80">
        <f t="shared" si="65"/>
        <v>2294</v>
      </c>
      <c r="Y1376" s="82" t="s">
        <v>3584</v>
      </c>
      <c r="Z1376" s="24"/>
      <c r="AA1376" s="183"/>
      <c r="AB1376" s="183"/>
      <c r="AC1376" s="88"/>
      <c r="AD1376" s="88"/>
      <c r="AE1376" s="87"/>
      <c r="AF1376" s="14"/>
      <c r="AG1376" s="14"/>
      <c r="AH1376" s="14"/>
      <c r="AI1376" s="14"/>
      <c r="AJ1376" s="14"/>
      <c r="AK1376" s="14"/>
    </row>
    <row r="1377" spans="1:37" ht="15.45" customHeight="1" x14ac:dyDescent="0.25">
      <c r="A1377" s="29" t="s">
        <v>4427</v>
      </c>
      <c r="B1377" s="24" t="s">
        <v>1554</v>
      </c>
      <c r="C1377" s="37" t="s">
        <v>4426</v>
      </c>
      <c r="E1377" s="37" t="s">
        <v>2832</v>
      </c>
      <c r="F1377" s="24" t="s">
        <v>5445</v>
      </c>
      <c r="J1377" s="214" t="s">
        <v>3690</v>
      </c>
      <c r="K1377" s="10" t="s">
        <v>3685</v>
      </c>
      <c r="P1377" s="37" t="s">
        <v>1995</v>
      </c>
      <c r="S1377" s="10" t="s">
        <v>2983</v>
      </c>
      <c r="U1377" s="22">
        <v>1</v>
      </c>
      <c r="V1377" s="21">
        <v>1</v>
      </c>
      <c r="W1377" s="73">
        <f t="shared" si="64"/>
        <v>77</v>
      </c>
      <c r="X1377" s="80">
        <f t="shared" si="65"/>
        <v>2295</v>
      </c>
      <c r="Y1377" s="82" t="s">
        <v>3584</v>
      </c>
    </row>
    <row r="1378" spans="1:37" s="51" customFormat="1" ht="15.45" customHeight="1" x14ac:dyDescent="0.25">
      <c r="A1378" s="45" t="s">
        <v>1227</v>
      </c>
      <c r="B1378" s="50"/>
      <c r="C1378" s="49"/>
      <c r="D1378" s="49"/>
      <c r="E1378" s="49"/>
      <c r="F1378" s="50"/>
      <c r="G1378" s="62"/>
      <c r="H1378" s="46" t="s">
        <v>4064</v>
      </c>
      <c r="I1378" s="109"/>
      <c r="J1378" s="212"/>
      <c r="K1378" s="56"/>
      <c r="L1378" s="100"/>
      <c r="M1378" s="100"/>
      <c r="N1378" s="49"/>
      <c r="O1378" s="49"/>
      <c r="P1378" s="49"/>
      <c r="Q1378" s="49"/>
      <c r="R1378" s="49"/>
      <c r="S1378" s="47"/>
      <c r="T1378" s="47"/>
      <c r="U1378" s="53"/>
      <c r="V1378" s="53"/>
      <c r="W1378" s="74"/>
      <c r="X1378" s="81"/>
      <c r="Y1378" s="132"/>
      <c r="Z1378" s="50"/>
      <c r="AA1378" s="173"/>
      <c r="AB1378" s="173"/>
      <c r="AC1378" s="137"/>
      <c r="AD1378" s="137"/>
      <c r="AE1378" s="83"/>
      <c r="AF1378" s="47"/>
      <c r="AG1378" s="47"/>
      <c r="AH1378" s="47"/>
      <c r="AI1378" s="47"/>
      <c r="AJ1378" s="47"/>
      <c r="AK1378" s="47"/>
    </row>
    <row r="1379" spans="1:37" ht="17.100000000000001" customHeight="1" x14ac:dyDescent="0.25">
      <c r="A1379" s="165" t="s">
        <v>3323</v>
      </c>
      <c r="B1379" s="28" t="s">
        <v>1229</v>
      </c>
      <c r="C1379" s="37" t="s">
        <v>1253</v>
      </c>
      <c r="E1379" s="37" t="s">
        <v>2832</v>
      </c>
      <c r="F1379" s="24" t="s">
        <v>2119</v>
      </c>
      <c r="G1379" s="25"/>
      <c r="L1379" s="103"/>
      <c r="M1379" s="103"/>
      <c r="P1379" s="37" t="s">
        <v>1463</v>
      </c>
      <c r="S1379" s="111" t="s">
        <v>3412</v>
      </c>
      <c r="T1379" s="11"/>
      <c r="U1379" s="21">
        <v>2</v>
      </c>
      <c r="V1379" s="21">
        <v>2</v>
      </c>
      <c r="W1379" s="73">
        <v>2</v>
      </c>
      <c r="X1379" s="80">
        <f>V1379+X1377</f>
        <v>2297</v>
      </c>
      <c r="Y1379" s="82" t="s">
        <v>3584</v>
      </c>
      <c r="AF1379" s="11"/>
      <c r="AG1379" s="11"/>
      <c r="AH1379" s="11"/>
      <c r="AI1379" s="11"/>
      <c r="AJ1379" s="11"/>
      <c r="AK1379" s="11"/>
    </row>
    <row r="1380" spans="1:37" ht="17.100000000000001" customHeight="1" x14ac:dyDescent="0.25">
      <c r="A1380" s="31" t="s">
        <v>1428</v>
      </c>
      <c r="B1380" s="28" t="s">
        <v>909</v>
      </c>
      <c r="C1380" s="37" t="s">
        <v>1253</v>
      </c>
      <c r="E1380" s="37" t="s">
        <v>2832</v>
      </c>
      <c r="F1380" s="24" t="s">
        <v>2120</v>
      </c>
      <c r="G1380" s="25"/>
      <c r="L1380" s="103"/>
      <c r="M1380" s="103"/>
      <c r="P1380" s="37" t="s">
        <v>1463</v>
      </c>
      <c r="S1380" s="111" t="s">
        <v>3412</v>
      </c>
      <c r="T1380" s="11"/>
      <c r="U1380" s="21">
        <v>2</v>
      </c>
      <c r="V1380" s="21">
        <v>2</v>
      </c>
      <c r="W1380" s="73">
        <f t="shared" ref="W1380:W1444" si="68">W1379+V1380</f>
        <v>4</v>
      </c>
      <c r="X1380" s="80">
        <f t="shared" ref="X1380:X1444" si="69">V1380+X1379</f>
        <v>2299</v>
      </c>
      <c r="Y1380" s="82" t="s">
        <v>3584</v>
      </c>
      <c r="AF1380" s="11"/>
      <c r="AG1380" s="11"/>
      <c r="AH1380" s="11"/>
      <c r="AI1380" s="11"/>
      <c r="AJ1380" s="11"/>
      <c r="AK1380" s="11"/>
    </row>
    <row r="1381" spans="1:37" ht="17.100000000000001" customHeight="1" x14ac:dyDescent="0.25">
      <c r="A1381" s="31" t="s">
        <v>1534</v>
      </c>
      <c r="B1381" s="28" t="s">
        <v>928</v>
      </c>
      <c r="C1381" s="37" t="s">
        <v>1253</v>
      </c>
      <c r="E1381" s="37" t="s">
        <v>2832</v>
      </c>
      <c r="F1381" s="24" t="s">
        <v>2119</v>
      </c>
      <c r="G1381" s="25"/>
      <c r="L1381" s="103"/>
      <c r="M1381" s="103"/>
      <c r="P1381" s="37" t="s">
        <v>51</v>
      </c>
      <c r="S1381" s="111" t="s">
        <v>3412</v>
      </c>
      <c r="T1381" s="11"/>
      <c r="U1381" s="21">
        <v>1</v>
      </c>
      <c r="V1381" s="21">
        <v>1</v>
      </c>
      <c r="W1381" s="73">
        <f t="shared" si="68"/>
        <v>5</v>
      </c>
      <c r="X1381" s="80">
        <f t="shared" si="69"/>
        <v>2300</v>
      </c>
      <c r="Y1381" s="82" t="s">
        <v>3584</v>
      </c>
      <c r="AF1381" s="11"/>
      <c r="AG1381" s="11"/>
      <c r="AH1381" s="11"/>
      <c r="AI1381" s="11"/>
      <c r="AJ1381" s="11"/>
      <c r="AK1381" s="11"/>
    </row>
    <row r="1382" spans="1:37" ht="17.100000000000001" customHeight="1" x14ac:dyDescent="0.25">
      <c r="A1382" s="31" t="s">
        <v>1070</v>
      </c>
      <c r="B1382" s="28" t="s">
        <v>6499</v>
      </c>
      <c r="C1382" s="37" t="s">
        <v>1253</v>
      </c>
      <c r="E1382" s="37" t="s">
        <v>2832</v>
      </c>
      <c r="F1382" s="24" t="s">
        <v>2680</v>
      </c>
      <c r="H1382" s="233" t="s">
        <v>7260</v>
      </c>
      <c r="J1382" s="214" t="s">
        <v>3691</v>
      </c>
      <c r="K1382" s="10" t="s">
        <v>3685</v>
      </c>
      <c r="L1382" s="103"/>
      <c r="M1382" s="103"/>
      <c r="P1382" s="37" t="s">
        <v>1463</v>
      </c>
      <c r="S1382" s="111" t="s">
        <v>3412</v>
      </c>
      <c r="T1382" s="11"/>
      <c r="U1382" s="21">
        <v>1</v>
      </c>
      <c r="V1382" s="21">
        <v>1</v>
      </c>
      <c r="W1382" s="73">
        <f t="shared" si="68"/>
        <v>6</v>
      </c>
      <c r="X1382" s="80">
        <f t="shared" si="69"/>
        <v>2301</v>
      </c>
      <c r="Y1382" s="82" t="s">
        <v>3584</v>
      </c>
      <c r="AF1382" s="11"/>
      <c r="AG1382" s="11"/>
      <c r="AH1382" s="11"/>
      <c r="AI1382" s="11"/>
      <c r="AJ1382" s="11"/>
      <c r="AK1382" s="11"/>
    </row>
    <row r="1383" spans="1:37" ht="17.100000000000001" customHeight="1" x14ac:dyDescent="0.25">
      <c r="A1383" s="31" t="s">
        <v>1427</v>
      </c>
      <c r="B1383" s="28" t="s">
        <v>1246</v>
      </c>
      <c r="C1383" s="37" t="s">
        <v>1253</v>
      </c>
      <c r="E1383" s="37" t="s">
        <v>2832</v>
      </c>
      <c r="F1383" s="24" t="s">
        <v>2119</v>
      </c>
      <c r="G1383" s="25"/>
      <c r="L1383" s="103"/>
      <c r="M1383" s="103"/>
      <c r="P1383" s="37" t="s">
        <v>51</v>
      </c>
      <c r="S1383" s="111" t="s">
        <v>3412</v>
      </c>
      <c r="T1383" s="11"/>
      <c r="U1383" s="21">
        <v>1</v>
      </c>
      <c r="V1383" s="21">
        <v>1</v>
      </c>
      <c r="W1383" s="73">
        <f t="shared" si="68"/>
        <v>7</v>
      </c>
      <c r="X1383" s="80">
        <f t="shared" si="69"/>
        <v>2302</v>
      </c>
      <c r="Y1383" s="82" t="s">
        <v>3584</v>
      </c>
      <c r="AF1383" s="11"/>
      <c r="AG1383" s="11"/>
      <c r="AH1383" s="11"/>
      <c r="AI1383" s="11"/>
      <c r="AJ1383" s="11"/>
      <c r="AK1383" s="11"/>
    </row>
    <row r="1384" spans="1:37" ht="17.100000000000001" customHeight="1" x14ac:dyDescent="0.25">
      <c r="A1384" s="31" t="s">
        <v>1300</v>
      </c>
      <c r="B1384" s="28" t="s">
        <v>1384</v>
      </c>
      <c r="C1384" s="37" t="s">
        <v>1253</v>
      </c>
      <c r="E1384" s="37" t="s">
        <v>2832</v>
      </c>
      <c r="F1384" s="24" t="s">
        <v>2119</v>
      </c>
      <c r="G1384" s="25"/>
      <c r="J1384" s="214" t="s">
        <v>5139</v>
      </c>
      <c r="K1384" s="10" t="s">
        <v>5138</v>
      </c>
      <c r="L1384" s="103"/>
      <c r="M1384" s="103"/>
      <c r="P1384" s="37" t="s">
        <v>1463</v>
      </c>
      <c r="S1384" s="111" t="s">
        <v>3412</v>
      </c>
      <c r="T1384" s="11"/>
      <c r="U1384" s="21">
        <v>1</v>
      </c>
      <c r="V1384" s="21">
        <v>1</v>
      </c>
      <c r="W1384" s="73">
        <f t="shared" si="68"/>
        <v>8</v>
      </c>
      <c r="X1384" s="80">
        <f t="shared" si="69"/>
        <v>2303</v>
      </c>
      <c r="Y1384" s="82" t="s">
        <v>3584</v>
      </c>
      <c r="AF1384" s="11"/>
      <c r="AG1384" s="11"/>
      <c r="AH1384" s="11"/>
      <c r="AI1384" s="11"/>
      <c r="AJ1384" s="11"/>
      <c r="AK1384" s="11"/>
    </row>
    <row r="1385" spans="1:37" ht="17.100000000000001" customHeight="1" x14ac:dyDescent="0.25">
      <c r="A1385" s="31" t="s">
        <v>3808</v>
      </c>
      <c r="B1385" s="28" t="s">
        <v>916</v>
      </c>
      <c r="C1385" s="37" t="s">
        <v>1253</v>
      </c>
      <c r="E1385" s="37" t="s">
        <v>2832</v>
      </c>
      <c r="F1385" s="24" t="s">
        <v>2120</v>
      </c>
      <c r="G1385" s="25"/>
      <c r="L1385" s="103"/>
      <c r="M1385" s="103"/>
      <c r="P1385" s="37" t="s">
        <v>51</v>
      </c>
      <c r="S1385" s="111" t="s">
        <v>3412</v>
      </c>
      <c r="T1385" s="11"/>
      <c r="U1385" s="21">
        <v>1</v>
      </c>
      <c r="V1385" s="21">
        <v>1</v>
      </c>
      <c r="W1385" s="73">
        <f t="shared" si="68"/>
        <v>9</v>
      </c>
      <c r="X1385" s="80">
        <f t="shared" si="69"/>
        <v>2304</v>
      </c>
      <c r="Y1385" s="82" t="s">
        <v>3584</v>
      </c>
      <c r="AF1385" s="11"/>
      <c r="AG1385" s="11"/>
      <c r="AH1385" s="11"/>
      <c r="AI1385" s="11"/>
      <c r="AJ1385" s="11"/>
      <c r="AK1385" s="11"/>
    </row>
    <row r="1386" spans="1:37" ht="17.100000000000001" customHeight="1" x14ac:dyDescent="0.25">
      <c r="A1386" s="165" t="s">
        <v>3809</v>
      </c>
      <c r="B1386" s="28" t="s">
        <v>917</v>
      </c>
      <c r="C1386" s="37" t="s">
        <v>1253</v>
      </c>
      <c r="E1386" s="37" t="s">
        <v>2832</v>
      </c>
      <c r="F1386" s="24" t="s">
        <v>2120</v>
      </c>
      <c r="G1386" s="25"/>
      <c r="H1386" s="38" t="s">
        <v>7119</v>
      </c>
      <c r="L1386" s="103"/>
      <c r="M1386" s="103"/>
      <c r="P1386" s="37" t="s">
        <v>51</v>
      </c>
      <c r="S1386" s="111" t="s">
        <v>3412</v>
      </c>
      <c r="T1386" s="11"/>
      <c r="U1386" s="21">
        <v>1</v>
      </c>
      <c r="V1386" s="21">
        <v>1</v>
      </c>
      <c r="W1386" s="73">
        <f t="shared" si="68"/>
        <v>10</v>
      </c>
      <c r="X1386" s="80">
        <f t="shared" si="69"/>
        <v>2305</v>
      </c>
      <c r="Y1386" s="82" t="s">
        <v>3584</v>
      </c>
      <c r="AF1386" s="11"/>
      <c r="AG1386" s="11"/>
      <c r="AH1386" s="11"/>
      <c r="AI1386" s="11"/>
      <c r="AJ1386" s="11"/>
      <c r="AK1386" s="11"/>
    </row>
    <row r="1387" spans="1:37" ht="17.100000000000001" customHeight="1" x14ac:dyDescent="0.25">
      <c r="A1387" s="165" t="s">
        <v>3810</v>
      </c>
      <c r="B1387" s="28" t="s">
        <v>838</v>
      </c>
      <c r="C1387" s="37" t="s">
        <v>1253</v>
      </c>
      <c r="E1387" s="37" t="s">
        <v>2832</v>
      </c>
      <c r="F1387" s="24" t="s">
        <v>2120</v>
      </c>
      <c r="G1387" s="25"/>
      <c r="L1387" s="103"/>
      <c r="M1387" s="103"/>
      <c r="P1387" s="37" t="s">
        <v>51</v>
      </c>
      <c r="S1387" s="111" t="s">
        <v>3412</v>
      </c>
      <c r="T1387" s="11"/>
      <c r="U1387" s="21">
        <v>1</v>
      </c>
      <c r="V1387" s="21">
        <v>1</v>
      </c>
      <c r="W1387" s="73">
        <f t="shared" si="68"/>
        <v>11</v>
      </c>
      <c r="X1387" s="80">
        <f t="shared" si="69"/>
        <v>2306</v>
      </c>
      <c r="Y1387" s="82" t="s">
        <v>3584</v>
      </c>
      <c r="AF1387" s="11"/>
      <c r="AG1387" s="11"/>
      <c r="AH1387" s="11"/>
      <c r="AI1387" s="11"/>
      <c r="AJ1387" s="11"/>
      <c r="AK1387" s="11"/>
    </row>
    <row r="1388" spans="1:37" ht="17.100000000000001" customHeight="1" x14ac:dyDescent="0.25">
      <c r="A1388" s="31" t="s">
        <v>217</v>
      </c>
      <c r="B1388" s="28" t="s">
        <v>842</v>
      </c>
      <c r="C1388" s="37" t="s">
        <v>1253</v>
      </c>
      <c r="E1388" s="37" t="s">
        <v>2832</v>
      </c>
      <c r="F1388" s="24" t="s">
        <v>2120</v>
      </c>
      <c r="G1388" s="25"/>
      <c r="L1388" s="103"/>
      <c r="M1388" s="103"/>
      <c r="P1388" s="37" t="s">
        <v>51</v>
      </c>
      <c r="S1388" s="111" t="s">
        <v>3412</v>
      </c>
      <c r="T1388" s="11"/>
      <c r="U1388" s="21">
        <v>1</v>
      </c>
      <c r="V1388" s="21">
        <v>1</v>
      </c>
      <c r="W1388" s="73">
        <f t="shared" si="68"/>
        <v>12</v>
      </c>
      <c r="X1388" s="80">
        <f t="shared" si="69"/>
        <v>2307</v>
      </c>
      <c r="Y1388" s="82" t="s">
        <v>3584</v>
      </c>
      <c r="AF1388" s="11"/>
      <c r="AG1388" s="11"/>
      <c r="AH1388" s="11"/>
      <c r="AI1388" s="11"/>
      <c r="AJ1388" s="11"/>
      <c r="AK1388" s="11"/>
    </row>
    <row r="1389" spans="1:37" ht="17.100000000000001" customHeight="1" x14ac:dyDescent="0.25">
      <c r="A1389" s="31" t="s">
        <v>718</v>
      </c>
      <c r="B1389" s="28" t="s">
        <v>837</v>
      </c>
      <c r="C1389" s="37" t="s">
        <v>1253</v>
      </c>
      <c r="E1389" s="37" t="s">
        <v>2832</v>
      </c>
      <c r="F1389" s="24" t="s">
        <v>2120</v>
      </c>
      <c r="G1389" s="25"/>
      <c r="L1389" s="103"/>
      <c r="M1389" s="103"/>
      <c r="P1389" s="37" t="s">
        <v>51</v>
      </c>
      <c r="S1389" s="111" t="s">
        <v>3412</v>
      </c>
      <c r="T1389" s="11"/>
      <c r="U1389" s="21">
        <v>1</v>
      </c>
      <c r="V1389" s="21">
        <v>1</v>
      </c>
      <c r="W1389" s="73">
        <f t="shared" si="68"/>
        <v>13</v>
      </c>
      <c r="X1389" s="80">
        <f t="shared" si="69"/>
        <v>2308</v>
      </c>
      <c r="Y1389" s="82" t="s">
        <v>3584</v>
      </c>
      <c r="AF1389" s="11"/>
      <c r="AG1389" s="11"/>
      <c r="AH1389" s="11"/>
      <c r="AI1389" s="11"/>
      <c r="AJ1389" s="11"/>
      <c r="AK1389" s="11"/>
    </row>
    <row r="1390" spans="1:37" ht="17.100000000000001" customHeight="1" x14ac:dyDescent="0.25">
      <c r="A1390" s="31" t="s">
        <v>3711</v>
      </c>
      <c r="B1390" s="28" t="s">
        <v>909</v>
      </c>
      <c r="C1390" s="37" t="s">
        <v>1253</v>
      </c>
      <c r="E1390" s="37" t="s">
        <v>2832</v>
      </c>
      <c r="F1390" s="24" t="s">
        <v>2120</v>
      </c>
      <c r="G1390" s="25"/>
      <c r="J1390" s="214" t="s">
        <v>3690</v>
      </c>
      <c r="K1390" s="10" t="s">
        <v>3685</v>
      </c>
      <c r="L1390" s="103"/>
      <c r="M1390" s="103"/>
      <c r="P1390" s="37" t="s">
        <v>1463</v>
      </c>
      <c r="S1390" s="111" t="s">
        <v>3412</v>
      </c>
      <c r="T1390" s="11"/>
      <c r="U1390" s="21">
        <v>1</v>
      </c>
      <c r="V1390" s="21">
        <v>1</v>
      </c>
      <c r="W1390" s="73">
        <f t="shared" si="68"/>
        <v>14</v>
      </c>
      <c r="X1390" s="80">
        <f t="shared" si="69"/>
        <v>2309</v>
      </c>
      <c r="Y1390" s="82" t="s">
        <v>3584</v>
      </c>
      <c r="AF1390" s="11"/>
      <c r="AG1390" s="11"/>
      <c r="AH1390" s="11"/>
      <c r="AI1390" s="11"/>
      <c r="AJ1390" s="11"/>
      <c r="AK1390" s="11"/>
    </row>
    <row r="1391" spans="1:37" ht="17.100000000000001" customHeight="1" x14ac:dyDescent="0.25">
      <c r="A1391" s="31" t="s">
        <v>3735</v>
      </c>
      <c r="B1391" s="28" t="s">
        <v>521</v>
      </c>
      <c r="C1391" s="37" t="s">
        <v>1253</v>
      </c>
      <c r="E1391" s="37" t="s">
        <v>2832</v>
      </c>
      <c r="F1391" s="24" t="s">
        <v>2120</v>
      </c>
      <c r="G1391" s="25"/>
      <c r="J1391" s="214" t="s">
        <v>3691</v>
      </c>
      <c r="K1391" s="10" t="s">
        <v>3717</v>
      </c>
      <c r="L1391" s="103"/>
      <c r="M1391" s="103"/>
      <c r="P1391" s="37" t="s">
        <v>1463</v>
      </c>
      <c r="S1391" s="111" t="s">
        <v>3412</v>
      </c>
      <c r="T1391" s="11"/>
      <c r="U1391" s="21">
        <v>2</v>
      </c>
      <c r="V1391" s="21">
        <v>2</v>
      </c>
      <c r="W1391" s="73">
        <f t="shared" si="68"/>
        <v>16</v>
      </c>
      <c r="X1391" s="80">
        <f t="shared" si="69"/>
        <v>2311</v>
      </c>
      <c r="Y1391" s="82" t="s">
        <v>3584</v>
      </c>
      <c r="AF1391" s="11"/>
      <c r="AG1391" s="11"/>
      <c r="AH1391" s="11"/>
      <c r="AI1391" s="11"/>
      <c r="AJ1391" s="11"/>
      <c r="AK1391" s="11"/>
    </row>
    <row r="1392" spans="1:37" ht="17.100000000000001" customHeight="1" x14ac:dyDescent="0.25">
      <c r="A1392" s="31" t="s">
        <v>1429</v>
      </c>
      <c r="B1392" s="28" t="s">
        <v>915</v>
      </c>
      <c r="C1392" s="37" t="s">
        <v>1253</v>
      </c>
      <c r="E1392" s="37" t="s">
        <v>2832</v>
      </c>
      <c r="F1392" s="24" t="s">
        <v>2120</v>
      </c>
      <c r="G1392" s="25"/>
      <c r="J1392" s="214" t="s">
        <v>5129</v>
      </c>
      <c r="K1392" s="10" t="s">
        <v>5130</v>
      </c>
      <c r="L1392" s="103"/>
      <c r="M1392" s="103"/>
      <c r="P1392" s="37" t="s">
        <v>1463</v>
      </c>
      <c r="S1392" s="111" t="s">
        <v>3412</v>
      </c>
      <c r="T1392" s="11"/>
      <c r="U1392" s="21">
        <v>3</v>
      </c>
      <c r="V1392" s="21">
        <v>3</v>
      </c>
      <c r="W1392" s="73">
        <f t="shared" si="68"/>
        <v>19</v>
      </c>
      <c r="X1392" s="80">
        <f t="shared" si="69"/>
        <v>2314</v>
      </c>
      <c r="Y1392" s="82" t="s">
        <v>3584</v>
      </c>
      <c r="AF1392" s="11"/>
      <c r="AG1392" s="11"/>
      <c r="AH1392" s="11"/>
      <c r="AI1392" s="11"/>
      <c r="AJ1392" s="11"/>
      <c r="AK1392" s="11"/>
    </row>
    <row r="1393" spans="1:38" ht="17.100000000000001" customHeight="1" x14ac:dyDescent="0.25">
      <c r="A1393" s="31" t="s">
        <v>127</v>
      </c>
      <c r="B1393" s="28" t="s">
        <v>1489</v>
      </c>
      <c r="C1393" s="37" t="s">
        <v>1253</v>
      </c>
      <c r="E1393" s="37" t="s">
        <v>2832</v>
      </c>
      <c r="F1393" s="24" t="s">
        <v>2120</v>
      </c>
      <c r="G1393" s="25"/>
      <c r="H1393" s="38" t="s">
        <v>5220</v>
      </c>
      <c r="L1393" s="103"/>
      <c r="M1393" s="103"/>
      <c r="P1393" s="37" t="s">
        <v>51</v>
      </c>
      <c r="S1393" s="111" t="s">
        <v>3412</v>
      </c>
      <c r="T1393" s="11"/>
      <c r="U1393" s="21">
        <v>1</v>
      </c>
      <c r="V1393" s="21">
        <v>1</v>
      </c>
      <c r="W1393" s="73">
        <f t="shared" si="68"/>
        <v>20</v>
      </c>
      <c r="X1393" s="80">
        <f t="shared" si="69"/>
        <v>2315</v>
      </c>
      <c r="Y1393" s="82" t="s">
        <v>3584</v>
      </c>
      <c r="AF1393" s="11"/>
      <c r="AG1393" s="11"/>
      <c r="AH1393" s="11"/>
      <c r="AI1393" s="11"/>
      <c r="AJ1393" s="11"/>
      <c r="AK1393" s="11"/>
    </row>
    <row r="1394" spans="1:38" ht="17.100000000000001" customHeight="1" x14ac:dyDescent="0.25">
      <c r="A1394" s="31" t="s">
        <v>1950</v>
      </c>
      <c r="B1394" s="28" t="s">
        <v>914</v>
      </c>
      <c r="C1394" s="37" t="s">
        <v>1253</v>
      </c>
      <c r="E1394" s="37" t="s">
        <v>2832</v>
      </c>
      <c r="F1394" s="24" t="s">
        <v>2120</v>
      </c>
      <c r="G1394" s="25"/>
      <c r="L1394" s="103"/>
      <c r="M1394" s="103"/>
      <c r="P1394" s="37" t="s">
        <v>51</v>
      </c>
      <c r="S1394" s="111" t="s">
        <v>3412</v>
      </c>
      <c r="T1394" s="11"/>
      <c r="U1394" s="21">
        <v>1</v>
      </c>
      <c r="V1394" s="21">
        <v>1</v>
      </c>
      <c r="W1394" s="73">
        <f t="shared" si="68"/>
        <v>21</v>
      </c>
      <c r="X1394" s="80">
        <f t="shared" si="69"/>
        <v>2316</v>
      </c>
      <c r="Y1394" s="82" t="s">
        <v>3584</v>
      </c>
      <c r="AF1394" s="11"/>
      <c r="AG1394" s="11"/>
      <c r="AH1394" s="11"/>
      <c r="AI1394" s="11"/>
      <c r="AJ1394" s="11"/>
      <c r="AK1394" s="11"/>
    </row>
    <row r="1395" spans="1:38" ht="17.100000000000001" customHeight="1" x14ac:dyDescent="0.25">
      <c r="A1395" s="31" t="s">
        <v>1948</v>
      </c>
      <c r="B1395" s="28" t="s">
        <v>1806</v>
      </c>
      <c r="C1395" s="37" t="s">
        <v>1253</v>
      </c>
      <c r="E1395" s="37" t="s">
        <v>2832</v>
      </c>
      <c r="F1395" s="24" t="s">
        <v>2120</v>
      </c>
      <c r="G1395" s="25"/>
      <c r="L1395" s="103"/>
      <c r="M1395" s="103"/>
      <c r="P1395" s="37" t="s">
        <v>51</v>
      </c>
      <c r="S1395" s="111" t="s">
        <v>3412</v>
      </c>
      <c r="T1395" s="11"/>
      <c r="U1395" s="21">
        <v>1</v>
      </c>
      <c r="V1395" s="21">
        <v>1</v>
      </c>
      <c r="W1395" s="73">
        <f t="shared" si="68"/>
        <v>22</v>
      </c>
      <c r="X1395" s="80">
        <f t="shared" si="69"/>
        <v>2317</v>
      </c>
      <c r="Y1395" s="82" t="s">
        <v>3584</v>
      </c>
      <c r="AF1395" s="11"/>
      <c r="AG1395" s="11"/>
      <c r="AH1395" s="11"/>
      <c r="AI1395" s="11"/>
      <c r="AJ1395" s="11"/>
      <c r="AK1395" s="11"/>
    </row>
    <row r="1396" spans="1:38" ht="17.100000000000001" customHeight="1" x14ac:dyDescent="0.25">
      <c r="A1396" s="165" t="s">
        <v>3736</v>
      </c>
      <c r="B1396" s="28" t="s">
        <v>1507</v>
      </c>
      <c r="C1396" s="37" t="s">
        <v>1253</v>
      </c>
      <c r="E1396" s="37" t="s">
        <v>2832</v>
      </c>
      <c r="F1396" s="24" t="s">
        <v>2120</v>
      </c>
      <c r="G1396" s="25"/>
      <c r="L1396" s="103"/>
      <c r="M1396" s="103"/>
      <c r="P1396" s="37" t="s">
        <v>1463</v>
      </c>
      <c r="S1396" s="111" t="s">
        <v>3412</v>
      </c>
      <c r="T1396" s="11"/>
      <c r="U1396" s="21">
        <v>1</v>
      </c>
      <c r="V1396" s="21">
        <v>1</v>
      </c>
      <c r="W1396" s="73">
        <f t="shared" si="68"/>
        <v>23</v>
      </c>
      <c r="X1396" s="80">
        <f t="shared" si="69"/>
        <v>2318</v>
      </c>
      <c r="Y1396" s="82" t="s">
        <v>3584</v>
      </c>
      <c r="AF1396" s="11"/>
      <c r="AG1396" s="11"/>
      <c r="AH1396" s="11"/>
      <c r="AI1396" s="11"/>
      <c r="AJ1396" s="11"/>
      <c r="AK1396" s="11"/>
    </row>
    <row r="1397" spans="1:38" ht="17.100000000000001" customHeight="1" x14ac:dyDescent="0.25">
      <c r="A1397" s="165" t="s">
        <v>340</v>
      </c>
      <c r="B1397" s="28" t="s">
        <v>1508</v>
      </c>
      <c r="C1397" s="37" t="s">
        <v>1253</v>
      </c>
      <c r="E1397" s="37" t="s">
        <v>2832</v>
      </c>
      <c r="F1397" s="24" t="s">
        <v>2120</v>
      </c>
      <c r="G1397" s="25"/>
      <c r="J1397" s="214" t="s">
        <v>3691</v>
      </c>
      <c r="K1397" s="10" t="s">
        <v>3717</v>
      </c>
      <c r="L1397" s="103"/>
      <c r="M1397" s="103"/>
      <c r="P1397" s="37" t="s">
        <v>51</v>
      </c>
      <c r="S1397" s="111" t="s">
        <v>3412</v>
      </c>
      <c r="T1397" s="11"/>
      <c r="U1397" s="21">
        <v>1</v>
      </c>
      <c r="V1397" s="21">
        <v>1</v>
      </c>
      <c r="W1397" s="73">
        <f t="shared" si="68"/>
        <v>24</v>
      </c>
      <c r="X1397" s="80">
        <f t="shared" si="69"/>
        <v>2319</v>
      </c>
      <c r="Y1397" s="82" t="s">
        <v>3584</v>
      </c>
      <c r="AF1397" s="11"/>
      <c r="AG1397" s="11"/>
      <c r="AH1397" s="11"/>
      <c r="AI1397" s="11"/>
      <c r="AJ1397" s="11"/>
      <c r="AK1397" s="11"/>
    </row>
    <row r="1398" spans="1:38" ht="17.100000000000001" customHeight="1" x14ac:dyDescent="0.25">
      <c r="A1398" s="165" t="s">
        <v>3733</v>
      </c>
      <c r="B1398" s="28" t="s">
        <v>918</v>
      </c>
      <c r="C1398" s="37" t="s">
        <v>1253</v>
      </c>
      <c r="E1398" s="37" t="s">
        <v>2832</v>
      </c>
      <c r="F1398" s="24" t="s">
        <v>2120</v>
      </c>
      <c r="G1398" s="25"/>
      <c r="J1398" s="214" t="s">
        <v>3691</v>
      </c>
      <c r="K1398" s="10" t="s">
        <v>3717</v>
      </c>
      <c r="L1398" s="103"/>
      <c r="M1398" s="103"/>
      <c r="P1398" s="37" t="s">
        <v>1463</v>
      </c>
      <c r="S1398" s="111" t="s">
        <v>3412</v>
      </c>
      <c r="T1398" s="11"/>
      <c r="U1398" s="21">
        <v>2</v>
      </c>
      <c r="V1398" s="21">
        <v>2</v>
      </c>
      <c r="W1398" s="73">
        <f t="shared" si="68"/>
        <v>26</v>
      </c>
      <c r="X1398" s="80">
        <f t="shared" si="69"/>
        <v>2321</v>
      </c>
      <c r="Y1398" s="82" t="s">
        <v>3584</v>
      </c>
      <c r="AF1398" s="11"/>
      <c r="AG1398" s="11"/>
      <c r="AH1398" s="11"/>
      <c r="AI1398" s="11"/>
      <c r="AJ1398" s="11"/>
      <c r="AK1398" s="11"/>
    </row>
    <row r="1399" spans="1:38" ht="17.100000000000001" customHeight="1" x14ac:dyDescent="0.25">
      <c r="A1399" s="165" t="s">
        <v>302</v>
      </c>
      <c r="B1399" s="28" t="s">
        <v>1506</v>
      </c>
      <c r="C1399" s="37" t="s">
        <v>1253</v>
      </c>
      <c r="E1399" s="37" t="s">
        <v>2832</v>
      </c>
      <c r="F1399" s="24" t="s">
        <v>2120</v>
      </c>
      <c r="G1399" s="25"/>
      <c r="L1399" s="103"/>
      <c r="M1399" s="103"/>
      <c r="P1399" s="37" t="s">
        <v>1463</v>
      </c>
      <c r="S1399" s="111" t="s">
        <v>3412</v>
      </c>
      <c r="T1399" s="11"/>
      <c r="U1399" s="21">
        <v>1</v>
      </c>
      <c r="V1399" s="21">
        <v>1</v>
      </c>
      <c r="W1399" s="73">
        <f t="shared" si="68"/>
        <v>27</v>
      </c>
      <c r="X1399" s="80">
        <f t="shared" si="69"/>
        <v>2322</v>
      </c>
      <c r="Y1399" s="82" t="s">
        <v>3584</v>
      </c>
      <c r="AF1399" s="11"/>
      <c r="AG1399" s="11"/>
      <c r="AH1399" s="11"/>
      <c r="AI1399" s="11"/>
      <c r="AJ1399" s="11"/>
      <c r="AK1399" s="11"/>
    </row>
    <row r="1400" spans="1:38" ht="17.100000000000001" customHeight="1" x14ac:dyDescent="0.25">
      <c r="A1400" s="31" t="s">
        <v>315</v>
      </c>
      <c r="B1400" s="28" t="s">
        <v>1505</v>
      </c>
      <c r="C1400" s="37" t="s">
        <v>1253</v>
      </c>
      <c r="E1400" s="37" t="s">
        <v>2832</v>
      </c>
      <c r="F1400" s="24" t="s">
        <v>2120</v>
      </c>
      <c r="G1400" s="25"/>
      <c r="L1400" s="103"/>
      <c r="M1400" s="103"/>
      <c r="P1400" s="37" t="s">
        <v>51</v>
      </c>
      <c r="S1400" s="111" t="s">
        <v>3412</v>
      </c>
      <c r="T1400" s="11"/>
      <c r="U1400" s="21">
        <v>1</v>
      </c>
      <c r="V1400" s="21">
        <v>1</v>
      </c>
      <c r="W1400" s="73">
        <f t="shared" si="68"/>
        <v>28</v>
      </c>
      <c r="X1400" s="80">
        <f t="shared" si="69"/>
        <v>2323</v>
      </c>
      <c r="Y1400" s="82" t="s">
        <v>3584</v>
      </c>
      <c r="AF1400" s="11"/>
      <c r="AG1400" s="11"/>
      <c r="AH1400" s="11"/>
      <c r="AI1400" s="11"/>
      <c r="AJ1400" s="11"/>
      <c r="AK1400" s="11"/>
    </row>
    <row r="1401" spans="1:38" ht="17.100000000000001" customHeight="1" x14ac:dyDescent="0.25">
      <c r="A1401" s="31" t="s">
        <v>520</v>
      </c>
      <c r="B1401" s="28" t="s">
        <v>919</v>
      </c>
      <c r="C1401" s="37" t="s">
        <v>1253</v>
      </c>
      <c r="E1401" s="37" t="s">
        <v>2832</v>
      </c>
      <c r="F1401" s="24" t="s">
        <v>2120</v>
      </c>
      <c r="G1401" s="25"/>
      <c r="J1401" s="214" t="s">
        <v>3691</v>
      </c>
      <c r="K1401" s="10" t="s">
        <v>3717</v>
      </c>
      <c r="L1401" s="103"/>
      <c r="M1401" s="103"/>
      <c r="P1401" s="37" t="s">
        <v>1463</v>
      </c>
      <c r="S1401" s="111" t="s">
        <v>3412</v>
      </c>
      <c r="T1401" s="11"/>
      <c r="U1401" s="21">
        <v>1</v>
      </c>
      <c r="V1401" s="21">
        <v>1</v>
      </c>
      <c r="W1401" s="73">
        <f t="shared" si="68"/>
        <v>29</v>
      </c>
      <c r="X1401" s="80">
        <f t="shared" si="69"/>
        <v>2324</v>
      </c>
      <c r="Y1401" s="82" t="s">
        <v>3584</v>
      </c>
      <c r="AF1401" s="11"/>
      <c r="AG1401" s="11"/>
      <c r="AH1401" s="11"/>
      <c r="AI1401" s="11"/>
      <c r="AJ1401" s="11"/>
      <c r="AK1401" s="11"/>
    </row>
    <row r="1402" spans="1:38" ht="17.100000000000001" customHeight="1" x14ac:dyDescent="0.25">
      <c r="A1402" s="31" t="s">
        <v>297</v>
      </c>
      <c r="B1402" s="28" t="s">
        <v>843</v>
      </c>
      <c r="C1402" s="37" t="s">
        <v>1253</v>
      </c>
      <c r="E1402" s="37" t="s">
        <v>2832</v>
      </c>
      <c r="F1402" s="24" t="s">
        <v>2120</v>
      </c>
      <c r="G1402" s="25"/>
      <c r="L1402" s="103"/>
      <c r="M1402" s="103"/>
      <c r="P1402" s="37" t="s">
        <v>51</v>
      </c>
      <c r="S1402" s="111" t="s">
        <v>3412</v>
      </c>
      <c r="T1402" s="11"/>
      <c r="U1402" s="21">
        <v>1</v>
      </c>
      <c r="V1402" s="21">
        <v>1</v>
      </c>
      <c r="W1402" s="73">
        <f t="shared" si="68"/>
        <v>30</v>
      </c>
      <c r="X1402" s="80">
        <f t="shared" si="69"/>
        <v>2325</v>
      </c>
      <c r="Y1402" s="82" t="s">
        <v>3584</v>
      </c>
      <c r="AF1402" s="11"/>
      <c r="AG1402" s="11"/>
      <c r="AH1402" s="11"/>
      <c r="AI1402" s="11"/>
      <c r="AJ1402" s="11"/>
      <c r="AK1402" s="11"/>
    </row>
    <row r="1403" spans="1:38" ht="17.100000000000001" customHeight="1" x14ac:dyDescent="0.25">
      <c r="A1403" s="31" t="s">
        <v>512</v>
      </c>
      <c r="B1403" s="28" t="s">
        <v>839</v>
      </c>
      <c r="C1403" s="37" t="s">
        <v>1253</v>
      </c>
      <c r="E1403" s="37" t="s">
        <v>2832</v>
      </c>
      <c r="F1403" s="24" t="s">
        <v>2120</v>
      </c>
      <c r="G1403" s="25"/>
      <c r="J1403" s="214" t="s">
        <v>4457</v>
      </c>
      <c r="K1403" s="10" t="s">
        <v>5135</v>
      </c>
      <c r="L1403" s="103"/>
      <c r="M1403" s="103"/>
      <c r="P1403" s="37" t="s">
        <v>51</v>
      </c>
      <c r="S1403" s="111" t="s">
        <v>3412</v>
      </c>
      <c r="T1403" s="11"/>
      <c r="U1403" s="21">
        <v>2</v>
      </c>
      <c r="V1403" s="21">
        <v>2</v>
      </c>
      <c r="W1403" s="73">
        <f t="shared" si="68"/>
        <v>32</v>
      </c>
      <c r="X1403" s="80">
        <f t="shared" si="69"/>
        <v>2327</v>
      </c>
      <c r="Y1403" s="82" t="s">
        <v>3584</v>
      </c>
      <c r="AF1403" s="11"/>
      <c r="AG1403" s="11"/>
      <c r="AH1403" s="11"/>
      <c r="AI1403" s="11"/>
      <c r="AJ1403" s="11"/>
      <c r="AK1403" s="11"/>
    </row>
    <row r="1404" spans="1:38" ht="17.100000000000001" customHeight="1" x14ac:dyDescent="0.25">
      <c r="A1404" s="31" t="s">
        <v>516</v>
      </c>
      <c r="B1404" s="28" t="s">
        <v>1031</v>
      </c>
      <c r="C1404" s="37" t="s">
        <v>1253</v>
      </c>
      <c r="E1404" s="37" t="s">
        <v>2832</v>
      </c>
      <c r="F1404" s="24" t="s">
        <v>2120</v>
      </c>
      <c r="G1404" s="25"/>
      <c r="L1404" s="103"/>
      <c r="M1404" s="103"/>
      <c r="P1404" s="37" t="s">
        <v>51</v>
      </c>
      <c r="S1404" s="111" t="s">
        <v>3412</v>
      </c>
      <c r="T1404" s="11"/>
      <c r="U1404" s="21">
        <v>2</v>
      </c>
      <c r="V1404" s="21">
        <v>2</v>
      </c>
      <c r="W1404" s="73">
        <f t="shared" si="68"/>
        <v>34</v>
      </c>
      <c r="X1404" s="80">
        <f t="shared" si="69"/>
        <v>2329</v>
      </c>
      <c r="Y1404" s="82" t="s">
        <v>3584</v>
      </c>
      <c r="AF1404" s="11"/>
      <c r="AG1404" s="11"/>
      <c r="AH1404" s="11"/>
      <c r="AI1404" s="11"/>
      <c r="AJ1404" s="11"/>
      <c r="AK1404" s="11"/>
    </row>
    <row r="1405" spans="1:38" ht="17.100000000000001" customHeight="1" x14ac:dyDescent="0.3">
      <c r="A1405" s="31" t="s">
        <v>457</v>
      </c>
      <c r="B1405" s="28" t="s">
        <v>1611</v>
      </c>
      <c r="C1405" s="37" t="s">
        <v>1253</v>
      </c>
      <c r="E1405" s="37" t="s">
        <v>2832</v>
      </c>
      <c r="F1405" s="24" t="s">
        <v>2119</v>
      </c>
      <c r="G1405" s="25"/>
      <c r="L1405" s="103"/>
      <c r="M1405" s="103"/>
      <c r="P1405" s="37" t="s">
        <v>1463</v>
      </c>
      <c r="S1405" s="111" t="s">
        <v>3412</v>
      </c>
      <c r="T1405" s="11"/>
      <c r="U1405" s="21">
        <v>1</v>
      </c>
      <c r="V1405" s="21">
        <v>1</v>
      </c>
      <c r="W1405" s="73">
        <f t="shared" si="68"/>
        <v>35</v>
      </c>
      <c r="X1405" s="80">
        <f t="shared" si="69"/>
        <v>2330</v>
      </c>
      <c r="Y1405" s="82" t="s">
        <v>3584</v>
      </c>
      <c r="AF1405" s="11"/>
      <c r="AG1405" s="11"/>
      <c r="AH1405" s="11"/>
      <c r="AI1405" s="11"/>
      <c r="AJ1405" s="11"/>
      <c r="AK1405" s="11"/>
      <c r="AL1405" s="1"/>
    </row>
    <row r="1406" spans="1:38" ht="17.100000000000001" customHeight="1" x14ac:dyDescent="0.25">
      <c r="A1406" s="31" t="s">
        <v>540</v>
      </c>
      <c r="B1406" s="28" t="s">
        <v>1405</v>
      </c>
      <c r="C1406" s="37" t="s">
        <v>1253</v>
      </c>
      <c r="E1406" s="37" t="s">
        <v>2832</v>
      </c>
      <c r="F1406" s="24" t="s">
        <v>2121</v>
      </c>
      <c r="G1406" s="25"/>
      <c r="L1406" s="103"/>
      <c r="M1406" s="103"/>
      <c r="P1406" s="37" t="s">
        <v>670</v>
      </c>
      <c r="S1406" s="111" t="s">
        <v>3412</v>
      </c>
      <c r="T1406" s="11"/>
      <c r="U1406" s="21">
        <v>1</v>
      </c>
      <c r="V1406" s="21">
        <v>1</v>
      </c>
      <c r="W1406" s="73">
        <f t="shared" si="68"/>
        <v>36</v>
      </c>
      <c r="X1406" s="80">
        <f t="shared" si="69"/>
        <v>2331</v>
      </c>
      <c r="Y1406" s="82" t="s">
        <v>3584</v>
      </c>
      <c r="AF1406" s="11"/>
      <c r="AG1406" s="11"/>
      <c r="AH1406" s="11"/>
      <c r="AI1406" s="11"/>
      <c r="AJ1406" s="11"/>
      <c r="AK1406" s="11"/>
    </row>
    <row r="1407" spans="1:38" ht="17.100000000000001" customHeight="1" x14ac:dyDescent="0.25">
      <c r="A1407" s="31" t="s">
        <v>10</v>
      </c>
      <c r="B1407" s="28" t="s">
        <v>1404</v>
      </c>
      <c r="C1407" s="37" t="s">
        <v>1253</v>
      </c>
      <c r="E1407" s="37" t="s">
        <v>2832</v>
      </c>
      <c r="F1407" s="24" t="s">
        <v>2120</v>
      </c>
      <c r="G1407" s="25"/>
      <c r="L1407" s="103"/>
      <c r="M1407" s="103"/>
      <c r="P1407" s="37" t="s">
        <v>1463</v>
      </c>
      <c r="S1407" s="111" t="s">
        <v>3412</v>
      </c>
      <c r="T1407" s="11"/>
      <c r="U1407" s="21">
        <v>1</v>
      </c>
      <c r="V1407" s="21">
        <v>1</v>
      </c>
      <c r="W1407" s="73">
        <f t="shared" si="68"/>
        <v>37</v>
      </c>
      <c r="X1407" s="80">
        <f t="shared" si="69"/>
        <v>2332</v>
      </c>
      <c r="Y1407" s="82" t="s">
        <v>3584</v>
      </c>
      <c r="AF1407" s="11"/>
      <c r="AG1407" s="11"/>
      <c r="AH1407" s="11"/>
      <c r="AI1407" s="11"/>
      <c r="AJ1407" s="11"/>
      <c r="AK1407" s="11"/>
    </row>
    <row r="1408" spans="1:38" ht="17.100000000000001" customHeight="1" x14ac:dyDescent="0.25">
      <c r="A1408" s="31" t="s">
        <v>2782</v>
      </c>
      <c r="B1408" s="28" t="s">
        <v>2253</v>
      </c>
      <c r="C1408" s="37" t="s">
        <v>1253</v>
      </c>
      <c r="E1408" s="37" t="s">
        <v>2832</v>
      </c>
      <c r="F1408" s="24" t="s">
        <v>2120</v>
      </c>
      <c r="G1408" s="25"/>
      <c r="H1408" s="38" t="s">
        <v>3674</v>
      </c>
      <c r="L1408" s="103"/>
      <c r="M1408" s="103"/>
      <c r="P1408" s="37" t="s">
        <v>1463</v>
      </c>
      <c r="S1408" s="111" t="s">
        <v>3412</v>
      </c>
      <c r="T1408" s="11"/>
      <c r="U1408" s="21">
        <v>2</v>
      </c>
      <c r="V1408" s="21">
        <v>2</v>
      </c>
      <c r="W1408" s="73">
        <f t="shared" si="68"/>
        <v>39</v>
      </c>
      <c r="X1408" s="80">
        <f t="shared" si="69"/>
        <v>2334</v>
      </c>
      <c r="Y1408" s="82" t="s">
        <v>3584</v>
      </c>
      <c r="AF1408" s="11"/>
      <c r="AG1408" s="11"/>
      <c r="AH1408" s="11"/>
      <c r="AI1408" s="11"/>
      <c r="AJ1408" s="11"/>
      <c r="AK1408" s="11"/>
    </row>
    <row r="1409" spans="1:38" ht="17.100000000000001" customHeight="1" x14ac:dyDescent="0.25">
      <c r="A1409" s="31" t="s">
        <v>306</v>
      </c>
      <c r="B1409" s="28" t="s">
        <v>1511</v>
      </c>
      <c r="C1409" s="37" t="s">
        <v>1253</v>
      </c>
      <c r="E1409" s="37" t="s">
        <v>2832</v>
      </c>
      <c r="F1409" s="24" t="s">
        <v>2121</v>
      </c>
      <c r="G1409" s="25"/>
      <c r="J1409" s="214" t="s">
        <v>3691</v>
      </c>
      <c r="K1409" s="10" t="s">
        <v>3717</v>
      </c>
      <c r="L1409" s="103"/>
      <c r="M1409" s="103"/>
      <c r="P1409" s="37" t="s">
        <v>1463</v>
      </c>
      <c r="S1409" s="111" t="s">
        <v>3412</v>
      </c>
      <c r="T1409" s="11"/>
      <c r="U1409" s="21">
        <v>2</v>
      </c>
      <c r="V1409" s="21">
        <v>2</v>
      </c>
      <c r="W1409" s="73">
        <f t="shared" si="68"/>
        <v>41</v>
      </c>
      <c r="X1409" s="80">
        <f t="shared" si="69"/>
        <v>2336</v>
      </c>
      <c r="Y1409" s="82" t="s">
        <v>3584</v>
      </c>
      <c r="AF1409" s="11"/>
      <c r="AG1409" s="11"/>
      <c r="AH1409" s="11"/>
      <c r="AI1409" s="11"/>
      <c r="AJ1409" s="11"/>
      <c r="AK1409" s="11"/>
    </row>
    <row r="1410" spans="1:38" ht="17.100000000000001" customHeight="1" x14ac:dyDescent="0.25">
      <c r="A1410" s="165" t="s">
        <v>3811</v>
      </c>
      <c r="B1410" s="28" t="s">
        <v>1282</v>
      </c>
      <c r="C1410" s="37" t="s">
        <v>1253</v>
      </c>
      <c r="E1410" s="37" t="s">
        <v>2832</v>
      </c>
      <c r="F1410" s="24" t="s">
        <v>2121</v>
      </c>
      <c r="G1410" s="25"/>
      <c r="L1410" s="103"/>
      <c r="M1410" s="103"/>
      <c r="P1410" s="37" t="s">
        <v>670</v>
      </c>
      <c r="S1410" s="111" t="s">
        <v>3412</v>
      </c>
      <c r="T1410" s="11"/>
      <c r="U1410" s="21">
        <v>1</v>
      </c>
      <c r="V1410" s="21">
        <v>1</v>
      </c>
      <c r="W1410" s="73">
        <f t="shared" si="68"/>
        <v>42</v>
      </c>
      <c r="X1410" s="80">
        <f t="shared" si="69"/>
        <v>2337</v>
      </c>
      <c r="Y1410" s="82" t="s">
        <v>3584</v>
      </c>
      <c r="AF1410" s="11"/>
      <c r="AG1410" s="11"/>
      <c r="AH1410" s="11"/>
      <c r="AI1410" s="11"/>
      <c r="AJ1410" s="11"/>
      <c r="AK1410" s="11"/>
    </row>
    <row r="1411" spans="1:38" ht="17.100000000000001" customHeight="1" x14ac:dyDescent="0.25">
      <c r="A1411" s="165" t="s">
        <v>305</v>
      </c>
      <c r="B1411" s="28" t="s">
        <v>1606</v>
      </c>
      <c r="C1411" s="37" t="s">
        <v>1253</v>
      </c>
      <c r="E1411" s="37" t="s">
        <v>2832</v>
      </c>
      <c r="F1411" s="24" t="s">
        <v>2121</v>
      </c>
      <c r="G1411" s="25"/>
      <c r="L1411" s="103"/>
      <c r="M1411" s="103"/>
      <c r="P1411" s="37" t="s">
        <v>1463</v>
      </c>
      <c r="S1411" s="111" t="s">
        <v>3412</v>
      </c>
      <c r="T1411" s="11"/>
      <c r="U1411" s="21">
        <v>2</v>
      </c>
      <c r="V1411" s="21">
        <v>2</v>
      </c>
      <c r="W1411" s="73">
        <f t="shared" si="68"/>
        <v>44</v>
      </c>
      <c r="X1411" s="80">
        <f t="shared" si="69"/>
        <v>2339</v>
      </c>
      <c r="Y1411" s="82" t="s">
        <v>3584</v>
      </c>
      <c r="AF1411" s="11"/>
      <c r="AG1411" s="11"/>
      <c r="AH1411" s="11"/>
      <c r="AI1411" s="11"/>
      <c r="AJ1411" s="11"/>
      <c r="AK1411" s="11"/>
    </row>
    <row r="1412" spans="1:38" ht="17.100000000000001" customHeight="1" x14ac:dyDescent="0.25">
      <c r="A1412" s="31" t="s">
        <v>9</v>
      </c>
      <c r="B1412" s="28" t="s">
        <v>1252</v>
      </c>
      <c r="C1412" s="37" t="s">
        <v>1253</v>
      </c>
      <c r="E1412" s="37" t="s">
        <v>2832</v>
      </c>
      <c r="F1412" s="24" t="s">
        <v>2121</v>
      </c>
      <c r="G1412" s="25"/>
      <c r="L1412" s="103"/>
      <c r="M1412" s="103"/>
      <c r="P1412" s="37" t="s">
        <v>1463</v>
      </c>
      <c r="S1412" s="111" t="s">
        <v>3412</v>
      </c>
      <c r="T1412" s="11"/>
      <c r="U1412" s="21">
        <v>1</v>
      </c>
      <c r="V1412" s="21">
        <v>1</v>
      </c>
      <c r="W1412" s="73">
        <f t="shared" si="68"/>
        <v>45</v>
      </c>
      <c r="X1412" s="80">
        <f t="shared" si="69"/>
        <v>2340</v>
      </c>
      <c r="Y1412" s="82" t="s">
        <v>3584</v>
      </c>
      <c r="AF1412" s="11"/>
      <c r="AG1412" s="11"/>
      <c r="AH1412" s="11"/>
      <c r="AI1412" s="11"/>
      <c r="AJ1412" s="11"/>
      <c r="AK1412" s="11"/>
    </row>
    <row r="1413" spans="1:38" ht="17.100000000000001" customHeight="1" x14ac:dyDescent="0.3">
      <c r="A1413" s="31" t="s">
        <v>459</v>
      </c>
      <c r="B1413" s="28" t="s">
        <v>460</v>
      </c>
      <c r="C1413" s="37" t="s">
        <v>1253</v>
      </c>
      <c r="E1413" s="37" t="s">
        <v>2832</v>
      </c>
      <c r="F1413" s="24" t="s">
        <v>2121</v>
      </c>
      <c r="G1413" s="25"/>
      <c r="L1413" s="103"/>
      <c r="M1413" s="103"/>
      <c r="P1413" s="37" t="s">
        <v>670</v>
      </c>
      <c r="S1413" s="111" t="s">
        <v>3412</v>
      </c>
      <c r="T1413" s="11"/>
      <c r="U1413" s="21">
        <v>1</v>
      </c>
      <c r="V1413" s="21">
        <v>1</v>
      </c>
      <c r="W1413" s="73">
        <f t="shared" si="68"/>
        <v>46</v>
      </c>
      <c r="X1413" s="80">
        <f t="shared" si="69"/>
        <v>2341</v>
      </c>
      <c r="Y1413" s="82" t="s">
        <v>3584</v>
      </c>
      <c r="AF1413" s="11"/>
      <c r="AG1413" s="11"/>
      <c r="AH1413" s="11"/>
      <c r="AI1413" s="11"/>
      <c r="AJ1413" s="11"/>
      <c r="AK1413" s="11"/>
      <c r="AL1413" s="1"/>
    </row>
    <row r="1414" spans="1:38" ht="17.100000000000001" customHeight="1" x14ac:dyDescent="0.3">
      <c r="A1414" s="31" t="s">
        <v>323</v>
      </c>
      <c r="B1414" s="28" t="s">
        <v>1517</v>
      </c>
      <c r="C1414" s="37" t="s">
        <v>1253</v>
      </c>
      <c r="E1414" s="37" t="s">
        <v>2832</v>
      </c>
      <c r="F1414" s="24" t="s">
        <v>2120</v>
      </c>
      <c r="G1414" s="25"/>
      <c r="L1414" s="103"/>
      <c r="M1414" s="103"/>
      <c r="P1414" s="37" t="s">
        <v>51</v>
      </c>
      <c r="S1414" s="111" t="s">
        <v>3412</v>
      </c>
      <c r="T1414" s="11"/>
      <c r="U1414" s="21">
        <v>1</v>
      </c>
      <c r="V1414" s="21">
        <v>1</v>
      </c>
      <c r="W1414" s="73">
        <f t="shared" si="68"/>
        <v>47</v>
      </c>
      <c r="X1414" s="80">
        <f t="shared" si="69"/>
        <v>2342</v>
      </c>
      <c r="Y1414" s="82" t="s">
        <v>3584</v>
      </c>
      <c r="AF1414" s="11"/>
      <c r="AG1414" s="11"/>
      <c r="AH1414" s="11"/>
      <c r="AI1414" s="11"/>
      <c r="AJ1414" s="11"/>
      <c r="AK1414" s="11"/>
      <c r="AL1414" s="1"/>
    </row>
    <row r="1415" spans="1:38" ht="17.100000000000001" customHeight="1" x14ac:dyDescent="0.25">
      <c r="A1415" s="31" t="s">
        <v>433</v>
      </c>
      <c r="B1415" s="28" t="s">
        <v>1518</v>
      </c>
      <c r="C1415" s="37" t="s">
        <v>1253</v>
      </c>
      <c r="E1415" s="37" t="s">
        <v>2832</v>
      </c>
      <c r="F1415" s="24" t="s">
        <v>2121</v>
      </c>
      <c r="G1415" s="25"/>
      <c r="L1415" s="103"/>
      <c r="M1415" s="103"/>
      <c r="P1415" s="37" t="s">
        <v>1463</v>
      </c>
      <c r="S1415" s="111" t="s">
        <v>3412</v>
      </c>
      <c r="T1415" s="11"/>
      <c r="U1415" s="21">
        <v>1</v>
      </c>
      <c r="V1415" s="21">
        <v>1</v>
      </c>
      <c r="W1415" s="73">
        <f t="shared" si="68"/>
        <v>48</v>
      </c>
      <c r="X1415" s="80">
        <f t="shared" si="69"/>
        <v>2343</v>
      </c>
      <c r="Y1415" s="82" t="s">
        <v>3584</v>
      </c>
      <c r="AF1415" s="11"/>
      <c r="AG1415" s="11"/>
      <c r="AH1415" s="11"/>
      <c r="AI1415" s="11"/>
      <c r="AJ1415" s="11"/>
      <c r="AK1415" s="11"/>
    </row>
    <row r="1416" spans="1:38" ht="17.100000000000001" customHeight="1" x14ac:dyDescent="0.25">
      <c r="A1416" s="31" t="s">
        <v>432</v>
      </c>
      <c r="B1416" s="28" t="s">
        <v>1408</v>
      </c>
      <c r="C1416" s="37" t="s">
        <v>1253</v>
      </c>
      <c r="E1416" s="37" t="s">
        <v>2832</v>
      </c>
      <c r="F1416" s="24" t="s">
        <v>2121</v>
      </c>
      <c r="G1416" s="25"/>
      <c r="L1416" s="103"/>
      <c r="M1416" s="103"/>
      <c r="S1416" s="111" t="s">
        <v>3412</v>
      </c>
      <c r="T1416" s="11"/>
      <c r="U1416" s="21">
        <v>1</v>
      </c>
      <c r="V1416" s="21">
        <v>1</v>
      </c>
      <c r="W1416" s="73">
        <f t="shared" si="68"/>
        <v>49</v>
      </c>
      <c r="X1416" s="80">
        <f t="shared" si="69"/>
        <v>2344</v>
      </c>
      <c r="Y1416" s="82" t="s">
        <v>3584</v>
      </c>
      <c r="AF1416" s="11"/>
      <c r="AG1416" s="11"/>
      <c r="AH1416" s="11"/>
      <c r="AI1416" s="11"/>
      <c r="AJ1416" s="11"/>
      <c r="AK1416" s="11"/>
    </row>
    <row r="1417" spans="1:38" ht="17.100000000000001" customHeight="1" x14ac:dyDescent="0.3">
      <c r="A1417" s="165" t="s">
        <v>3812</v>
      </c>
      <c r="B1417" s="28" t="s">
        <v>1406</v>
      </c>
      <c r="C1417" s="37" t="s">
        <v>1253</v>
      </c>
      <c r="E1417" s="37" t="s">
        <v>2832</v>
      </c>
      <c r="F1417" s="24" t="s">
        <v>2122</v>
      </c>
      <c r="G1417" s="25"/>
      <c r="L1417" s="103"/>
      <c r="M1417" s="103"/>
      <c r="P1417" s="37" t="s">
        <v>1463</v>
      </c>
      <c r="S1417" s="111" t="s">
        <v>3412</v>
      </c>
      <c r="T1417" s="11"/>
      <c r="U1417" s="21">
        <v>1</v>
      </c>
      <c r="V1417" s="21">
        <v>1</v>
      </c>
      <c r="W1417" s="73">
        <f t="shared" si="68"/>
        <v>50</v>
      </c>
      <c r="X1417" s="80">
        <f t="shared" si="69"/>
        <v>2345</v>
      </c>
      <c r="Y1417" s="82" t="s">
        <v>3584</v>
      </c>
      <c r="AF1417" s="11"/>
      <c r="AG1417" s="11"/>
      <c r="AH1417" s="11"/>
      <c r="AI1417" s="11"/>
      <c r="AJ1417" s="11"/>
      <c r="AK1417" s="11"/>
      <c r="AL1417" s="1"/>
    </row>
    <row r="1418" spans="1:38" ht="17.100000000000001" customHeight="1" x14ac:dyDescent="0.25">
      <c r="A1418" s="165" t="s">
        <v>615</v>
      </c>
      <c r="B1418" s="28" t="s">
        <v>545</v>
      </c>
      <c r="C1418" s="37" t="s">
        <v>1253</v>
      </c>
      <c r="E1418" s="37" t="s">
        <v>2832</v>
      </c>
      <c r="F1418" s="24" t="s">
        <v>2122</v>
      </c>
      <c r="G1418" s="25"/>
      <c r="P1418" s="37" t="s">
        <v>670</v>
      </c>
      <c r="S1418" s="111" t="s">
        <v>3412</v>
      </c>
      <c r="U1418" s="21">
        <v>1</v>
      </c>
      <c r="V1418" s="21">
        <v>1</v>
      </c>
      <c r="W1418" s="73">
        <f t="shared" si="68"/>
        <v>51</v>
      </c>
      <c r="X1418" s="80">
        <f t="shared" si="69"/>
        <v>2346</v>
      </c>
      <c r="Y1418" s="82" t="s">
        <v>3584</v>
      </c>
    </row>
    <row r="1419" spans="1:38" ht="17.100000000000001" customHeight="1" x14ac:dyDescent="0.25">
      <c r="A1419" s="29" t="s">
        <v>3734</v>
      </c>
      <c r="B1419" s="28" t="s">
        <v>614</v>
      </c>
      <c r="C1419" s="37" t="s">
        <v>1253</v>
      </c>
      <c r="E1419" s="37" t="s">
        <v>2832</v>
      </c>
      <c r="F1419" s="24" t="s">
        <v>2122</v>
      </c>
      <c r="G1419" s="25"/>
      <c r="J1419" s="214" t="s">
        <v>3691</v>
      </c>
      <c r="K1419" s="10" t="s">
        <v>3717</v>
      </c>
      <c r="P1419" s="37" t="s">
        <v>51</v>
      </c>
      <c r="S1419" s="111" t="s">
        <v>3412</v>
      </c>
      <c r="U1419" s="21">
        <v>2</v>
      </c>
      <c r="V1419" s="21">
        <v>2</v>
      </c>
      <c r="W1419" s="73">
        <f t="shared" si="68"/>
        <v>53</v>
      </c>
      <c r="X1419" s="80">
        <f t="shared" si="69"/>
        <v>2348</v>
      </c>
      <c r="Y1419" s="82" t="s">
        <v>3584</v>
      </c>
    </row>
    <row r="1420" spans="1:38" ht="17.100000000000001" customHeight="1" x14ac:dyDescent="0.25">
      <c r="A1420" s="29" t="s">
        <v>438</v>
      </c>
      <c r="B1420" s="28" t="s">
        <v>243</v>
      </c>
      <c r="C1420" s="37" t="s">
        <v>1253</v>
      </c>
      <c r="E1420" s="37" t="s">
        <v>2832</v>
      </c>
      <c r="F1420" s="24" t="s">
        <v>2122</v>
      </c>
      <c r="G1420" s="25"/>
      <c r="P1420" s="37" t="s">
        <v>51</v>
      </c>
      <c r="S1420" s="111" t="s">
        <v>3412</v>
      </c>
      <c r="U1420" s="21">
        <v>1</v>
      </c>
      <c r="V1420" s="21">
        <v>1</v>
      </c>
      <c r="W1420" s="73">
        <f t="shared" si="68"/>
        <v>54</v>
      </c>
      <c r="X1420" s="80">
        <f t="shared" si="69"/>
        <v>2349</v>
      </c>
      <c r="Y1420" s="82" t="s">
        <v>3584</v>
      </c>
    </row>
    <row r="1421" spans="1:38" ht="17.100000000000001" customHeight="1" x14ac:dyDescent="0.25">
      <c r="A1421" s="29" t="s">
        <v>474</v>
      </c>
      <c r="B1421" s="28" t="s">
        <v>222</v>
      </c>
      <c r="C1421" s="37" t="s">
        <v>1253</v>
      </c>
      <c r="E1421" s="37" t="s">
        <v>2832</v>
      </c>
      <c r="F1421" s="24" t="s">
        <v>2122</v>
      </c>
      <c r="G1421" s="25"/>
      <c r="P1421" s="37" t="s">
        <v>51</v>
      </c>
      <c r="S1421" s="111" t="s">
        <v>3412</v>
      </c>
      <c r="U1421" s="21">
        <v>1</v>
      </c>
      <c r="V1421" s="21">
        <v>1</v>
      </c>
      <c r="W1421" s="73">
        <f t="shared" si="68"/>
        <v>55</v>
      </c>
      <c r="X1421" s="80">
        <f t="shared" si="69"/>
        <v>2350</v>
      </c>
      <c r="Y1421" s="82" t="s">
        <v>3584</v>
      </c>
    </row>
    <row r="1422" spans="1:38" ht="17.100000000000001" customHeight="1" x14ac:dyDescent="0.25">
      <c r="A1422" s="29" t="s">
        <v>642</v>
      </c>
      <c r="B1422" s="28" t="s">
        <v>643</v>
      </c>
      <c r="C1422" s="37" t="s">
        <v>1253</v>
      </c>
      <c r="E1422" s="37" t="s">
        <v>2832</v>
      </c>
      <c r="F1422" s="24" t="s">
        <v>2122</v>
      </c>
      <c r="G1422" s="25"/>
      <c r="J1422" s="214" t="s">
        <v>4055</v>
      </c>
      <c r="K1422" s="10" t="s">
        <v>4054</v>
      </c>
      <c r="S1422" s="111" t="s">
        <v>3412</v>
      </c>
      <c r="U1422" s="21">
        <v>2</v>
      </c>
      <c r="V1422" s="21">
        <v>2</v>
      </c>
      <c r="W1422" s="73">
        <f t="shared" si="68"/>
        <v>57</v>
      </c>
      <c r="X1422" s="80">
        <f t="shared" si="69"/>
        <v>2352</v>
      </c>
      <c r="Y1422" s="82" t="s">
        <v>3584</v>
      </c>
    </row>
    <row r="1423" spans="1:38" ht="17.100000000000001" customHeight="1" x14ac:dyDescent="0.25">
      <c r="A1423" s="29" t="s">
        <v>542</v>
      </c>
      <c r="B1423" s="28" t="s">
        <v>543</v>
      </c>
      <c r="C1423" s="37" t="s">
        <v>1253</v>
      </c>
      <c r="E1423" s="37" t="s">
        <v>2832</v>
      </c>
      <c r="F1423" s="24" t="s">
        <v>2122</v>
      </c>
      <c r="G1423" s="25"/>
      <c r="J1423" s="214" t="s">
        <v>3718</v>
      </c>
      <c r="K1423" s="10" t="s">
        <v>3717</v>
      </c>
      <c r="P1423" s="37" t="s">
        <v>670</v>
      </c>
      <c r="S1423" s="111" t="s">
        <v>3412</v>
      </c>
      <c r="U1423" s="21">
        <v>1</v>
      </c>
      <c r="V1423" s="21">
        <v>1</v>
      </c>
      <c r="W1423" s="73">
        <f t="shared" si="68"/>
        <v>58</v>
      </c>
      <c r="X1423" s="80">
        <f t="shared" si="69"/>
        <v>2353</v>
      </c>
      <c r="Y1423" s="82" t="s">
        <v>3584</v>
      </c>
    </row>
    <row r="1424" spans="1:38" ht="17.100000000000001" customHeight="1" x14ac:dyDescent="0.25">
      <c r="A1424" s="29" t="s">
        <v>608</v>
      </c>
      <c r="B1424" s="28" t="s">
        <v>641</v>
      </c>
      <c r="C1424" s="37" t="s">
        <v>1253</v>
      </c>
      <c r="E1424" s="37" t="s">
        <v>2832</v>
      </c>
      <c r="F1424" s="24" t="s">
        <v>2122</v>
      </c>
      <c r="G1424" s="25"/>
      <c r="P1424" s="37" t="s">
        <v>1911</v>
      </c>
      <c r="S1424" s="111" t="s">
        <v>3412</v>
      </c>
      <c r="U1424" s="21">
        <v>1</v>
      </c>
      <c r="V1424" s="21">
        <v>1</v>
      </c>
      <c r="W1424" s="73">
        <f t="shared" si="68"/>
        <v>59</v>
      </c>
      <c r="X1424" s="80">
        <f t="shared" si="69"/>
        <v>2354</v>
      </c>
      <c r="Y1424" s="82" t="s">
        <v>3584</v>
      </c>
    </row>
    <row r="1425" spans="1:38" ht="17.100000000000001" customHeight="1" x14ac:dyDescent="0.25">
      <c r="A1425" s="29" t="s">
        <v>3324</v>
      </c>
      <c r="B1425" s="28" t="s">
        <v>405</v>
      </c>
      <c r="C1425" s="37" t="s">
        <v>1253</v>
      </c>
      <c r="E1425" s="37" t="s">
        <v>2832</v>
      </c>
      <c r="F1425" s="24" t="s">
        <v>2122</v>
      </c>
      <c r="G1425" s="25"/>
      <c r="P1425" s="37" t="s">
        <v>1912</v>
      </c>
      <c r="S1425" s="111" t="s">
        <v>3412</v>
      </c>
      <c r="U1425" s="21">
        <v>1</v>
      </c>
      <c r="V1425" s="21">
        <v>1</v>
      </c>
      <c r="W1425" s="73">
        <f t="shared" si="68"/>
        <v>60</v>
      </c>
      <c r="X1425" s="80">
        <f t="shared" si="69"/>
        <v>2355</v>
      </c>
      <c r="Y1425" s="82" t="s">
        <v>3584</v>
      </c>
    </row>
    <row r="1426" spans="1:38" ht="17.100000000000001" customHeight="1" x14ac:dyDescent="0.3">
      <c r="A1426" s="29" t="s">
        <v>2052</v>
      </c>
      <c r="B1426" s="28" t="s">
        <v>729</v>
      </c>
      <c r="C1426" s="37" t="s">
        <v>1253</v>
      </c>
      <c r="E1426" s="37" t="s">
        <v>2832</v>
      </c>
      <c r="F1426" s="24" t="s">
        <v>2122</v>
      </c>
      <c r="G1426" s="25"/>
      <c r="J1426" s="214" t="s">
        <v>3691</v>
      </c>
      <c r="K1426" s="10" t="s">
        <v>3717</v>
      </c>
      <c r="S1426" s="111" t="s">
        <v>3412</v>
      </c>
      <c r="U1426" s="21">
        <v>1</v>
      </c>
      <c r="V1426" s="21">
        <v>1</v>
      </c>
      <c r="W1426" s="73">
        <f t="shared" si="68"/>
        <v>61</v>
      </c>
      <c r="X1426" s="80">
        <f t="shared" si="69"/>
        <v>2356</v>
      </c>
      <c r="Y1426" s="82" t="s">
        <v>3584</v>
      </c>
      <c r="AL1426" s="1"/>
    </row>
    <row r="1427" spans="1:38" ht="17.100000000000001" customHeight="1" x14ac:dyDescent="0.25">
      <c r="A1427" s="29" t="s">
        <v>463</v>
      </c>
      <c r="B1427" s="28" t="s">
        <v>368</v>
      </c>
      <c r="C1427" s="37" t="s">
        <v>1253</v>
      </c>
      <c r="E1427" s="37" t="s">
        <v>2832</v>
      </c>
      <c r="F1427" s="24" t="s">
        <v>2122</v>
      </c>
      <c r="G1427" s="25"/>
      <c r="P1427" s="37" t="s">
        <v>2053</v>
      </c>
      <c r="S1427" s="111" t="s">
        <v>3412</v>
      </c>
      <c r="U1427" s="21">
        <v>1</v>
      </c>
      <c r="V1427" s="21">
        <v>1</v>
      </c>
      <c r="W1427" s="73">
        <f t="shared" si="68"/>
        <v>62</v>
      </c>
      <c r="X1427" s="80">
        <f t="shared" si="69"/>
        <v>2357</v>
      </c>
      <c r="Y1427" s="82" t="s">
        <v>3584</v>
      </c>
    </row>
    <row r="1428" spans="1:38" ht="17.100000000000001" customHeight="1" x14ac:dyDescent="0.25">
      <c r="A1428" s="29" t="s">
        <v>471</v>
      </c>
      <c r="B1428" s="28" t="s">
        <v>367</v>
      </c>
      <c r="C1428" s="37" t="s">
        <v>1253</v>
      </c>
      <c r="E1428" s="37" t="s">
        <v>2832</v>
      </c>
      <c r="F1428" s="24" t="s">
        <v>2122</v>
      </c>
      <c r="G1428" s="25"/>
      <c r="P1428" s="37" t="s">
        <v>670</v>
      </c>
      <c r="S1428" s="111" t="s">
        <v>3412</v>
      </c>
      <c r="U1428" s="21">
        <v>1</v>
      </c>
      <c r="V1428" s="21">
        <v>1</v>
      </c>
      <c r="W1428" s="73">
        <f t="shared" si="68"/>
        <v>63</v>
      </c>
      <c r="X1428" s="80">
        <f t="shared" si="69"/>
        <v>2358</v>
      </c>
      <c r="Y1428" s="82" t="s">
        <v>3584</v>
      </c>
    </row>
    <row r="1429" spans="1:38" ht="17.100000000000001" customHeight="1" x14ac:dyDescent="0.25">
      <c r="A1429" s="29" t="s">
        <v>3737</v>
      </c>
      <c r="B1429" s="28" t="s">
        <v>11</v>
      </c>
      <c r="C1429" s="37" t="s">
        <v>1253</v>
      </c>
      <c r="E1429" s="37" t="s">
        <v>2832</v>
      </c>
      <c r="F1429" s="24" t="s">
        <v>2122</v>
      </c>
      <c r="G1429" s="25"/>
      <c r="J1429" s="214" t="s">
        <v>3691</v>
      </c>
      <c r="K1429" s="10" t="s">
        <v>3738</v>
      </c>
      <c r="P1429" s="37" t="s">
        <v>51</v>
      </c>
      <c r="S1429" s="111" t="s">
        <v>3412</v>
      </c>
      <c r="U1429" s="21">
        <v>1</v>
      </c>
      <c r="V1429" s="21">
        <v>1</v>
      </c>
      <c r="W1429" s="73">
        <f t="shared" si="68"/>
        <v>64</v>
      </c>
      <c r="X1429" s="80">
        <f t="shared" si="69"/>
        <v>2359</v>
      </c>
      <c r="Y1429" s="82" t="s">
        <v>3584</v>
      </c>
    </row>
    <row r="1430" spans="1:38" ht="17.100000000000001" customHeight="1" x14ac:dyDescent="0.25">
      <c r="A1430" s="29" t="s">
        <v>348</v>
      </c>
      <c r="B1430" s="28" t="s">
        <v>565</v>
      </c>
      <c r="C1430" s="37" t="s">
        <v>1253</v>
      </c>
      <c r="E1430" s="37" t="s">
        <v>2832</v>
      </c>
      <c r="F1430" s="24" t="s">
        <v>2122</v>
      </c>
      <c r="G1430" s="25"/>
      <c r="J1430" s="214" t="s">
        <v>4053</v>
      </c>
      <c r="K1430" s="10" t="s">
        <v>4056</v>
      </c>
      <c r="P1430" s="37" t="s">
        <v>51</v>
      </c>
      <c r="S1430" s="111" t="s">
        <v>3412</v>
      </c>
      <c r="U1430" s="21">
        <v>1</v>
      </c>
      <c r="V1430" s="21">
        <v>1</v>
      </c>
      <c r="W1430" s="73">
        <f t="shared" si="68"/>
        <v>65</v>
      </c>
      <c r="X1430" s="80">
        <f t="shared" si="69"/>
        <v>2360</v>
      </c>
      <c r="Y1430" s="82" t="s">
        <v>3584</v>
      </c>
    </row>
    <row r="1431" spans="1:38" ht="17.100000000000001" customHeight="1" x14ac:dyDescent="0.25">
      <c r="A1431" s="29" t="s">
        <v>12</v>
      </c>
      <c r="B1431" s="28" t="s">
        <v>728</v>
      </c>
      <c r="C1431" s="37" t="s">
        <v>1253</v>
      </c>
      <c r="E1431" s="37" t="s">
        <v>2832</v>
      </c>
      <c r="F1431" s="24" t="s">
        <v>2122</v>
      </c>
      <c r="G1431" s="25"/>
      <c r="J1431" s="214" t="s">
        <v>3691</v>
      </c>
      <c r="K1431" s="10" t="s">
        <v>3717</v>
      </c>
      <c r="P1431" s="37" t="s">
        <v>51</v>
      </c>
      <c r="S1431" s="111" t="s">
        <v>3412</v>
      </c>
      <c r="U1431" s="21">
        <v>1</v>
      </c>
      <c r="V1431" s="21">
        <v>1</v>
      </c>
      <c r="W1431" s="73">
        <f t="shared" si="68"/>
        <v>66</v>
      </c>
      <c r="X1431" s="80">
        <f t="shared" si="69"/>
        <v>2361</v>
      </c>
      <c r="Y1431" s="82" t="s">
        <v>3584</v>
      </c>
    </row>
    <row r="1432" spans="1:38" ht="17.100000000000001" customHeight="1" x14ac:dyDescent="0.25">
      <c r="A1432" s="29" t="s">
        <v>3325</v>
      </c>
      <c r="B1432" s="28" t="s">
        <v>257</v>
      </c>
      <c r="C1432" s="37" t="s">
        <v>1253</v>
      </c>
      <c r="E1432" s="37" t="s">
        <v>2832</v>
      </c>
      <c r="F1432" s="24" t="s">
        <v>2123</v>
      </c>
      <c r="G1432" s="25"/>
      <c r="P1432" s="37" t="s">
        <v>1463</v>
      </c>
      <c r="S1432" s="111" t="s">
        <v>3412</v>
      </c>
      <c r="U1432" s="21">
        <v>1</v>
      </c>
      <c r="V1432" s="21">
        <v>1</v>
      </c>
      <c r="W1432" s="73">
        <f t="shared" si="68"/>
        <v>67</v>
      </c>
      <c r="X1432" s="80">
        <f t="shared" si="69"/>
        <v>2362</v>
      </c>
      <c r="Y1432" s="82" t="s">
        <v>3584</v>
      </c>
    </row>
    <row r="1433" spans="1:38" ht="17.100000000000001" customHeight="1" x14ac:dyDescent="0.25">
      <c r="A1433" s="29" t="s">
        <v>5783</v>
      </c>
      <c r="B1433" s="28" t="s">
        <v>5784</v>
      </c>
      <c r="C1433" s="37" t="s">
        <v>1253</v>
      </c>
      <c r="E1433" s="37" t="s">
        <v>2832</v>
      </c>
      <c r="F1433" s="24" t="s">
        <v>2123</v>
      </c>
      <c r="J1433" s="214" t="s">
        <v>3690</v>
      </c>
      <c r="K1433" s="10" t="s">
        <v>3685</v>
      </c>
      <c r="P1433" s="37" t="s">
        <v>1463</v>
      </c>
      <c r="S1433" s="111" t="s">
        <v>3412</v>
      </c>
      <c r="U1433" s="21">
        <v>1</v>
      </c>
      <c r="V1433" s="21">
        <v>1</v>
      </c>
      <c r="W1433" s="73">
        <f t="shared" si="68"/>
        <v>68</v>
      </c>
      <c r="X1433" s="80">
        <f t="shared" si="69"/>
        <v>2363</v>
      </c>
      <c r="Y1433" s="82" t="s">
        <v>3584</v>
      </c>
    </row>
    <row r="1434" spans="1:38" ht="17.100000000000001" customHeight="1" x14ac:dyDescent="0.25">
      <c r="A1434" s="29" t="s">
        <v>5783</v>
      </c>
      <c r="B1434" s="28" t="s">
        <v>5784</v>
      </c>
      <c r="C1434" s="37" t="s">
        <v>1253</v>
      </c>
      <c r="E1434" s="37" t="s">
        <v>2832</v>
      </c>
      <c r="F1434" s="24" t="s">
        <v>2515</v>
      </c>
      <c r="H1434" s="38" t="s">
        <v>5785</v>
      </c>
      <c r="J1434" s="214" t="s">
        <v>5673</v>
      </c>
      <c r="P1434" s="37" t="s">
        <v>1463</v>
      </c>
      <c r="S1434" s="111" t="s">
        <v>3412</v>
      </c>
      <c r="T1434" s="37" t="s">
        <v>6101</v>
      </c>
      <c r="U1434" s="21">
        <v>1</v>
      </c>
      <c r="V1434" s="21">
        <v>1</v>
      </c>
      <c r="W1434" s="73">
        <f t="shared" si="68"/>
        <v>69</v>
      </c>
      <c r="X1434" s="80">
        <f t="shared" si="69"/>
        <v>2364</v>
      </c>
      <c r="Y1434" s="82" t="s">
        <v>3591</v>
      </c>
      <c r="Z1434" s="24" t="s">
        <v>5786</v>
      </c>
      <c r="AB1434" s="177">
        <v>44369</v>
      </c>
      <c r="AC1434" s="84" t="s">
        <v>5308</v>
      </c>
      <c r="AI1434" s="10" t="s">
        <v>2947</v>
      </c>
      <c r="AK1434" s="10" t="s">
        <v>4196</v>
      </c>
    </row>
    <row r="1435" spans="1:38" ht="17.100000000000001" customHeight="1" x14ac:dyDescent="0.25">
      <c r="A1435" s="29" t="s">
        <v>3813</v>
      </c>
      <c r="B1435" s="28" t="s">
        <v>1820</v>
      </c>
      <c r="C1435" s="37" t="s">
        <v>1253</v>
      </c>
      <c r="E1435" s="37" t="s">
        <v>2832</v>
      </c>
      <c r="F1435" s="24" t="s">
        <v>2123</v>
      </c>
      <c r="G1435" s="25"/>
      <c r="J1435" s="214" t="s">
        <v>3690</v>
      </c>
      <c r="K1435" s="10" t="s">
        <v>3685</v>
      </c>
      <c r="P1435" s="37" t="s">
        <v>1463</v>
      </c>
      <c r="S1435" s="111" t="s">
        <v>3412</v>
      </c>
      <c r="U1435" s="21">
        <v>1</v>
      </c>
      <c r="V1435" s="21">
        <v>1</v>
      </c>
      <c r="W1435" s="73">
        <f t="shared" si="68"/>
        <v>70</v>
      </c>
      <c r="X1435" s="80">
        <f t="shared" si="69"/>
        <v>2365</v>
      </c>
      <c r="Y1435" s="82" t="s">
        <v>3584</v>
      </c>
    </row>
    <row r="1436" spans="1:38" ht="17.100000000000001" customHeight="1" x14ac:dyDescent="0.25">
      <c r="A1436" s="29" t="s">
        <v>3814</v>
      </c>
      <c r="B1436" s="28" t="s">
        <v>1820</v>
      </c>
      <c r="C1436" s="37" t="s">
        <v>1253</v>
      </c>
      <c r="E1436" s="37" t="s">
        <v>2832</v>
      </c>
      <c r="F1436" s="24" t="s">
        <v>2515</v>
      </c>
      <c r="G1436" s="25"/>
      <c r="H1436" s="38" t="s">
        <v>6102</v>
      </c>
      <c r="J1436" s="214" t="s">
        <v>3690</v>
      </c>
      <c r="K1436" s="10" t="s">
        <v>3685</v>
      </c>
      <c r="P1436" s="37" t="s">
        <v>1463</v>
      </c>
      <c r="S1436" s="111" t="s">
        <v>3412</v>
      </c>
      <c r="U1436" s="21">
        <v>1</v>
      </c>
      <c r="V1436" s="21">
        <v>3</v>
      </c>
      <c r="W1436" s="73">
        <f t="shared" si="68"/>
        <v>73</v>
      </c>
      <c r="X1436" s="80">
        <f t="shared" si="69"/>
        <v>2368</v>
      </c>
      <c r="Y1436" s="82" t="s">
        <v>3584</v>
      </c>
    </row>
    <row r="1437" spans="1:38" ht="17.100000000000001" customHeight="1" x14ac:dyDescent="0.3">
      <c r="A1437" s="29" t="s">
        <v>267</v>
      </c>
      <c r="B1437" s="28" t="s">
        <v>177</v>
      </c>
      <c r="C1437" s="37" t="s">
        <v>1253</v>
      </c>
      <c r="E1437" s="37" t="s">
        <v>2832</v>
      </c>
      <c r="F1437" s="24" t="s">
        <v>2123</v>
      </c>
      <c r="G1437" s="25"/>
      <c r="P1437" s="37" t="s">
        <v>1810</v>
      </c>
      <c r="S1437" s="111" t="s">
        <v>3412</v>
      </c>
      <c r="U1437" s="21">
        <v>2</v>
      </c>
      <c r="V1437" s="21">
        <v>2</v>
      </c>
      <c r="W1437" s="73">
        <f t="shared" si="68"/>
        <v>75</v>
      </c>
      <c r="X1437" s="80">
        <f t="shared" si="69"/>
        <v>2370</v>
      </c>
      <c r="Y1437" s="82" t="s">
        <v>3584</v>
      </c>
      <c r="AL1437" s="1"/>
    </row>
    <row r="1438" spans="1:38" ht="17.100000000000001" customHeight="1" x14ac:dyDescent="0.25">
      <c r="A1438" s="29" t="s">
        <v>761</v>
      </c>
      <c r="B1438" s="28" t="s">
        <v>571</v>
      </c>
      <c r="C1438" s="37" t="s">
        <v>1253</v>
      </c>
      <c r="E1438" s="37" t="s">
        <v>2832</v>
      </c>
      <c r="F1438" s="24" t="s">
        <v>2123</v>
      </c>
      <c r="J1438" s="214" t="s">
        <v>4052</v>
      </c>
      <c r="K1438" s="10" t="s">
        <v>5125</v>
      </c>
      <c r="P1438" s="37" t="s">
        <v>1811</v>
      </c>
      <c r="S1438" s="111" t="s">
        <v>3412</v>
      </c>
      <c r="U1438" s="21">
        <v>2</v>
      </c>
      <c r="V1438" s="21">
        <v>2</v>
      </c>
      <c r="W1438" s="73">
        <f t="shared" si="68"/>
        <v>77</v>
      </c>
      <c r="X1438" s="80">
        <f t="shared" si="69"/>
        <v>2372</v>
      </c>
      <c r="Y1438" s="82" t="s">
        <v>3584</v>
      </c>
    </row>
    <row r="1439" spans="1:38" ht="17.100000000000001" customHeight="1" x14ac:dyDescent="0.25">
      <c r="A1439" s="31" t="s">
        <v>645</v>
      </c>
      <c r="B1439" s="28" t="s">
        <v>646</v>
      </c>
      <c r="C1439" s="37" t="s">
        <v>1253</v>
      </c>
      <c r="E1439" s="37" t="s">
        <v>2832</v>
      </c>
      <c r="F1439" s="24" t="s">
        <v>2123</v>
      </c>
      <c r="G1439" s="25"/>
      <c r="L1439" s="103"/>
      <c r="M1439" s="103"/>
      <c r="P1439" s="37" t="s">
        <v>2053</v>
      </c>
      <c r="S1439" s="111" t="s">
        <v>3412</v>
      </c>
      <c r="T1439" s="11"/>
      <c r="U1439" s="21">
        <v>1</v>
      </c>
      <c r="V1439" s="21">
        <v>1</v>
      </c>
      <c r="W1439" s="73">
        <f t="shared" si="68"/>
        <v>78</v>
      </c>
      <c r="X1439" s="80">
        <f t="shared" si="69"/>
        <v>2373</v>
      </c>
      <c r="Y1439" s="82" t="s">
        <v>3584</v>
      </c>
      <c r="AF1439" s="11"/>
      <c r="AG1439" s="11"/>
      <c r="AH1439" s="11"/>
      <c r="AI1439" s="11"/>
      <c r="AJ1439" s="11"/>
      <c r="AK1439" s="11"/>
    </row>
    <row r="1440" spans="1:38" ht="17.100000000000001" customHeight="1" x14ac:dyDescent="0.3">
      <c r="A1440" s="29" t="s">
        <v>213</v>
      </c>
      <c r="B1440" s="28" t="s">
        <v>5782</v>
      </c>
      <c r="C1440" s="37" t="s">
        <v>1253</v>
      </c>
      <c r="E1440" s="37" t="s">
        <v>2832</v>
      </c>
      <c r="F1440" s="24" t="s">
        <v>2123</v>
      </c>
      <c r="G1440" s="25"/>
      <c r="P1440" s="37" t="s">
        <v>1463</v>
      </c>
      <c r="S1440" s="111" t="s">
        <v>3412</v>
      </c>
      <c r="U1440" s="21">
        <v>1</v>
      </c>
      <c r="V1440" s="21">
        <v>1</v>
      </c>
      <c r="W1440" s="73">
        <f t="shared" si="68"/>
        <v>79</v>
      </c>
      <c r="X1440" s="80">
        <f t="shared" si="69"/>
        <v>2374</v>
      </c>
      <c r="Y1440" s="82" t="s">
        <v>3584</v>
      </c>
      <c r="AL1440" s="1"/>
    </row>
    <row r="1441" spans="1:38" ht="17.100000000000001" customHeight="1" x14ac:dyDescent="0.3">
      <c r="A1441" s="29" t="s">
        <v>3326</v>
      </c>
      <c r="B1441" s="28" t="s">
        <v>1818</v>
      </c>
      <c r="C1441" s="37" t="s">
        <v>1253</v>
      </c>
      <c r="E1441" s="37" t="s">
        <v>2832</v>
      </c>
      <c r="F1441" s="24" t="s">
        <v>2123</v>
      </c>
      <c r="J1441" s="214" t="s">
        <v>4052</v>
      </c>
      <c r="K1441" s="10" t="s">
        <v>4086</v>
      </c>
      <c r="P1441" s="37" t="s">
        <v>417</v>
      </c>
      <c r="S1441" s="111" t="s">
        <v>3412</v>
      </c>
      <c r="U1441" s="21">
        <v>1</v>
      </c>
      <c r="V1441" s="21">
        <v>1</v>
      </c>
      <c r="W1441" s="73">
        <f t="shared" si="68"/>
        <v>80</v>
      </c>
      <c r="X1441" s="80">
        <f t="shared" si="69"/>
        <v>2375</v>
      </c>
      <c r="Y1441" s="82" t="s">
        <v>3584</v>
      </c>
      <c r="AL1441" s="1"/>
    </row>
    <row r="1442" spans="1:38" ht="17.100000000000001" customHeight="1" x14ac:dyDescent="0.3">
      <c r="A1442" s="29" t="s">
        <v>639</v>
      </c>
      <c r="B1442" s="28" t="s">
        <v>640</v>
      </c>
      <c r="C1442" s="37" t="s">
        <v>1253</v>
      </c>
      <c r="E1442" s="37" t="s">
        <v>2832</v>
      </c>
      <c r="F1442" s="24" t="s">
        <v>2123</v>
      </c>
      <c r="G1442" s="25"/>
      <c r="P1442" s="37" t="s">
        <v>1463</v>
      </c>
      <c r="S1442" s="111" t="s">
        <v>3412</v>
      </c>
      <c r="U1442" s="21">
        <v>1</v>
      </c>
      <c r="V1442" s="21">
        <v>1</v>
      </c>
      <c r="W1442" s="73">
        <f t="shared" si="68"/>
        <v>81</v>
      </c>
      <c r="X1442" s="80">
        <f t="shared" si="69"/>
        <v>2376</v>
      </c>
      <c r="Y1442" s="82" t="s">
        <v>3584</v>
      </c>
      <c r="AL1442" s="1"/>
    </row>
    <row r="1443" spans="1:38" ht="17.100000000000001" customHeight="1" x14ac:dyDescent="0.25">
      <c r="A1443" s="31" t="s">
        <v>557</v>
      </c>
      <c r="B1443" s="28" t="s">
        <v>748</v>
      </c>
      <c r="C1443" s="37" t="s">
        <v>1253</v>
      </c>
      <c r="E1443" s="37" t="s">
        <v>2832</v>
      </c>
      <c r="F1443" s="24" t="s">
        <v>2123</v>
      </c>
      <c r="J1443" s="214" t="s">
        <v>4041</v>
      </c>
      <c r="K1443" s="10" t="s">
        <v>4042</v>
      </c>
      <c r="L1443" s="103"/>
      <c r="M1443" s="103"/>
      <c r="P1443" s="37" t="s">
        <v>1934</v>
      </c>
      <c r="S1443" s="111" t="s">
        <v>3412</v>
      </c>
      <c r="T1443" s="11"/>
      <c r="U1443" s="21">
        <v>2</v>
      </c>
      <c r="V1443" s="21">
        <v>2</v>
      </c>
      <c r="W1443" s="73">
        <f t="shared" si="68"/>
        <v>83</v>
      </c>
      <c r="X1443" s="80">
        <f t="shared" si="69"/>
        <v>2378</v>
      </c>
      <c r="Y1443" s="82" t="s">
        <v>3584</v>
      </c>
      <c r="AF1443" s="11"/>
      <c r="AG1443" s="11"/>
      <c r="AH1443" s="11"/>
      <c r="AI1443" s="11"/>
      <c r="AJ1443" s="11"/>
      <c r="AK1443" s="11"/>
    </row>
    <row r="1444" spans="1:38" ht="17.100000000000001" customHeight="1" x14ac:dyDescent="0.3">
      <c r="A1444" s="29" t="s">
        <v>616</v>
      </c>
      <c r="B1444" s="28" t="s">
        <v>4208</v>
      </c>
      <c r="C1444" s="37" t="s">
        <v>1253</v>
      </c>
      <c r="E1444" s="37" t="s">
        <v>2832</v>
      </c>
      <c r="F1444" s="24" t="s">
        <v>2123</v>
      </c>
      <c r="P1444" s="37" t="s">
        <v>51</v>
      </c>
      <c r="S1444" s="111" t="s">
        <v>3412</v>
      </c>
      <c r="U1444" s="21">
        <v>1</v>
      </c>
      <c r="V1444" s="21">
        <v>1</v>
      </c>
      <c r="W1444" s="73">
        <f t="shared" si="68"/>
        <v>84</v>
      </c>
      <c r="X1444" s="80">
        <f t="shared" si="69"/>
        <v>2379</v>
      </c>
      <c r="Y1444" s="82" t="s">
        <v>3584</v>
      </c>
      <c r="AL1444" s="1"/>
    </row>
    <row r="1445" spans="1:38" ht="17.100000000000001" customHeight="1" x14ac:dyDescent="0.25">
      <c r="A1445" s="29" t="s">
        <v>3202</v>
      </c>
      <c r="B1445" s="28" t="s">
        <v>345</v>
      </c>
      <c r="C1445" s="37" t="s">
        <v>1253</v>
      </c>
      <c r="E1445" s="37" t="s">
        <v>2832</v>
      </c>
      <c r="F1445" s="24" t="s">
        <v>2123</v>
      </c>
      <c r="H1445" s="38" t="s">
        <v>3203</v>
      </c>
      <c r="P1445" s="37" t="s">
        <v>1979</v>
      </c>
      <c r="S1445" s="111" t="s">
        <v>3412</v>
      </c>
      <c r="U1445" s="21">
        <v>1</v>
      </c>
      <c r="V1445" s="21">
        <v>1</v>
      </c>
      <c r="W1445" s="73">
        <f t="shared" ref="W1445:W1508" si="70">W1444+V1445</f>
        <v>85</v>
      </c>
      <c r="X1445" s="80">
        <f t="shared" ref="X1445:X1508" si="71">V1445+X1444</f>
        <v>2380</v>
      </c>
      <c r="Y1445" s="82" t="s">
        <v>3584</v>
      </c>
    </row>
    <row r="1446" spans="1:38" s="2" customFormat="1" ht="17.100000000000001" customHeight="1" x14ac:dyDescent="0.25">
      <c r="A1446" s="31" t="s">
        <v>593</v>
      </c>
      <c r="B1446" s="28" t="s">
        <v>596</v>
      </c>
      <c r="C1446" s="37" t="s">
        <v>1253</v>
      </c>
      <c r="D1446" s="37"/>
      <c r="E1446" s="37" t="s">
        <v>2832</v>
      </c>
      <c r="F1446" s="26" t="s">
        <v>2124</v>
      </c>
      <c r="G1446" s="27"/>
      <c r="H1446" s="38"/>
      <c r="I1446" s="115"/>
      <c r="J1446" s="219"/>
      <c r="K1446" s="14"/>
      <c r="L1446" s="105"/>
      <c r="M1446" s="105"/>
      <c r="N1446" s="151"/>
      <c r="O1446" s="151"/>
      <c r="P1446" s="37" t="s">
        <v>1979</v>
      </c>
      <c r="Q1446" s="37"/>
      <c r="R1446" s="37"/>
      <c r="S1446" s="111" t="s">
        <v>3412</v>
      </c>
      <c r="T1446" s="15"/>
      <c r="U1446" s="23">
        <v>1</v>
      </c>
      <c r="V1446" s="23">
        <v>1</v>
      </c>
      <c r="W1446" s="73">
        <f t="shared" si="70"/>
        <v>86</v>
      </c>
      <c r="X1446" s="80">
        <f t="shared" si="71"/>
        <v>2381</v>
      </c>
      <c r="Y1446" s="82" t="s">
        <v>3584</v>
      </c>
      <c r="Z1446" s="24"/>
      <c r="AA1446" s="183"/>
      <c r="AB1446" s="183"/>
      <c r="AC1446" s="88"/>
      <c r="AD1446" s="88"/>
      <c r="AE1446" s="87"/>
      <c r="AF1446" s="15"/>
      <c r="AG1446" s="15"/>
      <c r="AH1446" s="15"/>
      <c r="AI1446" s="15"/>
      <c r="AJ1446" s="15"/>
      <c r="AK1446" s="15"/>
    </row>
    <row r="1447" spans="1:38" ht="17.100000000000001" customHeight="1" x14ac:dyDescent="0.25">
      <c r="A1447" s="31" t="s">
        <v>647</v>
      </c>
      <c r="B1447" s="28" t="s">
        <v>467</v>
      </c>
      <c r="C1447" s="37" t="s">
        <v>1253</v>
      </c>
      <c r="E1447" s="37" t="s">
        <v>2832</v>
      </c>
      <c r="F1447" s="24" t="s">
        <v>2124</v>
      </c>
      <c r="J1447" s="219" t="s">
        <v>3694</v>
      </c>
      <c r="K1447" s="10" t="s">
        <v>3699</v>
      </c>
      <c r="L1447" s="103"/>
      <c r="M1447" s="103"/>
      <c r="N1447" s="151"/>
      <c r="O1447" s="151"/>
      <c r="P1447" s="37" t="s">
        <v>1463</v>
      </c>
      <c r="S1447" s="111" t="s">
        <v>3412</v>
      </c>
      <c r="T1447" s="11"/>
      <c r="U1447" s="21">
        <v>5</v>
      </c>
      <c r="V1447" s="21">
        <v>5</v>
      </c>
      <c r="W1447" s="73">
        <f t="shared" si="70"/>
        <v>91</v>
      </c>
      <c r="X1447" s="80">
        <f t="shared" si="71"/>
        <v>2386</v>
      </c>
      <c r="Y1447" s="82" t="s">
        <v>3584</v>
      </c>
      <c r="AA1447" s="183"/>
      <c r="AB1447" s="183"/>
      <c r="AC1447" s="88"/>
      <c r="AD1447" s="88"/>
      <c r="AF1447" s="11"/>
      <c r="AG1447" s="11"/>
      <c r="AH1447" s="11"/>
      <c r="AI1447" s="11"/>
      <c r="AJ1447" s="11"/>
      <c r="AK1447" s="11"/>
    </row>
    <row r="1448" spans="1:38" ht="17.100000000000001" customHeight="1" x14ac:dyDescent="0.25">
      <c r="A1448" s="31" t="s">
        <v>3739</v>
      </c>
      <c r="B1448" s="28" t="s">
        <v>467</v>
      </c>
      <c r="E1448" s="37" t="s">
        <v>2926</v>
      </c>
      <c r="F1448" s="24" t="s">
        <v>2124</v>
      </c>
      <c r="J1448" s="219" t="s">
        <v>3691</v>
      </c>
      <c r="K1448" s="10" t="s">
        <v>3717</v>
      </c>
      <c r="L1448" s="103"/>
      <c r="M1448" s="103"/>
      <c r="N1448" s="151"/>
      <c r="O1448" s="151"/>
      <c r="P1448" s="37" t="s">
        <v>1463</v>
      </c>
      <c r="S1448" s="111" t="s">
        <v>3412</v>
      </c>
      <c r="T1448" s="11"/>
      <c r="U1448" s="21">
        <v>1</v>
      </c>
      <c r="V1448" s="21">
        <v>1</v>
      </c>
      <c r="W1448" s="73">
        <f t="shared" si="70"/>
        <v>92</v>
      </c>
      <c r="X1448" s="80">
        <f t="shared" si="71"/>
        <v>2387</v>
      </c>
      <c r="Y1448" s="82" t="s">
        <v>3584</v>
      </c>
      <c r="AA1448" s="183"/>
      <c r="AB1448" s="183"/>
      <c r="AC1448" s="88"/>
      <c r="AD1448" s="88"/>
      <c r="AF1448" s="11"/>
      <c r="AG1448" s="11"/>
      <c r="AH1448" s="11"/>
      <c r="AI1448" s="11"/>
      <c r="AJ1448" s="11"/>
      <c r="AK1448" s="11"/>
    </row>
    <row r="1449" spans="1:38" s="2" customFormat="1" ht="17.100000000000001" customHeight="1" x14ac:dyDescent="0.25">
      <c r="A1449" s="31" t="s">
        <v>7189</v>
      </c>
      <c r="B1449" s="28" t="s">
        <v>2091</v>
      </c>
      <c r="C1449" s="37" t="s">
        <v>1253</v>
      </c>
      <c r="D1449" s="37"/>
      <c r="E1449" s="37" t="s">
        <v>2832</v>
      </c>
      <c r="F1449" s="26" t="s">
        <v>2125</v>
      </c>
      <c r="G1449" s="26"/>
      <c r="H1449" s="38"/>
      <c r="I1449" s="115"/>
      <c r="J1449" s="219" t="s">
        <v>3694</v>
      </c>
      <c r="K1449" s="14" t="s">
        <v>3699</v>
      </c>
      <c r="L1449" s="105"/>
      <c r="M1449" s="105"/>
      <c r="N1449" s="151"/>
      <c r="O1449" s="151"/>
      <c r="P1449" s="37" t="s">
        <v>1463</v>
      </c>
      <c r="Q1449" s="37"/>
      <c r="R1449" s="37"/>
      <c r="S1449" s="111" t="s">
        <v>3412</v>
      </c>
      <c r="T1449" s="15"/>
      <c r="U1449" s="23">
        <v>1</v>
      </c>
      <c r="V1449" s="23">
        <v>1</v>
      </c>
      <c r="W1449" s="73">
        <f t="shared" si="70"/>
        <v>93</v>
      </c>
      <c r="X1449" s="80">
        <f t="shared" si="71"/>
        <v>2388</v>
      </c>
      <c r="Y1449" s="82" t="s">
        <v>3584</v>
      </c>
      <c r="Z1449" s="24"/>
      <c r="AA1449" s="183"/>
      <c r="AB1449" s="183"/>
      <c r="AC1449" s="88"/>
      <c r="AD1449" s="88"/>
      <c r="AE1449" s="87"/>
      <c r="AF1449" s="15"/>
      <c r="AG1449" s="15"/>
      <c r="AH1449" s="15"/>
      <c r="AI1449" s="15"/>
      <c r="AJ1449" s="15"/>
      <c r="AK1449" s="15"/>
    </row>
    <row r="1450" spans="1:38" s="2" customFormat="1" ht="17.100000000000001" customHeight="1" x14ac:dyDescent="0.25">
      <c r="A1450" s="31" t="s">
        <v>7190</v>
      </c>
      <c r="B1450" s="28" t="s">
        <v>7191</v>
      </c>
      <c r="C1450" s="37" t="s">
        <v>1253</v>
      </c>
      <c r="D1450" s="37"/>
      <c r="E1450" s="37" t="s">
        <v>2832</v>
      </c>
      <c r="F1450" s="26" t="s">
        <v>2124</v>
      </c>
      <c r="G1450" s="27"/>
      <c r="H1450" s="38"/>
      <c r="I1450" s="115"/>
      <c r="J1450" s="219"/>
      <c r="K1450" s="14"/>
      <c r="L1450" s="105"/>
      <c r="M1450" s="105"/>
      <c r="N1450" s="151"/>
      <c r="O1450" s="151"/>
      <c r="P1450" s="37" t="s">
        <v>1463</v>
      </c>
      <c r="Q1450" s="37"/>
      <c r="R1450" s="37"/>
      <c r="S1450" s="111" t="s">
        <v>3412</v>
      </c>
      <c r="T1450" s="15"/>
      <c r="U1450" s="23">
        <v>3</v>
      </c>
      <c r="V1450" s="23">
        <v>3</v>
      </c>
      <c r="W1450" s="73">
        <f t="shared" si="70"/>
        <v>96</v>
      </c>
      <c r="X1450" s="80">
        <f t="shared" si="71"/>
        <v>2391</v>
      </c>
      <c r="Y1450" s="82" t="s">
        <v>3584</v>
      </c>
      <c r="Z1450" s="24"/>
      <c r="AA1450" s="183"/>
      <c r="AB1450" s="183"/>
      <c r="AC1450" s="88"/>
      <c r="AD1450" s="88"/>
      <c r="AE1450" s="87"/>
      <c r="AF1450" s="15"/>
      <c r="AG1450" s="15"/>
      <c r="AH1450" s="15"/>
      <c r="AI1450" s="15"/>
      <c r="AJ1450" s="15"/>
      <c r="AK1450" s="15"/>
    </row>
    <row r="1451" spans="1:38" s="2" customFormat="1" ht="17.100000000000001" customHeight="1" x14ac:dyDescent="0.25">
      <c r="A1451" s="31" t="s">
        <v>695</v>
      </c>
      <c r="B1451" s="28" t="s">
        <v>591</v>
      </c>
      <c r="C1451" s="37" t="s">
        <v>1253</v>
      </c>
      <c r="D1451" s="37"/>
      <c r="E1451" s="37" t="s">
        <v>2832</v>
      </c>
      <c r="F1451" s="26" t="s">
        <v>2124</v>
      </c>
      <c r="G1451" s="26"/>
      <c r="H1451" s="38"/>
      <c r="I1451" s="115"/>
      <c r="J1451" s="219"/>
      <c r="K1451" s="14"/>
      <c r="L1451" s="105"/>
      <c r="M1451" s="105"/>
      <c r="N1451" s="151"/>
      <c r="O1451" s="151"/>
      <c r="P1451" s="37" t="s">
        <v>1463</v>
      </c>
      <c r="Q1451" s="37"/>
      <c r="R1451" s="37"/>
      <c r="S1451" s="111" t="s">
        <v>3412</v>
      </c>
      <c r="T1451" s="15"/>
      <c r="U1451" s="23">
        <v>1</v>
      </c>
      <c r="V1451" s="23">
        <v>1</v>
      </c>
      <c r="W1451" s="73">
        <f t="shared" si="70"/>
        <v>97</v>
      </c>
      <c r="X1451" s="80">
        <f t="shared" si="71"/>
        <v>2392</v>
      </c>
      <c r="Y1451" s="82" t="s">
        <v>3584</v>
      </c>
      <c r="Z1451" s="24"/>
      <c r="AA1451" s="183"/>
      <c r="AB1451" s="183"/>
      <c r="AC1451" s="88"/>
      <c r="AD1451" s="88"/>
      <c r="AE1451" s="87"/>
      <c r="AF1451" s="15"/>
      <c r="AG1451" s="15"/>
      <c r="AH1451" s="15"/>
      <c r="AI1451" s="15"/>
      <c r="AJ1451" s="15"/>
      <c r="AK1451" s="15"/>
    </row>
    <row r="1452" spans="1:38" s="2" customFormat="1" ht="17.100000000000001" customHeight="1" x14ac:dyDescent="0.25">
      <c r="A1452" s="31" t="s">
        <v>595</v>
      </c>
      <c r="B1452" s="28" t="s">
        <v>269</v>
      </c>
      <c r="C1452" s="37" t="s">
        <v>1253</v>
      </c>
      <c r="D1452" s="37"/>
      <c r="E1452" s="37" t="s">
        <v>2832</v>
      </c>
      <c r="F1452" s="26" t="s">
        <v>2124</v>
      </c>
      <c r="G1452" s="27"/>
      <c r="H1452" s="38"/>
      <c r="I1452" s="115"/>
      <c r="J1452" s="219"/>
      <c r="K1452" s="14"/>
      <c r="L1452" s="105"/>
      <c r="M1452" s="105"/>
      <c r="N1452" s="151"/>
      <c r="O1452" s="151"/>
      <c r="P1452" s="37" t="s">
        <v>1463</v>
      </c>
      <c r="Q1452" s="37"/>
      <c r="R1452" s="37"/>
      <c r="S1452" s="111" t="s">
        <v>3412</v>
      </c>
      <c r="T1452" s="15"/>
      <c r="U1452" s="23">
        <v>1</v>
      </c>
      <c r="V1452" s="23">
        <v>1</v>
      </c>
      <c r="W1452" s="73">
        <f t="shared" si="70"/>
        <v>98</v>
      </c>
      <c r="X1452" s="80">
        <f t="shared" si="71"/>
        <v>2393</v>
      </c>
      <c r="Y1452" s="82" t="s">
        <v>3584</v>
      </c>
      <c r="Z1452" s="24"/>
      <c r="AA1452" s="183"/>
      <c r="AB1452" s="183"/>
      <c r="AC1452" s="88"/>
      <c r="AD1452" s="88"/>
      <c r="AE1452" s="87"/>
      <c r="AF1452" s="15"/>
      <c r="AG1452" s="15"/>
      <c r="AH1452" s="15"/>
      <c r="AI1452" s="15"/>
      <c r="AJ1452" s="15"/>
      <c r="AK1452" s="15"/>
    </row>
    <row r="1453" spans="1:38" s="2" customFormat="1" ht="17.100000000000001" customHeight="1" x14ac:dyDescent="0.25">
      <c r="A1453" s="31" t="s">
        <v>3815</v>
      </c>
      <c r="B1453" s="28" t="s">
        <v>379</v>
      </c>
      <c r="C1453" s="37" t="s">
        <v>1253</v>
      </c>
      <c r="D1453" s="37"/>
      <c r="E1453" s="37" t="s">
        <v>2832</v>
      </c>
      <c r="F1453" s="26" t="s">
        <v>2124</v>
      </c>
      <c r="G1453" s="26"/>
      <c r="H1453" s="38"/>
      <c r="I1453" s="115"/>
      <c r="J1453" s="219"/>
      <c r="K1453" s="14"/>
      <c r="L1453" s="105"/>
      <c r="M1453" s="105"/>
      <c r="N1453" s="151"/>
      <c r="O1453" s="151"/>
      <c r="P1453" s="37" t="s">
        <v>1935</v>
      </c>
      <c r="Q1453" s="37"/>
      <c r="R1453" s="37"/>
      <c r="S1453" s="111" t="s">
        <v>3412</v>
      </c>
      <c r="T1453" s="15"/>
      <c r="U1453" s="23">
        <v>1</v>
      </c>
      <c r="V1453" s="23">
        <v>1</v>
      </c>
      <c r="W1453" s="73">
        <f t="shared" si="70"/>
        <v>99</v>
      </c>
      <c r="X1453" s="80">
        <f t="shared" si="71"/>
        <v>2394</v>
      </c>
      <c r="Y1453" s="82" t="s">
        <v>3584</v>
      </c>
      <c r="Z1453" s="24"/>
      <c r="AA1453" s="183"/>
      <c r="AB1453" s="183"/>
      <c r="AC1453" s="88"/>
      <c r="AD1453" s="88"/>
      <c r="AE1453" s="87"/>
      <c r="AF1453" s="15"/>
      <c r="AG1453" s="15"/>
      <c r="AH1453" s="15"/>
      <c r="AI1453" s="15"/>
      <c r="AJ1453" s="15"/>
      <c r="AK1453" s="15"/>
    </row>
    <row r="1454" spans="1:38" s="2" customFormat="1" ht="17.100000000000001" customHeight="1" x14ac:dyDescent="0.25">
      <c r="A1454" s="31" t="s">
        <v>566</v>
      </c>
      <c r="B1454" s="28" t="s">
        <v>694</v>
      </c>
      <c r="C1454" s="37" t="s">
        <v>1253</v>
      </c>
      <c r="D1454" s="37"/>
      <c r="E1454" s="37" t="s">
        <v>2832</v>
      </c>
      <c r="F1454" s="26" t="s">
        <v>2124</v>
      </c>
      <c r="G1454" s="27"/>
      <c r="H1454" s="38"/>
      <c r="I1454" s="115"/>
      <c r="J1454" s="219"/>
      <c r="K1454" s="14"/>
      <c r="L1454" s="105"/>
      <c r="M1454" s="105"/>
      <c r="N1454" s="151"/>
      <c r="O1454" s="151"/>
      <c r="P1454" s="37" t="s">
        <v>1912</v>
      </c>
      <c r="Q1454" s="37"/>
      <c r="R1454" s="37"/>
      <c r="S1454" s="111" t="s">
        <v>3412</v>
      </c>
      <c r="T1454" s="15"/>
      <c r="U1454" s="23">
        <v>1</v>
      </c>
      <c r="V1454" s="23">
        <v>1</v>
      </c>
      <c r="W1454" s="73">
        <f t="shared" si="70"/>
        <v>100</v>
      </c>
      <c r="X1454" s="80">
        <f t="shared" si="71"/>
        <v>2395</v>
      </c>
      <c r="Y1454" s="82" t="s">
        <v>3584</v>
      </c>
      <c r="Z1454" s="24"/>
      <c r="AA1454" s="183"/>
      <c r="AB1454" s="183"/>
      <c r="AC1454" s="88"/>
      <c r="AD1454" s="88"/>
      <c r="AE1454" s="87"/>
      <c r="AF1454" s="15"/>
      <c r="AG1454" s="15"/>
      <c r="AH1454" s="15"/>
      <c r="AI1454" s="15"/>
      <c r="AJ1454" s="15"/>
      <c r="AK1454" s="15"/>
    </row>
    <row r="1455" spans="1:38" s="2" customFormat="1" ht="17.100000000000001" customHeight="1" x14ac:dyDescent="0.25">
      <c r="A1455" s="31" t="s">
        <v>690</v>
      </c>
      <c r="B1455" s="28" t="s">
        <v>691</v>
      </c>
      <c r="C1455" s="37" t="s">
        <v>1253</v>
      </c>
      <c r="D1455" s="37"/>
      <c r="E1455" s="37" t="s">
        <v>2832</v>
      </c>
      <c r="F1455" s="26" t="s">
        <v>2124</v>
      </c>
      <c r="G1455" s="26"/>
      <c r="H1455" s="38" t="s">
        <v>7164</v>
      </c>
      <c r="I1455" s="115"/>
      <c r="J1455" s="219"/>
      <c r="K1455" s="14"/>
      <c r="L1455" s="105"/>
      <c r="M1455" s="105"/>
      <c r="N1455" s="151"/>
      <c r="O1455" s="151"/>
      <c r="P1455" s="37" t="s">
        <v>670</v>
      </c>
      <c r="Q1455" s="37"/>
      <c r="R1455" s="37"/>
      <c r="S1455" s="111" t="s">
        <v>3412</v>
      </c>
      <c r="T1455" s="15"/>
      <c r="U1455" s="23">
        <v>1</v>
      </c>
      <c r="V1455" s="23">
        <v>1</v>
      </c>
      <c r="W1455" s="73">
        <f t="shared" si="70"/>
        <v>101</v>
      </c>
      <c r="X1455" s="80">
        <f t="shared" si="71"/>
        <v>2396</v>
      </c>
      <c r="Y1455" s="82" t="s">
        <v>3584</v>
      </c>
      <c r="Z1455" s="24"/>
      <c r="AA1455" s="183"/>
      <c r="AB1455" s="183"/>
      <c r="AC1455" s="88"/>
      <c r="AD1455" s="88"/>
      <c r="AE1455" s="87"/>
      <c r="AF1455" s="15"/>
      <c r="AG1455" s="15"/>
      <c r="AH1455" s="15"/>
      <c r="AI1455" s="15"/>
      <c r="AJ1455" s="15"/>
      <c r="AK1455" s="15"/>
    </row>
    <row r="1456" spans="1:38" s="2" customFormat="1" ht="17.100000000000001" customHeight="1" x14ac:dyDescent="0.3">
      <c r="A1456" s="31" t="s">
        <v>786</v>
      </c>
      <c r="B1456" s="28" t="s">
        <v>787</v>
      </c>
      <c r="C1456" s="37" t="s">
        <v>1253</v>
      </c>
      <c r="D1456" s="37"/>
      <c r="E1456" s="37" t="s">
        <v>2832</v>
      </c>
      <c r="F1456" s="26" t="s">
        <v>2124</v>
      </c>
      <c r="G1456" s="26"/>
      <c r="H1456" s="38"/>
      <c r="I1456" s="115"/>
      <c r="J1456" s="219"/>
      <c r="K1456" s="14"/>
      <c r="L1456" s="105"/>
      <c r="M1456" s="105"/>
      <c r="N1456" s="151"/>
      <c r="O1456" s="151"/>
      <c r="P1456" s="37" t="s">
        <v>1911</v>
      </c>
      <c r="Q1456" s="37"/>
      <c r="R1456" s="37"/>
      <c r="S1456" s="111" t="s">
        <v>3412</v>
      </c>
      <c r="T1456" s="15"/>
      <c r="U1456" s="23">
        <v>1</v>
      </c>
      <c r="V1456" s="23">
        <v>1</v>
      </c>
      <c r="W1456" s="73">
        <f t="shared" si="70"/>
        <v>102</v>
      </c>
      <c r="X1456" s="80">
        <f t="shared" si="71"/>
        <v>2397</v>
      </c>
      <c r="Y1456" s="82" t="s">
        <v>3584</v>
      </c>
      <c r="Z1456" s="24"/>
      <c r="AA1456" s="183"/>
      <c r="AB1456" s="183"/>
      <c r="AC1456" s="88"/>
      <c r="AD1456" s="88"/>
      <c r="AE1456" s="87"/>
      <c r="AF1456" s="15"/>
      <c r="AG1456" s="15"/>
      <c r="AH1456" s="15"/>
      <c r="AI1456" s="15"/>
      <c r="AJ1456" s="15"/>
      <c r="AK1456" s="15"/>
      <c r="AL1456" s="3"/>
    </row>
    <row r="1457" spans="1:38" s="2" customFormat="1" ht="17.100000000000001" customHeight="1" x14ac:dyDescent="0.25">
      <c r="A1457" s="31" t="s">
        <v>697</v>
      </c>
      <c r="B1457" s="28" t="s">
        <v>785</v>
      </c>
      <c r="C1457" s="37" t="s">
        <v>1253</v>
      </c>
      <c r="D1457" s="37"/>
      <c r="E1457" s="37" t="s">
        <v>2832</v>
      </c>
      <c r="F1457" s="26" t="s">
        <v>2124</v>
      </c>
      <c r="G1457" s="27"/>
      <c r="H1457" s="38"/>
      <c r="I1457" s="115"/>
      <c r="J1457" s="219"/>
      <c r="K1457" s="14"/>
      <c r="L1457" s="105"/>
      <c r="M1457" s="105"/>
      <c r="N1457" s="151"/>
      <c r="O1457" s="151"/>
      <c r="P1457" s="37" t="s">
        <v>1911</v>
      </c>
      <c r="Q1457" s="37"/>
      <c r="R1457" s="37"/>
      <c r="S1457" s="111" t="s">
        <v>3412</v>
      </c>
      <c r="T1457" s="15"/>
      <c r="U1457" s="23">
        <v>1</v>
      </c>
      <c r="V1457" s="23">
        <v>1</v>
      </c>
      <c r="W1457" s="73">
        <f t="shared" si="70"/>
        <v>103</v>
      </c>
      <c r="X1457" s="80">
        <f t="shared" si="71"/>
        <v>2398</v>
      </c>
      <c r="Y1457" s="82" t="s">
        <v>3584</v>
      </c>
      <c r="Z1457" s="24"/>
      <c r="AA1457" s="183"/>
      <c r="AB1457" s="183"/>
      <c r="AC1457" s="88"/>
      <c r="AD1457" s="88"/>
      <c r="AE1457" s="87"/>
      <c r="AF1457" s="15"/>
      <c r="AG1457" s="15"/>
      <c r="AH1457" s="15"/>
      <c r="AI1457" s="15"/>
      <c r="AJ1457" s="15"/>
      <c r="AK1457" s="15"/>
    </row>
    <row r="1458" spans="1:38" s="2" customFormat="1" ht="17.100000000000001" customHeight="1" x14ac:dyDescent="0.25">
      <c r="A1458" s="31" t="s">
        <v>277</v>
      </c>
      <c r="B1458" s="28" t="s">
        <v>369</v>
      </c>
      <c r="C1458" s="37" t="s">
        <v>1253</v>
      </c>
      <c r="D1458" s="37"/>
      <c r="E1458" s="37" t="s">
        <v>2832</v>
      </c>
      <c r="F1458" s="26" t="s">
        <v>2125</v>
      </c>
      <c r="G1458" s="26"/>
      <c r="H1458" s="38"/>
      <c r="I1458" s="115"/>
      <c r="J1458" s="219"/>
      <c r="K1458" s="14"/>
      <c r="L1458" s="105"/>
      <c r="M1458" s="105"/>
      <c r="N1458" s="151"/>
      <c r="O1458" s="151"/>
      <c r="P1458" s="37" t="s">
        <v>1463</v>
      </c>
      <c r="Q1458" s="37"/>
      <c r="R1458" s="37"/>
      <c r="S1458" s="111" t="s">
        <v>3412</v>
      </c>
      <c r="T1458" s="15"/>
      <c r="U1458" s="23">
        <v>1</v>
      </c>
      <c r="V1458" s="23">
        <v>1</v>
      </c>
      <c r="W1458" s="73">
        <f t="shared" si="70"/>
        <v>104</v>
      </c>
      <c r="X1458" s="80">
        <f t="shared" si="71"/>
        <v>2399</v>
      </c>
      <c r="Y1458" s="82" t="s">
        <v>3584</v>
      </c>
      <c r="Z1458" s="24"/>
      <c r="AA1458" s="183"/>
      <c r="AB1458" s="183"/>
      <c r="AC1458" s="88"/>
      <c r="AD1458" s="88"/>
      <c r="AE1458" s="87"/>
      <c r="AF1458" s="15"/>
      <c r="AG1458" s="15"/>
      <c r="AH1458" s="15"/>
      <c r="AI1458" s="15"/>
      <c r="AJ1458" s="15"/>
      <c r="AK1458" s="15"/>
    </row>
    <row r="1459" spans="1:38" s="2" customFormat="1" ht="17.100000000000001" customHeight="1" x14ac:dyDescent="0.25">
      <c r="A1459" s="31" t="s">
        <v>572</v>
      </c>
      <c r="B1459" s="28" t="s">
        <v>573</v>
      </c>
      <c r="C1459" s="37" t="s">
        <v>1253</v>
      </c>
      <c r="D1459" s="37"/>
      <c r="E1459" s="37" t="s">
        <v>2832</v>
      </c>
      <c r="F1459" s="26" t="s">
        <v>2125</v>
      </c>
      <c r="G1459" s="26"/>
      <c r="H1459" s="38"/>
      <c r="I1459" s="115"/>
      <c r="J1459" s="219"/>
      <c r="K1459" s="14"/>
      <c r="L1459" s="105"/>
      <c r="M1459" s="105"/>
      <c r="N1459" s="151"/>
      <c r="O1459" s="151"/>
      <c r="P1459" s="37" t="s">
        <v>1463</v>
      </c>
      <c r="Q1459" s="37"/>
      <c r="R1459" s="37"/>
      <c r="S1459" s="111" t="s">
        <v>3412</v>
      </c>
      <c r="T1459" s="15"/>
      <c r="U1459" s="23">
        <v>1</v>
      </c>
      <c r="V1459" s="23">
        <v>1</v>
      </c>
      <c r="W1459" s="73">
        <f t="shared" si="70"/>
        <v>105</v>
      </c>
      <c r="X1459" s="80">
        <f t="shared" si="71"/>
        <v>2400</v>
      </c>
      <c r="Y1459" s="82" t="s">
        <v>3584</v>
      </c>
      <c r="Z1459" s="24"/>
      <c r="AA1459" s="183"/>
      <c r="AB1459" s="183"/>
      <c r="AC1459" s="88"/>
      <c r="AD1459" s="88"/>
      <c r="AE1459" s="87"/>
      <c r="AF1459" s="15"/>
      <c r="AG1459" s="15"/>
      <c r="AH1459" s="15"/>
      <c r="AI1459" s="15"/>
      <c r="AJ1459" s="15"/>
      <c r="AK1459" s="15"/>
    </row>
    <row r="1460" spans="1:38" s="2" customFormat="1" ht="17.100000000000001" customHeight="1" x14ac:dyDescent="0.3">
      <c r="A1460" s="31" t="s">
        <v>358</v>
      </c>
      <c r="B1460" s="28" t="s">
        <v>6453</v>
      </c>
      <c r="C1460" s="37" t="s">
        <v>1253</v>
      </c>
      <c r="D1460" s="37"/>
      <c r="E1460" s="37" t="s">
        <v>2832</v>
      </c>
      <c r="F1460" s="26" t="s">
        <v>2125</v>
      </c>
      <c r="G1460" s="26"/>
      <c r="H1460" s="38"/>
      <c r="I1460" s="115"/>
      <c r="J1460" s="219"/>
      <c r="K1460" s="14"/>
      <c r="L1460" s="105"/>
      <c r="M1460" s="105"/>
      <c r="N1460" s="151"/>
      <c r="O1460" s="151"/>
      <c r="P1460" s="37" t="s">
        <v>1463</v>
      </c>
      <c r="Q1460" s="37"/>
      <c r="R1460" s="37"/>
      <c r="S1460" s="111" t="s">
        <v>3412</v>
      </c>
      <c r="T1460" s="15"/>
      <c r="U1460" s="23">
        <v>2</v>
      </c>
      <c r="V1460" s="23">
        <v>2</v>
      </c>
      <c r="W1460" s="73">
        <f t="shared" si="70"/>
        <v>107</v>
      </c>
      <c r="X1460" s="80">
        <f t="shared" si="71"/>
        <v>2402</v>
      </c>
      <c r="Y1460" s="82" t="s">
        <v>3584</v>
      </c>
      <c r="Z1460" s="24"/>
      <c r="AA1460" s="183"/>
      <c r="AB1460" s="183"/>
      <c r="AC1460" s="88"/>
      <c r="AD1460" s="88"/>
      <c r="AE1460" s="87"/>
      <c r="AF1460" s="15"/>
      <c r="AG1460" s="15"/>
      <c r="AH1460" s="15"/>
      <c r="AI1460" s="15"/>
      <c r="AJ1460" s="15"/>
      <c r="AK1460" s="15"/>
      <c r="AL1460" s="3"/>
    </row>
    <row r="1461" spans="1:38" s="2" customFormat="1" ht="17.100000000000001" customHeight="1" x14ac:dyDescent="0.3">
      <c r="A1461" s="31" t="s">
        <v>357</v>
      </c>
      <c r="B1461" s="28" t="s">
        <v>1807</v>
      </c>
      <c r="C1461" s="37" t="s">
        <v>1253</v>
      </c>
      <c r="D1461" s="37"/>
      <c r="E1461" s="37" t="s">
        <v>2832</v>
      </c>
      <c r="F1461" s="26" t="s">
        <v>2125</v>
      </c>
      <c r="G1461" s="26"/>
      <c r="H1461" s="38"/>
      <c r="I1461" s="115"/>
      <c r="J1461" s="219"/>
      <c r="K1461" s="14"/>
      <c r="L1461" s="104"/>
      <c r="M1461" s="104"/>
      <c r="N1461" s="151"/>
      <c r="O1461" s="151"/>
      <c r="P1461" s="37" t="s">
        <v>670</v>
      </c>
      <c r="Q1461" s="37"/>
      <c r="R1461" s="37"/>
      <c r="S1461" s="111" t="s">
        <v>3412</v>
      </c>
      <c r="T1461" s="15"/>
      <c r="U1461" s="23">
        <v>2</v>
      </c>
      <c r="V1461" s="23">
        <v>2</v>
      </c>
      <c r="W1461" s="73">
        <f t="shared" si="70"/>
        <v>109</v>
      </c>
      <c r="X1461" s="80">
        <f t="shared" si="71"/>
        <v>2404</v>
      </c>
      <c r="Y1461" s="82" t="s">
        <v>3584</v>
      </c>
      <c r="Z1461" s="24"/>
      <c r="AA1461" s="183"/>
      <c r="AB1461" s="183"/>
      <c r="AC1461" s="88"/>
      <c r="AD1461" s="88"/>
      <c r="AE1461" s="87"/>
      <c r="AF1461" s="15"/>
      <c r="AG1461" s="15"/>
      <c r="AH1461" s="15"/>
      <c r="AI1461" s="15"/>
      <c r="AJ1461" s="15"/>
      <c r="AK1461" s="15"/>
      <c r="AL1461" s="3"/>
    </row>
    <row r="1462" spans="1:38" s="2" customFormat="1" ht="17.100000000000001" customHeight="1" x14ac:dyDescent="0.25">
      <c r="A1462" s="31" t="s">
        <v>6452</v>
      </c>
      <c r="B1462" s="28" t="s">
        <v>827</v>
      </c>
      <c r="C1462" s="37" t="s">
        <v>1253</v>
      </c>
      <c r="D1462" s="37"/>
      <c r="E1462" s="37" t="s">
        <v>2832</v>
      </c>
      <c r="F1462" s="26" t="s">
        <v>2125</v>
      </c>
      <c r="G1462" s="26"/>
      <c r="H1462" s="38"/>
      <c r="I1462" s="115"/>
      <c r="J1462" s="219"/>
      <c r="K1462" s="14"/>
      <c r="L1462" s="105"/>
      <c r="M1462" s="105"/>
      <c r="N1462" s="151"/>
      <c r="O1462" s="151"/>
      <c r="P1462" s="37" t="s">
        <v>51</v>
      </c>
      <c r="Q1462" s="37"/>
      <c r="R1462" s="37"/>
      <c r="S1462" s="111" t="s">
        <v>3412</v>
      </c>
      <c r="T1462" s="15"/>
      <c r="U1462" s="23">
        <v>1</v>
      </c>
      <c r="V1462" s="23">
        <v>1</v>
      </c>
      <c r="W1462" s="73">
        <f t="shared" si="70"/>
        <v>110</v>
      </c>
      <c r="X1462" s="80">
        <f t="shared" si="71"/>
        <v>2405</v>
      </c>
      <c r="Y1462" s="82" t="s">
        <v>3584</v>
      </c>
      <c r="Z1462" s="24"/>
      <c r="AA1462" s="183"/>
      <c r="AB1462" s="183"/>
      <c r="AC1462" s="88"/>
      <c r="AD1462" s="88"/>
      <c r="AE1462" s="87"/>
      <c r="AF1462" s="15"/>
      <c r="AG1462" s="15"/>
      <c r="AH1462" s="15"/>
      <c r="AI1462" s="15"/>
      <c r="AJ1462" s="15"/>
      <c r="AK1462" s="15"/>
    </row>
    <row r="1463" spans="1:38" s="2" customFormat="1" ht="17.100000000000001" customHeight="1" x14ac:dyDescent="0.25">
      <c r="A1463" s="31" t="s">
        <v>362</v>
      </c>
      <c r="B1463" s="28" t="s">
        <v>275</v>
      </c>
      <c r="C1463" s="37" t="s">
        <v>1253</v>
      </c>
      <c r="D1463" s="37"/>
      <c r="E1463" s="37" t="s">
        <v>2832</v>
      </c>
      <c r="F1463" s="26" t="s">
        <v>2125</v>
      </c>
      <c r="G1463" s="26"/>
      <c r="H1463" s="38"/>
      <c r="I1463" s="115"/>
      <c r="J1463" s="219"/>
      <c r="K1463" s="14"/>
      <c r="L1463" s="105"/>
      <c r="M1463" s="105"/>
      <c r="N1463" s="151"/>
      <c r="O1463" s="151"/>
      <c r="P1463" s="37" t="s">
        <v>1935</v>
      </c>
      <c r="Q1463" s="37"/>
      <c r="R1463" s="37"/>
      <c r="S1463" s="111" t="s">
        <v>3412</v>
      </c>
      <c r="T1463" s="15"/>
      <c r="U1463" s="23">
        <v>1</v>
      </c>
      <c r="V1463" s="23">
        <v>1</v>
      </c>
      <c r="W1463" s="73">
        <f t="shared" si="70"/>
        <v>111</v>
      </c>
      <c r="X1463" s="80">
        <f t="shared" si="71"/>
        <v>2406</v>
      </c>
      <c r="Y1463" s="82" t="s">
        <v>3584</v>
      </c>
      <c r="Z1463" s="24"/>
      <c r="AA1463" s="183"/>
      <c r="AB1463" s="183"/>
      <c r="AC1463" s="88"/>
      <c r="AD1463" s="88"/>
      <c r="AE1463" s="87"/>
      <c r="AF1463" s="15"/>
      <c r="AG1463" s="15"/>
      <c r="AH1463" s="15"/>
      <c r="AI1463" s="15"/>
      <c r="AJ1463" s="15"/>
      <c r="AK1463" s="15"/>
    </row>
    <row r="1464" spans="1:38" s="2" customFormat="1" ht="17.100000000000001" customHeight="1" x14ac:dyDescent="0.3">
      <c r="A1464" s="31" t="s">
        <v>276</v>
      </c>
      <c r="B1464" s="28" t="s">
        <v>785</v>
      </c>
      <c r="C1464" s="37" t="s">
        <v>1253</v>
      </c>
      <c r="D1464" s="37"/>
      <c r="E1464" s="37" t="s">
        <v>2832</v>
      </c>
      <c r="F1464" s="26" t="s">
        <v>2125</v>
      </c>
      <c r="G1464" s="26"/>
      <c r="H1464" s="38"/>
      <c r="I1464" s="115"/>
      <c r="J1464" s="219"/>
      <c r="K1464" s="14"/>
      <c r="L1464" s="105"/>
      <c r="M1464" s="105"/>
      <c r="N1464" s="151"/>
      <c r="O1464" s="151"/>
      <c r="P1464" s="37" t="s">
        <v>1911</v>
      </c>
      <c r="Q1464" s="37"/>
      <c r="R1464" s="37"/>
      <c r="S1464" s="111" t="s">
        <v>3412</v>
      </c>
      <c r="T1464" s="15"/>
      <c r="U1464" s="23">
        <v>1</v>
      </c>
      <c r="V1464" s="23">
        <v>1</v>
      </c>
      <c r="W1464" s="73">
        <f t="shared" si="70"/>
        <v>112</v>
      </c>
      <c r="X1464" s="80">
        <f t="shared" si="71"/>
        <v>2407</v>
      </c>
      <c r="Y1464" s="82" t="s">
        <v>3584</v>
      </c>
      <c r="Z1464" s="24"/>
      <c r="AA1464" s="183"/>
      <c r="AB1464" s="183"/>
      <c r="AC1464" s="88"/>
      <c r="AD1464" s="88"/>
      <c r="AE1464" s="87"/>
      <c r="AF1464" s="15"/>
      <c r="AG1464" s="15"/>
      <c r="AH1464" s="15"/>
      <c r="AI1464" s="15"/>
      <c r="AJ1464" s="15"/>
      <c r="AK1464" s="15"/>
      <c r="AL1464" s="3"/>
    </row>
    <row r="1465" spans="1:38" s="2" customFormat="1" ht="17.100000000000001" customHeight="1" x14ac:dyDescent="0.3">
      <c r="A1465" s="31" t="s">
        <v>574</v>
      </c>
      <c r="B1465" s="28" t="s">
        <v>264</v>
      </c>
      <c r="C1465" s="37" t="s">
        <v>1253</v>
      </c>
      <c r="D1465" s="37"/>
      <c r="E1465" s="37" t="s">
        <v>2832</v>
      </c>
      <c r="F1465" s="26" t="s">
        <v>2125</v>
      </c>
      <c r="G1465" s="26"/>
      <c r="H1465" s="38"/>
      <c r="I1465" s="115"/>
      <c r="J1465" s="219"/>
      <c r="K1465" s="14"/>
      <c r="L1465" s="105"/>
      <c r="M1465" s="105"/>
      <c r="N1465" s="151"/>
      <c r="O1465" s="151"/>
      <c r="P1465" s="37" t="s">
        <v>1935</v>
      </c>
      <c r="Q1465" s="37"/>
      <c r="R1465" s="37"/>
      <c r="S1465" s="111" t="s">
        <v>3412</v>
      </c>
      <c r="T1465" s="15"/>
      <c r="U1465" s="23">
        <v>2</v>
      </c>
      <c r="V1465" s="23">
        <v>2</v>
      </c>
      <c r="W1465" s="73">
        <f t="shared" si="70"/>
        <v>114</v>
      </c>
      <c r="X1465" s="80">
        <f t="shared" si="71"/>
        <v>2409</v>
      </c>
      <c r="Y1465" s="82" t="s">
        <v>3584</v>
      </c>
      <c r="Z1465" s="24"/>
      <c r="AA1465" s="183"/>
      <c r="AB1465" s="183"/>
      <c r="AC1465" s="88"/>
      <c r="AD1465" s="88"/>
      <c r="AE1465" s="87"/>
      <c r="AF1465" s="15"/>
      <c r="AG1465" s="15"/>
      <c r="AH1465" s="15"/>
      <c r="AI1465" s="15"/>
      <c r="AJ1465" s="15"/>
      <c r="AK1465" s="15"/>
      <c r="AL1465" s="3"/>
    </row>
    <row r="1466" spans="1:38" s="2" customFormat="1" ht="17.100000000000001" customHeight="1" x14ac:dyDescent="0.3">
      <c r="A1466" s="31" t="s">
        <v>583</v>
      </c>
      <c r="B1466" s="28" t="s">
        <v>369</v>
      </c>
      <c r="C1466" s="37" t="s">
        <v>1253</v>
      </c>
      <c r="D1466" s="37"/>
      <c r="E1466" s="37" t="s">
        <v>2832</v>
      </c>
      <c r="F1466" s="26" t="s">
        <v>2125</v>
      </c>
      <c r="G1466" s="26"/>
      <c r="H1466" s="38"/>
      <c r="I1466" s="115"/>
      <c r="J1466" s="219"/>
      <c r="K1466" s="14"/>
      <c r="L1466" s="105"/>
      <c r="M1466" s="105"/>
      <c r="N1466" s="151"/>
      <c r="O1466" s="151"/>
      <c r="P1466" s="37" t="s">
        <v>1463</v>
      </c>
      <c r="Q1466" s="37"/>
      <c r="R1466" s="37"/>
      <c r="S1466" s="111" t="s">
        <v>3412</v>
      </c>
      <c r="T1466" s="15"/>
      <c r="U1466" s="23">
        <v>1</v>
      </c>
      <c r="V1466" s="23">
        <v>1</v>
      </c>
      <c r="W1466" s="73">
        <f t="shared" si="70"/>
        <v>115</v>
      </c>
      <c r="X1466" s="80">
        <f t="shared" si="71"/>
        <v>2410</v>
      </c>
      <c r="Y1466" s="82" t="s">
        <v>3584</v>
      </c>
      <c r="Z1466" s="24"/>
      <c r="AA1466" s="183"/>
      <c r="AB1466" s="183"/>
      <c r="AC1466" s="88"/>
      <c r="AD1466" s="88"/>
      <c r="AE1466" s="87"/>
      <c r="AF1466" s="15"/>
      <c r="AG1466" s="15"/>
      <c r="AH1466" s="15"/>
      <c r="AI1466" s="15"/>
      <c r="AJ1466" s="15"/>
      <c r="AK1466" s="15"/>
      <c r="AL1466" s="3"/>
    </row>
    <row r="1467" spans="1:38" s="2" customFormat="1" ht="17.100000000000001" customHeight="1" x14ac:dyDescent="0.25">
      <c r="A1467" s="31" t="s">
        <v>373</v>
      </c>
      <c r="B1467" s="28" t="s">
        <v>374</v>
      </c>
      <c r="C1467" s="37" t="s">
        <v>1253</v>
      </c>
      <c r="D1467" s="37"/>
      <c r="E1467" s="37" t="s">
        <v>2832</v>
      </c>
      <c r="F1467" s="26" t="s">
        <v>2123</v>
      </c>
      <c r="G1467" s="26"/>
      <c r="H1467" s="38"/>
      <c r="I1467" s="115"/>
      <c r="J1467" s="219"/>
      <c r="K1467" s="14"/>
      <c r="L1467" s="105"/>
      <c r="M1467" s="105"/>
      <c r="N1467" s="151"/>
      <c r="O1467" s="151"/>
      <c r="P1467" s="37" t="s">
        <v>1463</v>
      </c>
      <c r="Q1467" s="37"/>
      <c r="R1467" s="37"/>
      <c r="S1467" s="111" t="s">
        <v>3412</v>
      </c>
      <c r="T1467" s="15"/>
      <c r="U1467" s="23">
        <v>1</v>
      </c>
      <c r="V1467" s="23">
        <v>1</v>
      </c>
      <c r="W1467" s="73">
        <f t="shared" si="70"/>
        <v>116</v>
      </c>
      <c r="X1467" s="80">
        <f t="shared" si="71"/>
        <v>2411</v>
      </c>
      <c r="Y1467" s="82" t="s">
        <v>3584</v>
      </c>
      <c r="Z1467" s="24"/>
      <c r="AA1467" s="183"/>
      <c r="AB1467" s="183"/>
      <c r="AC1467" s="88"/>
      <c r="AD1467" s="88"/>
      <c r="AE1467" s="87"/>
      <c r="AF1467" s="15"/>
      <c r="AG1467" s="15"/>
      <c r="AH1467" s="15"/>
      <c r="AI1467" s="15"/>
      <c r="AJ1467" s="15"/>
      <c r="AK1467" s="15"/>
    </row>
    <row r="1468" spans="1:38" s="2" customFormat="1" ht="17.100000000000001" customHeight="1" x14ac:dyDescent="0.25">
      <c r="A1468" s="31" t="s">
        <v>63</v>
      </c>
      <c r="B1468" s="28" t="s">
        <v>64</v>
      </c>
      <c r="C1468" s="37" t="s">
        <v>1253</v>
      </c>
      <c r="D1468" s="37"/>
      <c r="E1468" s="37" t="s">
        <v>2832</v>
      </c>
      <c r="F1468" s="26" t="s">
        <v>2123</v>
      </c>
      <c r="G1468" s="26"/>
      <c r="H1468" s="38"/>
      <c r="I1468" s="115"/>
      <c r="J1468" s="219" t="s">
        <v>4457</v>
      </c>
      <c r="K1468" s="14" t="s">
        <v>5135</v>
      </c>
      <c r="L1468" s="105"/>
      <c r="M1468" s="105"/>
      <c r="N1468" s="151"/>
      <c r="O1468" s="151"/>
      <c r="P1468" s="37" t="s">
        <v>1463</v>
      </c>
      <c r="Q1468" s="37"/>
      <c r="R1468" s="37"/>
      <c r="S1468" s="111" t="s">
        <v>3412</v>
      </c>
      <c r="T1468" s="15"/>
      <c r="U1468" s="23">
        <v>1</v>
      </c>
      <c r="V1468" s="23">
        <v>1</v>
      </c>
      <c r="W1468" s="73">
        <f t="shared" si="70"/>
        <v>117</v>
      </c>
      <c r="X1468" s="80">
        <f t="shared" si="71"/>
        <v>2412</v>
      </c>
      <c r="Y1468" s="82" t="s">
        <v>3584</v>
      </c>
      <c r="Z1468" s="24"/>
      <c r="AA1468" s="183"/>
      <c r="AB1468" s="183"/>
      <c r="AC1468" s="88"/>
      <c r="AD1468" s="88"/>
      <c r="AE1468" s="87"/>
      <c r="AF1468" s="15"/>
      <c r="AG1468" s="15"/>
      <c r="AH1468" s="15"/>
      <c r="AI1468" s="15"/>
      <c r="AJ1468" s="15"/>
      <c r="AK1468" s="15"/>
    </row>
    <row r="1469" spans="1:38" s="2" customFormat="1" ht="17.100000000000001" customHeight="1" x14ac:dyDescent="0.25">
      <c r="A1469" s="31" t="s">
        <v>375</v>
      </c>
      <c r="B1469" s="28" t="s">
        <v>275</v>
      </c>
      <c r="C1469" s="37" t="s">
        <v>1253</v>
      </c>
      <c r="D1469" s="37"/>
      <c r="E1469" s="37" t="s">
        <v>2832</v>
      </c>
      <c r="F1469" s="26" t="s">
        <v>2125</v>
      </c>
      <c r="G1469" s="26"/>
      <c r="H1469" s="38"/>
      <c r="I1469" s="115"/>
      <c r="J1469" s="219"/>
      <c r="K1469" s="14"/>
      <c r="L1469" s="105"/>
      <c r="M1469" s="105"/>
      <c r="N1469" s="151"/>
      <c r="O1469" s="151"/>
      <c r="P1469" s="37" t="s">
        <v>1935</v>
      </c>
      <c r="Q1469" s="37"/>
      <c r="R1469" s="37"/>
      <c r="S1469" s="111" t="s">
        <v>3412</v>
      </c>
      <c r="T1469" s="15"/>
      <c r="U1469" s="23">
        <v>1</v>
      </c>
      <c r="V1469" s="23">
        <v>1</v>
      </c>
      <c r="W1469" s="73">
        <f t="shared" si="70"/>
        <v>118</v>
      </c>
      <c r="X1469" s="80">
        <f t="shared" si="71"/>
        <v>2413</v>
      </c>
      <c r="Y1469" s="82" t="s">
        <v>3584</v>
      </c>
      <c r="Z1469" s="24"/>
      <c r="AA1469" s="183"/>
      <c r="AB1469" s="183"/>
      <c r="AC1469" s="88"/>
      <c r="AD1469" s="88"/>
      <c r="AE1469" s="87"/>
      <c r="AF1469" s="15"/>
      <c r="AG1469" s="15"/>
      <c r="AH1469" s="15"/>
      <c r="AI1469" s="15"/>
      <c r="AJ1469" s="15"/>
      <c r="AK1469" s="15"/>
    </row>
    <row r="1470" spans="1:38" s="2" customFormat="1" ht="17.100000000000001" customHeight="1" x14ac:dyDescent="0.25">
      <c r="A1470" s="31" t="s">
        <v>3710</v>
      </c>
      <c r="B1470" s="28" t="s">
        <v>4846</v>
      </c>
      <c r="C1470" s="37" t="s">
        <v>1253</v>
      </c>
      <c r="D1470" s="37"/>
      <c r="E1470" s="37" t="s">
        <v>2832</v>
      </c>
      <c r="F1470" s="26" t="s">
        <v>2123</v>
      </c>
      <c r="G1470" s="26"/>
      <c r="H1470" s="38"/>
      <c r="I1470" s="115"/>
      <c r="J1470" s="219" t="s">
        <v>3690</v>
      </c>
      <c r="K1470" s="14" t="s">
        <v>3685</v>
      </c>
      <c r="L1470" s="105"/>
      <c r="M1470" s="105"/>
      <c r="N1470" s="151"/>
      <c r="O1470" s="151"/>
      <c r="P1470" s="37" t="s">
        <v>1463</v>
      </c>
      <c r="Q1470" s="37"/>
      <c r="R1470" s="37"/>
      <c r="S1470" s="111" t="s">
        <v>3412</v>
      </c>
      <c r="T1470" s="15"/>
      <c r="U1470" s="23">
        <v>2</v>
      </c>
      <c r="V1470" s="23">
        <v>2</v>
      </c>
      <c r="W1470" s="73">
        <f t="shared" si="70"/>
        <v>120</v>
      </c>
      <c r="X1470" s="80">
        <f t="shared" si="71"/>
        <v>2415</v>
      </c>
      <c r="Y1470" s="82" t="s">
        <v>3584</v>
      </c>
      <c r="Z1470" s="24"/>
      <c r="AA1470" s="183"/>
      <c r="AB1470" s="183"/>
      <c r="AC1470" s="88"/>
      <c r="AD1470" s="88"/>
      <c r="AE1470" s="87"/>
      <c r="AF1470" s="15"/>
      <c r="AG1470" s="15"/>
      <c r="AH1470" s="15"/>
      <c r="AI1470" s="15"/>
      <c r="AJ1470" s="15"/>
      <c r="AK1470" s="15"/>
    </row>
    <row r="1471" spans="1:38" s="2" customFormat="1" ht="17.100000000000001" customHeight="1" x14ac:dyDescent="0.25">
      <c r="A1471" s="31" t="s">
        <v>370</v>
      </c>
      <c r="B1471" s="28" t="s">
        <v>4845</v>
      </c>
      <c r="C1471" s="37" t="s">
        <v>1253</v>
      </c>
      <c r="D1471" s="37"/>
      <c r="E1471" s="37" t="s">
        <v>2832</v>
      </c>
      <c r="F1471" s="26" t="s">
        <v>2123</v>
      </c>
      <c r="G1471" s="26"/>
      <c r="H1471" s="38"/>
      <c r="I1471" s="115"/>
      <c r="J1471" s="219" t="s">
        <v>5134</v>
      </c>
      <c r="K1471" s="14" t="s">
        <v>5137</v>
      </c>
      <c r="L1471" s="105"/>
      <c r="M1471" s="105"/>
      <c r="N1471" s="151"/>
      <c r="O1471" s="151"/>
      <c r="P1471" s="37" t="s">
        <v>1463</v>
      </c>
      <c r="Q1471" s="37"/>
      <c r="R1471" s="37"/>
      <c r="S1471" s="111" t="s">
        <v>3412</v>
      </c>
      <c r="T1471" s="15"/>
      <c r="U1471" s="23">
        <v>2</v>
      </c>
      <c r="V1471" s="23">
        <v>2</v>
      </c>
      <c r="W1471" s="73">
        <f t="shared" si="70"/>
        <v>122</v>
      </c>
      <c r="X1471" s="80">
        <f t="shared" si="71"/>
        <v>2417</v>
      </c>
      <c r="Y1471" s="82" t="s">
        <v>3584</v>
      </c>
      <c r="Z1471" s="24"/>
      <c r="AA1471" s="183"/>
      <c r="AB1471" s="183"/>
      <c r="AC1471" s="88"/>
      <c r="AD1471" s="88"/>
      <c r="AE1471" s="87"/>
      <c r="AF1471" s="15"/>
      <c r="AG1471" s="15"/>
      <c r="AH1471" s="15"/>
      <c r="AI1471" s="15"/>
      <c r="AJ1471" s="15"/>
      <c r="AK1471" s="15"/>
    </row>
    <row r="1472" spans="1:38" s="2" customFormat="1" ht="17.100000000000001" customHeight="1" x14ac:dyDescent="0.25">
      <c r="A1472" s="31" t="s">
        <v>371</v>
      </c>
      <c r="B1472" s="28" t="s">
        <v>372</v>
      </c>
      <c r="C1472" s="37" t="s">
        <v>1253</v>
      </c>
      <c r="D1472" s="37"/>
      <c r="E1472" s="37" t="s">
        <v>2832</v>
      </c>
      <c r="F1472" s="26" t="s">
        <v>2123</v>
      </c>
      <c r="G1472" s="26"/>
      <c r="H1472" s="38"/>
      <c r="I1472" s="115"/>
      <c r="J1472" s="219"/>
      <c r="K1472" s="14"/>
      <c r="L1472" s="105"/>
      <c r="M1472" s="105"/>
      <c r="N1472" s="151"/>
      <c r="O1472" s="151"/>
      <c r="P1472" s="37" t="s">
        <v>1463</v>
      </c>
      <c r="Q1472" s="37"/>
      <c r="R1472" s="37"/>
      <c r="S1472" s="111" t="s">
        <v>3412</v>
      </c>
      <c r="T1472" s="15"/>
      <c r="U1472" s="23">
        <v>1</v>
      </c>
      <c r="V1472" s="23">
        <v>1</v>
      </c>
      <c r="W1472" s="73">
        <f t="shared" si="70"/>
        <v>123</v>
      </c>
      <c r="X1472" s="80">
        <f t="shared" si="71"/>
        <v>2418</v>
      </c>
      <c r="Y1472" s="82" t="s">
        <v>3584</v>
      </c>
      <c r="Z1472" s="24"/>
      <c r="AA1472" s="183"/>
      <c r="AB1472" s="183"/>
      <c r="AC1472" s="88"/>
      <c r="AD1472" s="88"/>
      <c r="AE1472" s="87"/>
      <c r="AF1472" s="15"/>
      <c r="AG1472" s="15"/>
      <c r="AH1472" s="15"/>
      <c r="AI1472" s="15"/>
      <c r="AJ1472" s="15"/>
      <c r="AK1472" s="15"/>
    </row>
    <row r="1473" spans="1:38" s="2" customFormat="1" ht="17.100000000000001" customHeight="1" x14ac:dyDescent="0.3">
      <c r="A1473" s="165" t="s">
        <v>3816</v>
      </c>
      <c r="B1473" s="28" t="s">
        <v>290</v>
      </c>
      <c r="C1473" s="37" t="s">
        <v>1253</v>
      </c>
      <c r="D1473" s="37"/>
      <c r="E1473" s="37" t="s">
        <v>2832</v>
      </c>
      <c r="F1473" s="26" t="s">
        <v>2125</v>
      </c>
      <c r="G1473" s="26"/>
      <c r="H1473" s="38" t="s">
        <v>3818</v>
      </c>
      <c r="I1473" s="115"/>
      <c r="J1473" s="219"/>
      <c r="K1473" s="14"/>
      <c r="L1473" s="105"/>
      <c r="M1473" s="105"/>
      <c r="N1473" s="151"/>
      <c r="O1473" s="151"/>
      <c r="P1473" s="37" t="s">
        <v>1912</v>
      </c>
      <c r="Q1473" s="37"/>
      <c r="R1473" s="37"/>
      <c r="S1473" s="111" t="s">
        <v>3412</v>
      </c>
      <c r="T1473" s="15"/>
      <c r="U1473" s="23">
        <v>1</v>
      </c>
      <c r="V1473" s="23">
        <v>2</v>
      </c>
      <c r="W1473" s="73">
        <f t="shared" si="70"/>
        <v>125</v>
      </c>
      <c r="X1473" s="80">
        <f t="shared" si="71"/>
        <v>2420</v>
      </c>
      <c r="Y1473" s="82" t="s">
        <v>3584</v>
      </c>
      <c r="Z1473" s="24"/>
      <c r="AA1473" s="183"/>
      <c r="AB1473" s="183"/>
      <c r="AC1473" s="88"/>
      <c r="AD1473" s="88"/>
      <c r="AE1473" s="87"/>
      <c r="AF1473" s="15"/>
      <c r="AG1473" s="15"/>
      <c r="AH1473" s="15"/>
      <c r="AI1473" s="15"/>
      <c r="AJ1473" s="15"/>
      <c r="AK1473" s="15"/>
      <c r="AL1473" s="3"/>
    </row>
    <row r="1474" spans="1:38" s="2" customFormat="1" ht="17.100000000000001" customHeight="1" x14ac:dyDescent="0.25">
      <c r="A1474" s="165" t="s">
        <v>3802</v>
      </c>
      <c r="B1474" s="28">
        <v>531</v>
      </c>
      <c r="C1474" s="37" t="s">
        <v>1253</v>
      </c>
      <c r="D1474" s="37"/>
      <c r="E1474" s="37" t="s">
        <v>2832</v>
      </c>
      <c r="F1474" s="26" t="s">
        <v>2126</v>
      </c>
      <c r="G1474" s="26"/>
      <c r="H1474" s="38" t="s">
        <v>3817</v>
      </c>
      <c r="I1474" s="115"/>
      <c r="J1474" s="219"/>
      <c r="K1474" s="14"/>
      <c r="L1474" s="104"/>
      <c r="M1474" s="104"/>
      <c r="N1474" s="151"/>
      <c r="O1474" s="151"/>
      <c r="P1474" s="37"/>
      <c r="Q1474" s="37"/>
      <c r="R1474" s="37"/>
      <c r="S1474" s="111" t="s">
        <v>3412</v>
      </c>
      <c r="T1474" s="14"/>
      <c r="U1474" s="23">
        <v>1</v>
      </c>
      <c r="V1474" s="23">
        <v>1</v>
      </c>
      <c r="W1474" s="73">
        <f t="shared" si="70"/>
        <v>126</v>
      </c>
      <c r="X1474" s="80">
        <f t="shared" si="71"/>
        <v>2421</v>
      </c>
      <c r="Y1474" s="82" t="s">
        <v>3584</v>
      </c>
      <c r="Z1474" s="24"/>
      <c r="AA1474" s="183"/>
      <c r="AB1474" s="183"/>
      <c r="AC1474" s="88"/>
      <c r="AD1474" s="88"/>
      <c r="AE1474" s="87"/>
      <c r="AF1474" s="14"/>
      <c r="AG1474" s="14"/>
      <c r="AH1474" s="14"/>
      <c r="AI1474" s="14"/>
      <c r="AJ1474" s="14"/>
      <c r="AK1474" s="14"/>
    </row>
    <row r="1475" spans="1:38" ht="17.100000000000001" customHeight="1" x14ac:dyDescent="0.25">
      <c r="A1475" s="29" t="s">
        <v>6500</v>
      </c>
      <c r="B1475" s="28" t="s">
        <v>6501</v>
      </c>
      <c r="C1475" s="37" t="s">
        <v>1253</v>
      </c>
      <c r="E1475" s="37" t="s">
        <v>2832</v>
      </c>
      <c r="F1475" s="24" t="s">
        <v>2126</v>
      </c>
      <c r="J1475" s="219"/>
      <c r="N1475" s="151"/>
      <c r="O1475" s="151"/>
      <c r="P1475" s="37" t="s">
        <v>1935</v>
      </c>
      <c r="S1475" s="111" t="s">
        <v>3412</v>
      </c>
      <c r="U1475" s="21">
        <v>1</v>
      </c>
      <c r="V1475" s="21">
        <v>1</v>
      </c>
      <c r="W1475" s="73">
        <f t="shared" si="70"/>
        <v>127</v>
      </c>
      <c r="X1475" s="80">
        <f t="shared" si="71"/>
        <v>2422</v>
      </c>
      <c r="Y1475" s="82" t="s">
        <v>3584</v>
      </c>
      <c r="AA1475" s="183"/>
      <c r="AB1475" s="183"/>
      <c r="AC1475" s="88"/>
      <c r="AD1475" s="88"/>
    </row>
    <row r="1476" spans="1:38" s="2" customFormat="1" ht="17.100000000000001" customHeight="1" x14ac:dyDescent="0.25">
      <c r="A1476" s="29" t="s">
        <v>3327</v>
      </c>
      <c r="B1476" s="28" t="s">
        <v>407</v>
      </c>
      <c r="C1476" s="37" t="s">
        <v>1253</v>
      </c>
      <c r="D1476" s="37"/>
      <c r="E1476" s="37" t="s">
        <v>2832</v>
      </c>
      <c r="F1476" s="26" t="s">
        <v>2126</v>
      </c>
      <c r="G1476" s="26"/>
      <c r="H1476" s="38"/>
      <c r="I1476" s="115"/>
      <c r="J1476" s="219"/>
      <c r="K1476" s="14"/>
      <c r="L1476" s="104"/>
      <c r="M1476" s="104"/>
      <c r="N1476" s="151"/>
      <c r="O1476" s="151"/>
      <c r="P1476" s="37" t="s">
        <v>51</v>
      </c>
      <c r="Q1476" s="37"/>
      <c r="R1476" s="37"/>
      <c r="S1476" s="111" t="s">
        <v>3412</v>
      </c>
      <c r="T1476" s="14"/>
      <c r="U1476" s="23">
        <v>2</v>
      </c>
      <c r="V1476" s="23">
        <v>2</v>
      </c>
      <c r="W1476" s="73">
        <f t="shared" si="70"/>
        <v>129</v>
      </c>
      <c r="X1476" s="80">
        <f t="shared" si="71"/>
        <v>2424</v>
      </c>
      <c r="Y1476" s="82" t="s">
        <v>3584</v>
      </c>
      <c r="Z1476" s="24"/>
      <c r="AA1476" s="183"/>
      <c r="AB1476" s="183"/>
      <c r="AC1476" s="88"/>
      <c r="AD1476" s="88"/>
      <c r="AE1476" s="87"/>
      <c r="AF1476" s="14"/>
      <c r="AG1476" s="14"/>
      <c r="AH1476" s="14"/>
      <c r="AI1476" s="14"/>
      <c r="AJ1476" s="14"/>
      <c r="AK1476" s="14"/>
    </row>
    <row r="1477" spans="1:38" s="2" customFormat="1" ht="17.100000000000001" customHeight="1" x14ac:dyDescent="0.25">
      <c r="A1477" s="29" t="s">
        <v>3328</v>
      </c>
      <c r="B1477" s="28" t="s">
        <v>406</v>
      </c>
      <c r="C1477" s="37" t="s">
        <v>1253</v>
      </c>
      <c r="D1477" s="37"/>
      <c r="E1477" s="37" t="s">
        <v>2832</v>
      </c>
      <c r="F1477" s="26" t="s">
        <v>2126</v>
      </c>
      <c r="G1477" s="26"/>
      <c r="H1477" s="38"/>
      <c r="I1477" s="115"/>
      <c r="J1477" s="219"/>
      <c r="K1477" s="14"/>
      <c r="L1477" s="104"/>
      <c r="M1477" s="104"/>
      <c r="N1477" s="151"/>
      <c r="O1477" s="151"/>
      <c r="P1477" s="37" t="s">
        <v>1463</v>
      </c>
      <c r="Q1477" s="37"/>
      <c r="R1477" s="37"/>
      <c r="S1477" s="111" t="s">
        <v>3412</v>
      </c>
      <c r="T1477" s="14"/>
      <c r="U1477" s="23">
        <v>1</v>
      </c>
      <c r="V1477" s="23">
        <v>1</v>
      </c>
      <c r="W1477" s="73">
        <f t="shared" si="70"/>
        <v>130</v>
      </c>
      <c r="X1477" s="80">
        <f t="shared" si="71"/>
        <v>2425</v>
      </c>
      <c r="Y1477" s="82" t="s">
        <v>3584</v>
      </c>
      <c r="Z1477" s="24"/>
      <c r="AA1477" s="183"/>
      <c r="AB1477" s="183"/>
      <c r="AC1477" s="88"/>
      <c r="AD1477" s="88"/>
      <c r="AE1477" s="87"/>
      <c r="AF1477" s="14"/>
      <c r="AG1477" s="14"/>
      <c r="AH1477" s="14"/>
      <c r="AI1477" s="14"/>
      <c r="AJ1477" s="14"/>
      <c r="AK1477" s="14"/>
    </row>
    <row r="1478" spans="1:38" s="2" customFormat="1" ht="17.100000000000001" customHeight="1" x14ac:dyDescent="0.25">
      <c r="A1478" s="29" t="s">
        <v>489</v>
      </c>
      <c r="B1478" s="28" t="s">
        <v>49</v>
      </c>
      <c r="C1478" s="37" t="s">
        <v>1253</v>
      </c>
      <c r="D1478" s="37"/>
      <c r="E1478" s="37" t="s">
        <v>2832</v>
      </c>
      <c r="F1478" s="26" t="s">
        <v>2126</v>
      </c>
      <c r="G1478" s="26"/>
      <c r="H1478" s="38"/>
      <c r="I1478" s="115"/>
      <c r="J1478" s="219"/>
      <c r="K1478" s="14"/>
      <c r="L1478" s="104"/>
      <c r="M1478" s="104"/>
      <c r="N1478" s="151"/>
      <c r="O1478" s="151"/>
      <c r="P1478" s="37" t="s">
        <v>1463</v>
      </c>
      <c r="Q1478" s="37"/>
      <c r="R1478" s="37"/>
      <c r="S1478" s="111" t="s">
        <v>3412</v>
      </c>
      <c r="T1478" s="14"/>
      <c r="U1478" s="23">
        <v>1</v>
      </c>
      <c r="V1478" s="23">
        <v>1</v>
      </c>
      <c r="W1478" s="73">
        <f t="shared" si="70"/>
        <v>131</v>
      </c>
      <c r="X1478" s="80">
        <f t="shared" si="71"/>
        <v>2426</v>
      </c>
      <c r="Y1478" s="82" t="s">
        <v>3584</v>
      </c>
      <c r="Z1478" s="24"/>
      <c r="AA1478" s="183"/>
      <c r="AB1478" s="183"/>
      <c r="AC1478" s="88"/>
      <c r="AD1478" s="88"/>
      <c r="AE1478" s="87"/>
      <c r="AF1478" s="14"/>
      <c r="AG1478" s="14"/>
      <c r="AH1478" s="14"/>
      <c r="AI1478" s="14"/>
      <c r="AJ1478" s="14"/>
      <c r="AK1478" s="14"/>
    </row>
    <row r="1479" spans="1:38" s="2" customFormat="1" ht="17.100000000000001" customHeight="1" x14ac:dyDescent="0.25">
      <c r="A1479" s="29" t="s">
        <v>675</v>
      </c>
      <c r="B1479" s="28" t="s">
        <v>488</v>
      </c>
      <c r="C1479" s="37" t="s">
        <v>1253</v>
      </c>
      <c r="D1479" s="37"/>
      <c r="E1479" s="37" t="s">
        <v>2832</v>
      </c>
      <c r="F1479" s="26" t="s">
        <v>2126</v>
      </c>
      <c r="G1479" s="26"/>
      <c r="H1479" s="38"/>
      <c r="I1479" s="115"/>
      <c r="J1479" s="219"/>
      <c r="K1479" s="14"/>
      <c r="L1479" s="104"/>
      <c r="M1479" s="104"/>
      <c r="N1479" s="151"/>
      <c r="O1479" s="151"/>
      <c r="P1479" s="37" t="s">
        <v>1463</v>
      </c>
      <c r="Q1479" s="37"/>
      <c r="R1479" s="37"/>
      <c r="S1479" s="111" t="s">
        <v>3412</v>
      </c>
      <c r="T1479" s="14"/>
      <c r="U1479" s="23">
        <v>1</v>
      </c>
      <c r="V1479" s="23">
        <v>1</v>
      </c>
      <c r="W1479" s="73">
        <f t="shared" si="70"/>
        <v>132</v>
      </c>
      <c r="X1479" s="80">
        <f t="shared" si="71"/>
        <v>2427</v>
      </c>
      <c r="Y1479" s="82" t="s">
        <v>3584</v>
      </c>
      <c r="Z1479" s="24"/>
      <c r="AA1479" s="183"/>
      <c r="AB1479" s="183"/>
      <c r="AC1479" s="88"/>
      <c r="AD1479" s="88"/>
      <c r="AE1479" s="87"/>
      <c r="AF1479" s="14"/>
      <c r="AG1479" s="14"/>
      <c r="AH1479" s="14"/>
      <c r="AI1479" s="14"/>
      <c r="AJ1479" s="14"/>
      <c r="AK1479" s="14"/>
    </row>
    <row r="1480" spans="1:38" s="2" customFormat="1" ht="17.100000000000001" customHeight="1" x14ac:dyDescent="0.25">
      <c r="A1480" s="31" t="s">
        <v>3673</v>
      </c>
      <c r="B1480" s="28" t="s">
        <v>335</v>
      </c>
      <c r="C1480" s="37" t="s">
        <v>1253</v>
      </c>
      <c r="D1480" s="37"/>
      <c r="E1480" s="37" t="s">
        <v>2832</v>
      </c>
      <c r="F1480" s="26" t="s">
        <v>2126</v>
      </c>
      <c r="G1480" s="26"/>
      <c r="H1480" s="38"/>
      <c r="I1480" s="115"/>
      <c r="J1480" s="219" t="s">
        <v>3694</v>
      </c>
      <c r="K1480" s="14" t="s">
        <v>3699</v>
      </c>
      <c r="L1480" s="105"/>
      <c r="M1480" s="105"/>
      <c r="N1480" s="151"/>
      <c r="O1480" s="151"/>
      <c r="P1480" s="37" t="s">
        <v>1463</v>
      </c>
      <c r="Q1480" s="37"/>
      <c r="R1480" s="37"/>
      <c r="S1480" s="111" t="s">
        <v>3412</v>
      </c>
      <c r="T1480" s="15"/>
      <c r="U1480" s="23">
        <v>1</v>
      </c>
      <c r="V1480" s="23">
        <v>1</v>
      </c>
      <c r="W1480" s="73">
        <f t="shared" si="70"/>
        <v>133</v>
      </c>
      <c r="X1480" s="80">
        <f t="shared" si="71"/>
        <v>2428</v>
      </c>
      <c r="Y1480" s="82" t="s">
        <v>3584</v>
      </c>
      <c r="Z1480" s="24"/>
      <c r="AA1480" s="183"/>
      <c r="AB1480" s="183"/>
      <c r="AC1480" s="88"/>
      <c r="AD1480" s="88"/>
      <c r="AE1480" s="87"/>
      <c r="AF1480" s="15"/>
      <c r="AG1480" s="15"/>
      <c r="AH1480" s="15"/>
      <c r="AI1480" s="15"/>
      <c r="AJ1480" s="15"/>
      <c r="AK1480" s="15"/>
    </row>
    <row r="1481" spans="1:38" s="2" customFormat="1" ht="17.100000000000001" customHeight="1" x14ac:dyDescent="0.25">
      <c r="A1481" s="31" t="s">
        <v>385</v>
      </c>
      <c r="B1481" s="28" t="s">
        <v>386</v>
      </c>
      <c r="C1481" s="37" t="s">
        <v>1253</v>
      </c>
      <c r="D1481" s="37"/>
      <c r="E1481" s="37" t="s">
        <v>2832</v>
      </c>
      <c r="F1481" s="26" t="s">
        <v>2126</v>
      </c>
      <c r="G1481" s="26"/>
      <c r="H1481" s="38"/>
      <c r="I1481" s="115"/>
      <c r="J1481" s="219" t="s">
        <v>3690</v>
      </c>
      <c r="K1481" s="14" t="s">
        <v>3685</v>
      </c>
      <c r="L1481" s="105"/>
      <c r="M1481" s="105"/>
      <c r="N1481" s="151"/>
      <c r="O1481" s="151"/>
      <c r="P1481" s="37" t="s">
        <v>1463</v>
      </c>
      <c r="Q1481" s="37"/>
      <c r="R1481" s="37"/>
      <c r="S1481" s="111" t="s">
        <v>3412</v>
      </c>
      <c r="T1481" s="15"/>
      <c r="U1481" s="23">
        <v>2</v>
      </c>
      <c r="V1481" s="23">
        <v>2</v>
      </c>
      <c r="W1481" s="73">
        <f t="shared" si="70"/>
        <v>135</v>
      </c>
      <c r="X1481" s="80">
        <f t="shared" si="71"/>
        <v>2430</v>
      </c>
      <c r="Y1481" s="82" t="s">
        <v>3584</v>
      </c>
      <c r="Z1481" s="24"/>
      <c r="AA1481" s="183"/>
      <c r="AB1481" s="183"/>
      <c r="AC1481" s="88"/>
      <c r="AD1481" s="88"/>
      <c r="AE1481" s="87"/>
      <c r="AF1481" s="15"/>
      <c r="AG1481" s="15"/>
      <c r="AH1481" s="15"/>
      <c r="AI1481" s="15"/>
      <c r="AJ1481" s="15"/>
      <c r="AK1481" s="15"/>
    </row>
    <row r="1482" spans="1:38" s="2" customFormat="1" ht="17.100000000000001" customHeight="1" x14ac:dyDescent="0.25">
      <c r="A1482" s="29" t="s">
        <v>3329</v>
      </c>
      <c r="B1482" s="28" t="s">
        <v>577</v>
      </c>
      <c r="C1482" s="37" t="s">
        <v>1253</v>
      </c>
      <c r="D1482" s="37"/>
      <c r="E1482" s="37" t="s">
        <v>2832</v>
      </c>
      <c r="F1482" s="26" t="s">
        <v>2126</v>
      </c>
      <c r="G1482" s="26"/>
      <c r="H1482" s="38"/>
      <c r="I1482" s="115"/>
      <c r="J1482" s="219"/>
      <c r="K1482" s="14"/>
      <c r="L1482" s="104"/>
      <c r="M1482" s="104"/>
      <c r="N1482" s="151"/>
      <c r="O1482" s="151"/>
      <c r="P1482" s="37" t="s">
        <v>1463</v>
      </c>
      <c r="Q1482" s="37"/>
      <c r="R1482" s="37"/>
      <c r="S1482" s="111" t="s">
        <v>3412</v>
      </c>
      <c r="T1482" s="14"/>
      <c r="U1482" s="23">
        <v>3</v>
      </c>
      <c r="V1482" s="23">
        <v>3</v>
      </c>
      <c r="W1482" s="73">
        <f t="shared" si="70"/>
        <v>138</v>
      </c>
      <c r="X1482" s="80">
        <f t="shared" si="71"/>
        <v>2433</v>
      </c>
      <c r="Y1482" s="82" t="s">
        <v>3584</v>
      </c>
      <c r="Z1482" s="24"/>
      <c r="AA1482" s="183"/>
      <c r="AB1482" s="183"/>
      <c r="AC1482" s="88"/>
      <c r="AD1482" s="88"/>
      <c r="AE1482" s="87"/>
      <c r="AF1482" s="14"/>
      <c r="AG1482" s="14"/>
      <c r="AH1482" s="14"/>
      <c r="AI1482" s="14"/>
      <c r="AJ1482" s="14"/>
      <c r="AK1482" s="14"/>
    </row>
    <row r="1483" spans="1:38" s="2" customFormat="1" ht="17.100000000000001" customHeight="1" x14ac:dyDescent="0.25">
      <c r="A1483" s="29" t="s">
        <v>3330</v>
      </c>
      <c r="B1483" s="28" t="s">
        <v>200</v>
      </c>
      <c r="C1483" s="37" t="s">
        <v>1253</v>
      </c>
      <c r="D1483" s="37"/>
      <c r="E1483" s="37" t="s">
        <v>2832</v>
      </c>
      <c r="F1483" s="26" t="s">
        <v>2126</v>
      </c>
      <c r="G1483" s="26"/>
      <c r="H1483" s="38"/>
      <c r="I1483" s="115"/>
      <c r="J1483" s="219" t="s">
        <v>3690</v>
      </c>
      <c r="K1483" s="14" t="s">
        <v>3685</v>
      </c>
      <c r="L1483" s="104"/>
      <c r="M1483" s="104"/>
      <c r="N1483" s="151"/>
      <c r="O1483" s="151"/>
      <c r="P1483" s="37" t="s">
        <v>1463</v>
      </c>
      <c r="Q1483" s="37"/>
      <c r="R1483" s="37"/>
      <c r="S1483" s="111" t="s">
        <v>3412</v>
      </c>
      <c r="T1483" s="14"/>
      <c r="U1483" s="23">
        <v>1</v>
      </c>
      <c r="V1483" s="23">
        <v>1</v>
      </c>
      <c r="W1483" s="73">
        <f t="shared" si="70"/>
        <v>139</v>
      </c>
      <c r="X1483" s="80">
        <f t="shared" si="71"/>
        <v>2434</v>
      </c>
      <c r="Y1483" s="82" t="s">
        <v>3584</v>
      </c>
      <c r="Z1483" s="24"/>
      <c r="AA1483" s="183"/>
      <c r="AB1483" s="183"/>
      <c r="AC1483" s="88"/>
      <c r="AD1483" s="88"/>
      <c r="AE1483" s="87"/>
      <c r="AF1483" s="14"/>
      <c r="AG1483" s="14"/>
      <c r="AH1483" s="14"/>
      <c r="AI1483" s="14"/>
      <c r="AJ1483" s="14"/>
      <c r="AK1483" s="14"/>
    </row>
    <row r="1484" spans="1:38" s="2" customFormat="1" ht="17.100000000000001" customHeight="1" x14ac:dyDescent="0.25">
      <c r="A1484" s="29" t="s">
        <v>3331</v>
      </c>
      <c r="B1484" s="28" t="s">
        <v>65</v>
      </c>
      <c r="C1484" s="37" t="s">
        <v>1253</v>
      </c>
      <c r="D1484" s="37"/>
      <c r="E1484" s="37" t="s">
        <v>2832</v>
      </c>
      <c r="F1484" s="26" t="s">
        <v>2126</v>
      </c>
      <c r="G1484" s="26"/>
      <c r="H1484" s="38"/>
      <c r="I1484" s="115"/>
      <c r="J1484" s="219"/>
      <c r="K1484" s="14"/>
      <c r="L1484" s="104"/>
      <c r="M1484" s="104"/>
      <c r="N1484" s="151"/>
      <c r="O1484" s="151"/>
      <c r="P1484" s="37" t="s">
        <v>1935</v>
      </c>
      <c r="Q1484" s="37"/>
      <c r="R1484" s="37"/>
      <c r="S1484" s="111" t="s">
        <v>3412</v>
      </c>
      <c r="T1484" s="14"/>
      <c r="U1484" s="23">
        <v>1</v>
      </c>
      <c r="V1484" s="23">
        <v>1</v>
      </c>
      <c r="W1484" s="73">
        <f t="shared" si="70"/>
        <v>140</v>
      </c>
      <c r="X1484" s="80">
        <f t="shared" si="71"/>
        <v>2435</v>
      </c>
      <c r="Y1484" s="82" t="s">
        <v>3584</v>
      </c>
      <c r="Z1484" s="24"/>
      <c r="AA1484" s="183"/>
      <c r="AB1484" s="183"/>
      <c r="AC1484" s="88"/>
      <c r="AD1484" s="88"/>
      <c r="AE1484" s="87"/>
      <c r="AF1484" s="14"/>
      <c r="AG1484" s="14"/>
      <c r="AH1484" s="14"/>
      <c r="AI1484" s="14"/>
      <c r="AJ1484" s="14"/>
      <c r="AK1484" s="14"/>
    </row>
    <row r="1485" spans="1:38" s="2" customFormat="1" ht="17.100000000000001" customHeight="1" x14ac:dyDescent="0.25">
      <c r="A1485" s="29" t="s">
        <v>673</v>
      </c>
      <c r="B1485" s="28" t="s">
        <v>674</v>
      </c>
      <c r="C1485" s="37" t="s">
        <v>1253</v>
      </c>
      <c r="D1485" s="37"/>
      <c r="E1485" s="37" t="s">
        <v>2832</v>
      </c>
      <c r="F1485" s="26" t="s">
        <v>2126</v>
      </c>
      <c r="G1485" s="26"/>
      <c r="H1485" s="38"/>
      <c r="I1485" s="115"/>
      <c r="J1485" s="219"/>
      <c r="K1485" s="14"/>
      <c r="L1485" s="104"/>
      <c r="M1485" s="104"/>
      <c r="N1485" s="151"/>
      <c r="O1485" s="151"/>
      <c r="P1485" s="37" t="s">
        <v>1792</v>
      </c>
      <c r="Q1485" s="37"/>
      <c r="R1485" s="37"/>
      <c r="S1485" s="111" t="s">
        <v>3412</v>
      </c>
      <c r="T1485" s="14"/>
      <c r="U1485" s="23">
        <v>1</v>
      </c>
      <c r="V1485" s="23">
        <v>1</v>
      </c>
      <c r="W1485" s="73">
        <f t="shared" si="70"/>
        <v>141</v>
      </c>
      <c r="X1485" s="80">
        <f t="shared" si="71"/>
        <v>2436</v>
      </c>
      <c r="Y1485" s="82" t="s">
        <v>3584</v>
      </c>
      <c r="Z1485" s="24"/>
      <c r="AA1485" s="183"/>
      <c r="AB1485" s="183"/>
      <c r="AC1485" s="88"/>
      <c r="AD1485" s="88"/>
      <c r="AE1485" s="87"/>
      <c r="AF1485" s="14"/>
      <c r="AG1485" s="14"/>
      <c r="AH1485" s="14"/>
      <c r="AI1485" s="14"/>
      <c r="AJ1485" s="14"/>
      <c r="AK1485" s="14"/>
    </row>
    <row r="1486" spans="1:38" s="2" customFormat="1" ht="17.100000000000001" customHeight="1" x14ac:dyDescent="0.25">
      <c r="A1486" s="29" t="s">
        <v>483</v>
      </c>
      <c r="B1486" s="28" t="s">
        <v>484</v>
      </c>
      <c r="C1486" s="37" t="s">
        <v>1253</v>
      </c>
      <c r="D1486" s="37"/>
      <c r="E1486" s="37" t="s">
        <v>2832</v>
      </c>
      <c r="F1486" s="26" t="s">
        <v>2126</v>
      </c>
      <c r="G1486" s="26"/>
      <c r="H1486" s="38"/>
      <c r="I1486" s="115"/>
      <c r="J1486" s="219"/>
      <c r="K1486" s="14"/>
      <c r="L1486" s="104"/>
      <c r="M1486" s="104"/>
      <c r="N1486" s="151"/>
      <c r="O1486" s="151"/>
      <c r="P1486" s="37" t="s">
        <v>670</v>
      </c>
      <c r="Q1486" s="37"/>
      <c r="R1486" s="37"/>
      <c r="S1486" s="111" t="s">
        <v>3412</v>
      </c>
      <c r="T1486" s="14"/>
      <c r="U1486" s="23">
        <v>1</v>
      </c>
      <c r="V1486" s="23">
        <v>1</v>
      </c>
      <c r="W1486" s="73">
        <f t="shared" si="70"/>
        <v>142</v>
      </c>
      <c r="X1486" s="80">
        <f t="shared" si="71"/>
        <v>2437</v>
      </c>
      <c r="Y1486" s="82" t="s">
        <v>3584</v>
      </c>
      <c r="Z1486" s="24"/>
      <c r="AA1486" s="183"/>
      <c r="AB1486" s="183"/>
      <c r="AC1486" s="88"/>
      <c r="AD1486" s="88"/>
      <c r="AE1486" s="87"/>
      <c r="AF1486" s="14"/>
      <c r="AG1486" s="14"/>
      <c r="AH1486" s="14"/>
      <c r="AI1486" s="14"/>
      <c r="AJ1486" s="14"/>
      <c r="AK1486" s="14"/>
    </row>
    <row r="1487" spans="1:38" s="2" customFormat="1" ht="17.100000000000001" customHeight="1" x14ac:dyDescent="0.25">
      <c r="A1487" s="29" t="s">
        <v>403</v>
      </c>
      <c r="B1487" s="28" t="s">
        <v>291</v>
      </c>
      <c r="C1487" s="37" t="s">
        <v>1253</v>
      </c>
      <c r="D1487" s="37"/>
      <c r="E1487" s="37" t="s">
        <v>2832</v>
      </c>
      <c r="F1487" s="26" t="s">
        <v>2126</v>
      </c>
      <c r="G1487" s="26"/>
      <c r="H1487" s="38"/>
      <c r="I1487" s="115"/>
      <c r="J1487" s="219"/>
      <c r="K1487" s="14"/>
      <c r="L1487" s="104"/>
      <c r="M1487" s="104"/>
      <c r="N1487" s="151"/>
      <c r="O1487" s="151"/>
      <c r="P1487" s="37" t="s">
        <v>670</v>
      </c>
      <c r="Q1487" s="37"/>
      <c r="R1487" s="37"/>
      <c r="S1487" s="111" t="s">
        <v>3412</v>
      </c>
      <c r="T1487" s="14"/>
      <c r="U1487" s="23">
        <v>1</v>
      </c>
      <c r="V1487" s="23">
        <v>1</v>
      </c>
      <c r="W1487" s="73">
        <f t="shared" si="70"/>
        <v>143</v>
      </c>
      <c r="X1487" s="80">
        <f t="shared" si="71"/>
        <v>2438</v>
      </c>
      <c r="Y1487" s="82" t="s">
        <v>3584</v>
      </c>
      <c r="Z1487" s="24"/>
      <c r="AA1487" s="183"/>
      <c r="AB1487" s="183"/>
      <c r="AC1487" s="88"/>
      <c r="AD1487" s="88"/>
      <c r="AE1487" s="87"/>
      <c r="AF1487" s="14"/>
      <c r="AG1487" s="14"/>
      <c r="AH1487" s="14"/>
      <c r="AI1487" s="14"/>
      <c r="AJ1487" s="14"/>
      <c r="AK1487" s="14"/>
    </row>
    <row r="1488" spans="1:38" s="2" customFormat="1" ht="17.100000000000001" customHeight="1" x14ac:dyDescent="0.25">
      <c r="A1488" s="29" t="s">
        <v>3702</v>
      </c>
      <c r="B1488" s="28" t="s">
        <v>2254</v>
      </c>
      <c r="C1488" s="37" t="s">
        <v>1253</v>
      </c>
      <c r="D1488" s="37"/>
      <c r="E1488" s="37" t="s">
        <v>2832</v>
      </c>
      <c r="F1488" s="26" t="s">
        <v>2126</v>
      </c>
      <c r="G1488" s="26"/>
      <c r="H1488" s="38" t="s">
        <v>3703</v>
      </c>
      <c r="I1488" s="115"/>
      <c r="J1488" s="219" t="s">
        <v>3690</v>
      </c>
      <c r="K1488" s="14" t="s">
        <v>3685</v>
      </c>
      <c r="L1488" s="104"/>
      <c r="M1488" s="104"/>
      <c r="N1488" s="151"/>
      <c r="O1488" s="151"/>
      <c r="P1488" s="37" t="s">
        <v>1463</v>
      </c>
      <c r="Q1488" s="37"/>
      <c r="R1488" s="37"/>
      <c r="S1488" s="111" t="s">
        <v>3412</v>
      </c>
      <c r="T1488" s="14"/>
      <c r="U1488" s="23">
        <v>1</v>
      </c>
      <c r="V1488" s="23">
        <v>1</v>
      </c>
      <c r="W1488" s="73">
        <f t="shared" si="70"/>
        <v>144</v>
      </c>
      <c r="X1488" s="80">
        <f t="shared" si="71"/>
        <v>2439</v>
      </c>
      <c r="Y1488" s="82" t="s">
        <v>3584</v>
      </c>
      <c r="Z1488" s="24"/>
      <c r="AA1488" s="184"/>
      <c r="AB1488" s="184"/>
      <c r="AC1488" s="88"/>
      <c r="AD1488" s="88"/>
      <c r="AE1488" s="87"/>
      <c r="AF1488" s="14"/>
      <c r="AG1488" s="14"/>
      <c r="AH1488" s="14"/>
      <c r="AI1488" s="14"/>
      <c r="AJ1488" s="14"/>
      <c r="AK1488" s="14"/>
    </row>
    <row r="1489" spans="1:37" ht="17.100000000000001" customHeight="1" x14ac:dyDescent="0.25">
      <c r="A1489" s="29" t="s">
        <v>564</v>
      </c>
      <c r="B1489" s="28" t="s">
        <v>484</v>
      </c>
      <c r="C1489" s="37" t="s">
        <v>1253</v>
      </c>
      <c r="E1489" s="37" t="s">
        <v>2832</v>
      </c>
      <c r="F1489" s="24" t="s">
        <v>2126</v>
      </c>
      <c r="J1489" s="219"/>
      <c r="N1489" s="151"/>
      <c r="O1489" s="151"/>
      <c r="P1489" s="37" t="s">
        <v>1953</v>
      </c>
      <c r="S1489" s="111" t="s">
        <v>3412</v>
      </c>
      <c r="U1489" s="21">
        <v>1</v>
      </c>
      <c r="V1489" s="21">
        <v>1</v>
      </c>
      <c r="W1489" s="73">
        <f t="shared" si="70"/>
        <v>145</v>
      </c>
      <c r="X1489" s="80">
        <f t="shared" si="71"/>
        <v>2440</v>
      </c>
      <c r="Y1489" s="82" t="s">
        <v>3584</v>
      </c>
      <c r="AA1489" s="183"/>
      <c r="AB1489" s="183"/>
      <c r="AC1489" s="88"/>
      <c r="AD1489" s="88"/>
    </row>
    <row r="1490" spans="1:37" s="2" customFormat="1" ht="17.100000000000001" customHeight="1" x14ac:dyDescent="0.25">
      <c r="A1490" s="29" t="s">
        <v>383</v>
      </c>
      <c r="B1490" s="28" t="s">
        <v>384</v>
      </c>
      <c r="C1490" s="37" t="s">
        <v>1253</v>
      </c>
      <c r="D1490" s="37"/>
      <c r="E1490" s="37" t="s">
        <v>2832</v>
      </c>
      <c r="F1490" s="26" t="s">
        <v>2126</v>
      </c>
      <c r="G1490" s="26"/>
      <c r="H1490" s="38"/>
      <c r="I1490" s="115"/>
      <c r="J1490" s="219"/>
      <c r="K1490" s="14"/>
      <c r="L1490" s="104"/>
      <c r="M1490" s="104"/>
      <c r="N1490" s="151"/>
      <c r="O1490" s="151"/>
      <c r="P1490" s="37" t="s">
        <v>1463</v>
      </c>
      <c r="Q1490" s="37"/>
      <c r="R1490" s="37"/>
      <c r="S1490" s="111" t="s">
        <v>3412</v>
      </c>
      <c r="T1490" s="14"/>
      <c r="U1490" s="23">
        <v>1</v>
      </c>
      <c r="V1490" s="23">
        <v>1</v>
      </c>
      <c r="W1490" s="73">
        <f t="shared" si="70"/>
        <v>146</v>
      </c>
      <c r="X1490" s="80">
        <f t="shared" si="71"/>
        <v>2441</v>
      </c>
      <c r="Y1490" s="82" t="s">
        <v>3584</v>
      </c>
      <c r="Z1490" s="24"/>
      <c r="AA1490" s="183"/>
      <c r="AB1490" s="183"/>
      <c r="AC1490" s="88"/>
      <c r="AD1490" s="88"/>
      <c r="AE1490" s="87"/>
      <c r="AF1490" s="14"/>
      <c r="AG1490" s="14"/>
      <c r="AH1490" s="14"/>
      <c r="AI1490" s="14"/>
      <c r="AJ1490" s="14"/>
      <c r="AK1490" s="14"/>
    </row>
    <row r="1491" spans="1:37" ht="17.100000000000001" customHeight="1" x14ac:dyDescent="0.25">
      <c r="A1491" s="29" t="s">
        <v>3332</v>
      </c>
      <c r="B1491" s="28" t="s">
        <v>353</v>
      </c>
      <c r="C1491" s="37" t="s">
        <v>1253</v>
      </c>
      <c r="E1491" s="37" t="s">
        <v>2832</v>
      </c>
      <c r="F1491" s="24" t="s">
        <v>2126</v>
      </c>
      <c r="J1491" s="219"/>
      <c r="N1491" s="151"/>
      <c r="O1491" s="151"/>
      <c r="P1491" s="37" t="s">
        <v>1463</v>
      </c>
      <c r="S1491" s="111" t="s">
        <v>3412</v>
      </c>
      <c r="U1491" s="21">
        <v>2</v>
      </c>
      <c r="V1491" s="21">
        <v>2</v>
      </c>
      <c r="W1491" s="73">
        <f t="shared" si="70"/>
        <v>148</v>
      </c>
      <c r="X1491" s="80">
        <f t="shared" si="71"/>
        <v>2443</v>
      </c>
      <c r="Y1491" s="82" t="s">
        <v>3584</v>
      </c>
      <c r="AA1491" s="183"/>
      <c r="AB1491" s="183"/>
      <c r="AC1491" s="88"/>
      <c r="AD1491" s="88"/>
    </row>
    <row r="1492" spans="1:37" s="2" customFormat="1" ht="17.100000000000001" customHeight="1" x14ac:dyDescent="0.25">
      <c r="A1492" s="29" t="s">
        <v>578</v>
      </c>
      <c r="B1492" s="28" t="s">
        <v>576</v>
      </c>
      <c r="C1492" s="37" t="s">
        <v>1253</v>
      </c>
      <c r="D1492" s="37"/>
      <c r="E1492" s="37" t="s">
        <v>2832</v>
      </c>
      <c r="F1492" s="26" t="s">
        <v>2126</v>
      </c>
      <c r="G1492" s="26"/>
      <c r="H1492" s="38"/>
      <c r="I1492" s="115"/>
      <c r="J1492" s="219" t="s">
        <v>3694</v>
      </c>
      <c r="K1492" s="14" t="s">
        <v>3699</v>
      </c>
      <c r="L1492" s="104"/>
      <c r="M1492" s="104"/>
      <c r="N1492" s="151"/>
      <c r="O1492" s="151"/>
      <c r="P1492" s="37" t="s">
        <v>1463</v>
      </c>
      <c r="Q1492" s="37"/>
      <c r="R1492" s="37"/>
      <c r="S1492" s="111" t="s">
        <v>3412</v>
      </c>
      <c r="T1492" s="14"/>
      <c r="U1492" s="23">
        <v>2</v>
      </c>
      <c r="V1492" s="23">
        <v>2</v>
      </c>
      <c r="W1492" s="73">
        <f t="shared" si="70"/>
        <v>150</v>
      </c>
      <c r="X1492" s="80">
        <f t="shared" si="71"/>
        <v>2445</v>
      </c>
      <c r="Y1492" s="82" t="s">
        <v>3584</v>
      </c>
      <c r="Z1492" s="24"/>
      <c r="AA1492" s="183"/>
      <c r="AB1492" s="183"/>
      <c r="AC1492" s="88"/>
      <c r="AD1492" s="88"/>
      <c r="AE1492" s="87"/>
      <c r="AF1492" s="14"/>
      <c r="AG1492" s="14"/>
      <c r="AH1492" s="14"/>
      <c r="AI1492" s="14"/>
      <c r="AJ1492" s="14"/>
      <c r="AK1492" s="14"/>
    </row>
    <row r="1493" spans="1:37" ht="17.100000000000001" customHeight="1" x14ac:dyDescent="0.25">
      <c r="A1493" s="29" t="s">
        <v>3333</v>
      </c>
      <c r="B1493" s="28" t="s">
        <v>118</v>
      </c>
      <c r="C1493" s="37" t="s">
        <v>1253</v>
      </c>
      <c r="E1493" s="37" t="s">
        <v>2832</v>
      </c>
      <c r="F1493" s="24" t="s">
        <v>2126</v>
      </c>
      <c r="J1493" s="219"/>
      <c r="L1493" s="104"/>
      <c r="M1493" s="104"/>
      <c r="N1493" s="151"/>
      <c r="O1493" s="151"/>
      <c r="P1493" s="37" t="s">
        <v>252</v>
      </c>
      <c r="S1493" s="111" t="s">
        <v>3412</v>
      </c>
      <c r="U1493" s="21">
        <v>1</v>
      </c>
      <c r="V1493" s="21">
        <v>1</v>
      </c>
      <c r="W1493" s="73">
        <f t="shared" si="70"/>
        <v>151</v>
      </c>
      <c r="X1493" s="80">
        <f t="shared" si="71"/>
        <v>2446</v>
      </c>
      <c r="Y1493" s="82" t="s">
        <v>3584</v>
      </c>
      <c r="AA1493" s="183"/>
      <c r="AB1493" s="183"/>
      <c r="AC1493" s="88"/>
      <c r="AD1493" s="88"/>
    </row>
    <row r="1494" spans="1:37" s="2" customFormat="1" ht="17.100000000000001" customHeight="1" x14ac:dyDescent="0.25">
      <c r="A1494" s="29" t="s">
        <v>1189</v>
      </c>
      <c r="B1494" s="28" t="s">
        <v>339</v>
      </c>
      <c r="C1494" s="37" t="s">
        <v>1253</v>
      </c>
      <c r="D1494" s="37"/>
      <c r="E1494" s="37" t="s">
        <v>2832</v>
      </c>
      <c r="F1494" s="26" t="s">
        <v>2126</v>
      </c>
      <c r="G1494" s="26"/>
      <c r="H1494" s="38"/>
      <c r="I1494" s="115"/>
      <c r="J1494" s="219"/>
      <c r="K1494" s="14"/>
      <c r="L1494" s="104"/>
      <c r="M1494" s="104"/>
      <c r="N1494" s="151"/>
      <c r="O1494" s="151"/>
      <c r="P1494" s="37" t="s">
        <v>670</v>
      </c>
      <c r="Q1494" s="37"/>
      <c r="R1494" s="37"/>
      <c r="S1494" s="111" t="s">
        <v>3412</v>
      </c>
      <c r="T1494" s="14"/>
      <c r="U1494" s="23">
        <v>1</v>
      </c>
      <c r="V1494" s="23">
        <v>1</v>
      </c>
      <c r="W1494" s="73">
        <f t="shared" si="70"/>
        <v>152</v>
      </c>
      <c r="X1494" s="80">
        <f t="shared" si="71"/>
        <v>2447</v>
      </c>
      <c r="Y1494" s="82" t="s">
        <v>3584</v>
      </c>
      <c r="Z1494" s="24"/>
      <c r="AA1494" s="183"/>
      <c r="AB1494" s="183"/>
      <c r="AC1494" s="88"/>
      <c r="AD1494" s="88"/>
      <c r="AE1494" s="87"/>
      <c r="AF1494" s="14"/>
      <c r="AG1494" s="14"/>
      <c r="AH1494" s="14"/>
      <c r="AI1494" s="14"/>
      <c r="AJ1494" s="14"/>
      <c r="AK1494" s="14"/>
    </row>
    <row r="1495" spans="1:37" ht="17.100000000000001" customHeight="1" x14ac:dyDescent="0.25">
      <c r="A1495" s="29" t="s">
        <v>662</v>
      </c>
      <c r="B1495" s="28" t="s">
        <v>461</v>
      </c>
      <c r="C1495" s="37" t="s">
        <v>1253</v>
      </c>
      <c r="E1495" s="37" t="s">
        <v>2832</v>
      </c>
      <c r="F1495" s="24" t="s">
        <v>2126</v>
      </c>
      <c r="J1495" s="219"/>
      <c r="N1495" s="151"/>
      <c r="O1495" s="151"/>
      <c r="P1495" s="37" t="s">
        <v>1955</v>
      </c>
      <c r="S1495" s="111" t="s">
        <v>3412</v>
      </c>
      <c r="U1495" s="21">
        <v>2</v>
      </c>
      <c r="V1495" s="21">
        <v>2</v>
      </c>
      <c r="W1495" s="73">
        <f t="shared" si="70"/>
        <v>154</v>
      </c>
      <c r="X1495" s="80">
        <f t="shared" si="71"/>
        <v>2449</v>
      </c>
      <c r="Y1495" s="82" t="s">
        <v>3584</v>
      </c>
      <c r="AA1495" s="183"/>
      <c r="AB1495" s="183"/>
      <c r="AC1495" s="88"/>
      <c r="AD1495" s="88"/>
    </row>
    <row r="1496" spans="1:37" ht="17.100000000000001" customHeight="1" x14ac:dyDescent="0.25">
      <c r="A1496" s="29" t="s">
        <v>465</v>
      </c>
      <c r="B1496" s="28" t="s">
        <v>466</v>
      </c>
      <c r="C1496" s="37" t="s">
        <v>1253</v>
      </c>
      <c r="E1496" s="37" t="s">
        <v>2832</v>
      </c>
      <c r="F1496" s="24" t="s">
        <v>2126</v>
      </c>
      <c r="J1496" s="219" t="s">
        <v>3691</v>
      </c>
      <c r="K1496" s="10" t="s">
        <v>3717</v>
      </c>
      <c r="N1496" s="151"/>
      <c r="O1496" s="151"/>
      <c r="P1496" s="37" t="s">
        <v>1463</v>
      </c>
      <c r="S1496" s="111" t="s">
        <v>3412</v>
      </c>
      <c r="U1496" s="21">
        <v>1</v>
      </c>
      <c r="V1496" s="21">
        <v>1</v>
      </c>
      <c r="W1496" s="73">
        <f t="shared" si="70"/>
        <v>155</v>
      </c>
      <c r="X1496" s="80">
        <f t="shared" si="71"/>
        <v>2450</v>
      </c>
      <c r="Y1496" s="82" t="s">
        <v>3584</v>
      </c>
      <c r="AA1496" s="183"/>
      <c r="AB1496" s="183"/>
      <c r="AC1496" s="88"/>
      <c r="AD1496" s="88"/>
    </row>
    <row r="1497" spans="1:37" ht="17.100000000000001" customHeight="1" x14ac:dyDescent="0.25">
      <c r="A1497" s="29" t="s">
        <v>776</v>
      </c>
      <c r="B1497" s="28" t="s">
        <v>692</v>
      </c>
      <c r="C1497" s="37" t="s">
        <v>1253</v>
      </c>
      <c r="E1497" s="37" t="s">
        <v>2832</v>
      </c>
      <c r="F1497" s="24" t="s">
        <v>2127</v>
      </c>
      <c r="J1497" s="219"/>
      <c r="N1497" s="151"/>
      <c r="O1497" s="151"/>
      <c r="P1497" s="37" t="s">
        <v>1463</v>
      </c>
      <c r="S1497" s="111" t="s">
        <v>3412</v>
      </c>
      <c r="U1497" s="21">
        <v>1</v>
      </c>
      <c r="V1497" s="21">
        <v>1</v>
      </c>
      <c r="W1497" s="73">
        <f t="shared" si="70"/>
        <v>156</v>
      </c>
      <c r="X1497" s="80">
        <f t="shared" si="71"/>
        <v>2451</v>
      </c>
      <c r="Y1497" s="82" t="s">
        <v>3584</v>
      </c>
      <c r="AA1497" s="183"/>
      <c r="AB1497" s="183"/>
      <c r="AC1497" s="88"/>
      <c r="AD1497" s="88"/>
    </row>
    <row r="1498" spans="1:37" ht="17.100000000000001" customHeight="1" x14ac:dyDescent="0.25">
      <c r="A1498" s="29" t="s">
        <v>850</v>
      </c>
      <c r="B1498" s="28" t="s">
        <v>1808</v>
      </c>
      <c r="C1498" s="37" t="s">
        <v>1253</v>
      </c>
      <c r="E1498" s="37" t="s">
        <v>2832</v>
      </c>
      <c r="F1498" s="24" t="s">
        <v>2127</v>
      </c>
      <c r="J1498" s="219"/>
      <c r="N1498" s="151"/>
      <c r="O1498" s="151"/>
      <c r="P1498" s="37" t="s">
        <v>1463</v>
      </c>
      <c r="S1498" s="111" t="s">
        <v>3412</v>
      </c>
      <c r="U1498" s="21">
        <v>2</v>
      </c>
      <c r="V1498" s="21">
        <v>2</v>
      </c>
      <c r="W1498" s="73">
        <f t="shared" si="70"/>
        <v>158</v>
      </c>
      <c r="X1498" s="80">
        <f t="shared" si="71"/>
        <v>2453</v>
      </c>
      <c r="Y1498" s="82" t="s">
        <v>3584</v>
      </c>
      <c r="AA1498" s="183"/>
      <c r="AB1498" s="183"/>
      <c r="AC1498" s="88"/>
      <c r="AD1498" s="88"/>
    </row>
    <row r="1499" spans="1:37" ht="17.100000000000001" customHeight="1" x14ac:dyDescent="0.25">
      <c r="A1499" s="29" t="s">
        <v>851</v>
      </c>
      <c r="B1499" s="28" t="s">
        <v>1809</v>
      </c>
      <c r="C1499" s="37" t="s">
        <v>1253</v>
      </c>
      <c r="E1499" s="37" t="s">
        <v>2832</v>
      </c>
      <c r="F1499" s="24" t="s">
        <v>2127</v>
      </c>
      <c r="J1499" s="219"/>
      <c r="N1499" s="151"/>
      <c r="O1499" s="151"/>
      <c r="P1499" s="37" t="s">
        <v>1935</v>
      </c>
      <c r="S1499" s="111" t="s">
        <v>3412</v>
      </c>
      <c r="U1499" s="21">
        <v>1</v>
      </c>
      <c r="V1499" s="21">
        <v>1</v>
      </c>
      <c r="W1499" s="73">
        <f t="shared" si="70"/>
        <v>159</v>
      </c>
      <c r="X1499" s="80">
        <f t="shared" si="71"/>
        <v>2454</v>
      </c>
      <c r="Y1499" s="82" t="s">
        <v>3584</v>
      </c>
      <c r="AA1499" s="183"/>
      <c r="AB1499" s="183"/>
      <c r="AC1499" s="88"/>
      <c r="AD1499" s="88"/>
    </row>
    <row r="1500" spans="1:37" ht="17.100000000000001" customHeight="1" x14ac:dyDescent="0.25">
      <c r="A1500" s="29" t="s">
        <v>3709</v>
      </c>
      <c r="B1500" s="28" t="s">
        <v>354</v>
      </c>
      <c r="C1500" s="37" t="s">
        <v>1253</v>
      </c>
      <c r="E1500" s="37" t="s">
        <v>2832</v>
      </c>
      <c r="F1500" s="24" t="s">
        <v>2127</v>
      </c>
      <c r="J1500" s="219" t="s">
        <v>3694</v>
      </c>
      <c r="K1500" s="10" t="s">
        <v>3699</v>
      </c>
      <c r="N1500" s="151"/>
      <c r="O1500" s="151"/>
      <c r="P1500" s="37" t="s">
        <v>1463</v>
      </c>
      <c r="S1500" s="111" t="s">
        <v>3412</v>
      </c>
      <c r="U1500" s="21">
        <v>1</v>
      </c>
      <c r="V1500" s="21">
        <v>1</v>
      </c>
      <c r="W1500" s="73">
        <f t="shared" si="70"/>
        <v>160</v>
      </c>
      <c r="X1500" s="80">
        <f t="shared" si="71"/>
        <v>2455</v>
      </c>
      <c r="Y1500" s="82" t="s">
        <v>3584</v>
      </c>
      <c r="AA1500" s="183"/>
      <c r="AB1500" s="183"/>
      <c r="AC1500" s="88"/>
      <c r="AD1500" s="88"/>
    </row>
    <row r="1501" spans="1:37" ht="17.100000000000001" customHeight="1" x14ac:dyDescent="0.25">
      <c r="A1501" s="29" t="s">
        <v>3334</v>
      </c>
      <c r="B1501" s="28" t="s">
        <v>782</v>
      </c>
      <c r="C1501" s="37" t="s">
        <v>1253</v>
      </c>
      <c r="E1501" s="37" t="s">
        <v>2832</v>
      </c>
      <c r="F1501" s="24" t="s">
        <v>2127</v>
      </c>
      <c r="H1501" s="38" t="s">
        <v>7118</v>
      </c>
      <c r="J1501" s="219"/>
      <c r="N1501" s="151"/>
      <c r="O1501" s="151"/>
      <c r="P1501" s="37" t="s">
        <v>1463</v>
      </c>
      <c r="S1501" s="111" t="s">
        <v>3412</v>
      </c>
      <c r="U1501" s="21">
        <v>1</v>
      </c>
      <c r="V1501" s="21">
        <v>1</v>
      </c>
      <c r="W1501" s="73">
        <f t="shared" si="70"/>
        <v>161</v>
      </c>
      <c r="X1501" s="80">
        <f t="shared" si="71"/>
        <v>2456</v>
      </c>
      <c r="Y1501" s="82" t="s">
        <v>3584</v>
      </c>
      <c r="AA1501" s="183"/>
      <c r="AB1501" s="183"/>
      <c r="AC1501" s="88"/>
      <c r="AD1501" s="88"/>
    </row>
    <row r="1502" spans="1:37" ht="17.100000000000001" customHeight="1" x14ac:dyDescent="0.25">
      <c r="A1502" s="29" t="s">
        <v>2255</v>
      </c>
      <c r="B1502" s="28" t="s">
        <v>479</v>
      </c>
      <c r="C1502" s="37" t="s">
        <v>1253</v>
      </c>
      <c r="E1502" s="37" t="s">
        <v>2832</v>
      </c>
      <c r="F1502" s="24" t="s">
        <v>2127</v>
      </c>
      <c r="J1502" s="219" t="s">
        <v>4457</v>
      </c>
      <c r="K1502" s="10" t="s">
        <v>5138</v>
      </c>
      <c r="N1502" s="151"/>
      <c r="O1502" s="151"/>
      <c r="P1502" s="37" t="s">
        <v>1463</v>
      </c>
      <c r="S1502" s="111" t="s">
        <v>3412</v>
      </c>
      <c r="U1502" s="21">
        <v>2</v>
      </c>
      <c r="V1502" s="21">
        <v>2</v>
      </c>
      <c r="W1502" s="73">
        <f t="shared" si="70"/>
        <v>163</v>
      </c>
      <c r="X1502" s="80">
        <f t="shared" si="71"/>
        <v>2458</v>
      </c>
      <c r="Y1502" s="82" t="s">
        <v>3584</v>
      </c>
      <c r="AA1502" s="183"/>
      <c r="AB1502" s="183"/>
      <c r="AC1502" s="88"/>
      <c r="AD1502" s="88"/>
    </row>
    <row r="1503" spans="1:37" ht="17.100000000000001" customHeight="1" x14ac:dyDescent="0.25">
      <c r="A1503" s="29" t="s">
        <v>3335</v>
      </c>
      <c r="B1503" s="28" t="s">
        <v>1888</v>
      </c>
      <c r="C1503" s="37" t="s">
        <v>1253</v>
      </c>
      <c r="E1503" s="37" t="s">
        <v>2832</v>
      </c>
      <c r="F1503" s="24" t="s">
        <v>2127</v>
      </c>
      <c r="H1503" s="38" t="s">
        <v>3204</v>
      </c>
      <c r="J1503" s="219"/>
      <c r="N1503" s="151"/>
      <c r="O1503" s="151"/>
      <c r="P1503" s="37" t="s">
        <v>1988</v>
      </c>
      <c r="S1503" s="111" t="s">
        <v>3412</v>
      </c>
      <c r="U1503" s="21">
        <v>1</v>
      </c>
      <c r="V1503" s="21">
        <v>1</v>
      </c>
      <c r="W1503" s="73">
        <f t="shared" si="70"/>
        <v>164</v>
      </c>
      <c r="X1503" s="80">
        <f t="shared" si="71"/>
        <v>2459</v>
      </c>
      <c r="Y1503" s="82" t="s">
        <v>3584</v>
      </c>
      <c r="AA1503" s="183"/>
      <c r="AB1503" s="183"/>
      <c r="AC1503" s="88"/>
      <c r="AD1503" s="88"/>
    </row>
    <row r="1504" spans="1:37" ht="17.100000000000001" customHeight="1" x14ac:dyDescent="0.25">
      <c r="A1504" s="29" t="s">
        <v>3205</v>
      </c>
      <c r="B1504" s="28" t="s">
        <v>464</v>
      </c>
      <c r="C1504" s="37" t="s">
        <v>1253</v>
      </c>
      <c r="E1504" s="37" t="s">
        <v>2832</v>
      </c>
      <c r="F1504" s="24" t="s">
        <v>2127</v>
      </c>
      <c r="H1504" s="38" t="s">
        <v>3204</v>
      </c>
      <c r="J1504" s="219"/>
      <c r="N1504" s="151"/>
      <c r="O1504" s="151"/>
      <c r="P1504" s="37" t="s">
        <v>670</v>
      </c>
      <c r="S1504" s="111" t="s">
        <v>3412</v>
      </c>
      <c r="U1504" s="21">
        <v>1</v>
      </c>
      <c r="V1504" s="21">
        <v>1</v>
      </c>
      <c r="W1504" s="73">
        <f t="shared" si="70"/>
        <v>165</v>
      </c>
      <c r="X1504" s="80">
        <f t="shared" si="71"/>
        <v>2460</v>
      </c>
      <c r="Y1504" s="82" t="s">
        <v>3584</v>
      </c>
      <c r="AA1504" s="183"/>
      <c r="AB1504" s="183"/>
      <c r="AC1504" s="88"/>
      <c r="AD1504" s="88"/>
    </row>
    <row r="1505" spans="1:30" ht="17.100000000000001" customHeight="1" x14ac:dyDescent="0.25">
      <c r="A1505" s="29" t="s">
        <v>477</v>
      </c>
      <c r="B1505" s="28" t="s">
        <v>478</v>
      </c>
      <c r="C1505" s="37" t="s">
        <v>1253</v>
      </c>
      <c r="E1505" s="37" t="s">
        <v>2832</v>
      </c>
      <c r="F1505" s="24" t="s">
        <v>2127</v>
      </c>
      <c r="J1505" s="219"/>
      <c r="N1505" s="151"/>
      <c r="O1505" s="151"/>
      <c r="P1505" s="37" t="s">
        <v>1463</v>
      </c>
      <c r="S1505" s="111" t="s">
        <v>3412</v>
      </c>
      <c r="U1505" s="21">
        <v>4</v>
      </c>
      <c r="V1505" s="21">
        <v>4</v>
      </c>
      <c r="W1505" s="73">
        <f t="shared" si="70"/>
        <v>169</v>
      </c>
      <c r="X1505" s="80">
        <f t="shared" si="71"/>
        <v>2464</v>
      </c>
      <c r="Y1505" s="82" t="s">
        <v>3584</v>
      </c>
      <c r="AA1505" s="183"/>
      <c r="AB1505" s="183"/>
      <c r="AC1505" s="88"/>
      <c r="AD1505" s="88"/>
    </row>
    <row r="1506" spans="1:30" ht="17.100000000000001" customHeight="1" x14ac:dyDescent="0.25">
      <c r="A1506" s="29" t="s">
        <v>568</v>
      </c>
      <c r="B1506" s="28" t="s">
        <v>666</v>
      </c>
      <c r="C1506" s="37" t="s">
        <v>1253</v>
      </c>
      <c r="E1506" s="37" t="s">
        <v>2832</v>
      </c>
      <c r="F1506" s="24" t="s">
        <v>2127</v>
      </c>
      <c r="J1506" s="219"/>
      <c r="N1506" s="151"/>
      <c r="O1506" s="151"/>
      <c r="P1506" s="37" t="s">
        <v>1463</v>
      </c>
      <c r="S1506" s="111" t="s">
        <v>3412</v>
      </c>
      <c r="U1506" s="21">
        <v>2</v>
      </c>
      <c r="V1506" s="21">
        <v>2</v>
      </c>
      <c r="W1506" s="73">
        <f t="shared" si="70"/>
        <v>171</v>
      </c>
      <c r="X1506" s="80">
        <f t="shared" si="71"/>
        <v>2466</v>
      </c>
      <c r="Y1506" s="82" t="s">
        <v>3584</v>
      </c>
      <c r="AA1506" s="183"/>
      <c r="AB1506" s="183"/>
      <c r="AC1506" s="88"/>
      <c r="AD1506" s="88"/>
    </row>
    <row r="1507" spans="1:30" ht="17.100000000000001" customHeight="1" x14ac:dyDescent="0.25">
      <c r="A1507" s="29" t="s">
        <v>628</v>
      </c>
      <c r="B1507" s="28" t="s">
        <v>629</v>
      </c>
      <c r="C1507" s="37" t="s">
        <v>1253</v>
      </c>
      <c r="E1507" s="37" t="s">
        <v>2832</v>
      </c>
      <c r="F1507" s="24" t="s">
        <v>2127</v>
      </c>
      <c r="J1507" s="219" t="s">
        <v>3690</v>
      </c>
      <c r="K1507" s="10" t="s">
        <v>3685</v>
      </c>
      <c r="N1507" s="151"/>
      <c r="O1507" s="151"/>
      <c r="P1507" s="37" t="s">
        <v>1463</v>
      </c>
      <c r="S1507" s="111" t="s">
        <v>3412</v>
      </c>
      <c r="U1507" s="21">
        <v>2</v>
      </c>
      <c r="V1507" s="21">
        <v>2</v>
      </c>
      <c r="W1507" s="73">
        <f t="shared" si="70"/>
        <v>173</v>
      </c>
      <c r="X1507" s="80">
        <f t="shared" si="71"/>
        <v>2468</v>
      </c>
      <c r="Y1507" s="82" t="s">
        <v>3584</v>
      </c>
      <c r="AA1507" s="183"/>
      <c r="AB1507" s="183"/>
      <c r="AC1507" s="88"/>
      <c r="AD1507" s="88"/>
    </row>
    <row r="1508" spans="1:30" ht="17.100000000000001" customHeight="1" x14ac:dyDescent="0.25">
      <c r="A1508" s="29" t="s">
        <v>693</v>
      </c>
      <c r="B1508" s="28" t="s">
        <v>849</v>
      </c>
      <c r="C1508" s="37" t="s">
        <v>1253</v>
      </c>
      <c r="E1508" s="37" t="s">
        <v>2832</v>
      </c>
      <c r="F1508" s="24" t="s">
        <v>2127</v>
      </c>
      <c r="J1508" s="219"/>
      <c r="N1508" s="151"/>
      <c r="O1508" s="151"/>
      <c r="P1508" s="37" t="s">
        <v>1463</v>
      </c>
      <c r="S1508" s="111" t="s">
        <v>3412</v>
      </c>
      <c r="U1508" s="21">
        <v>1</v>
      </c>
      <c r="V1508" s="21">
        <v>1</v>
      </c>
      <c r="W1508" s="73">
        <f t="shared" si="70"/>
        <v>174</v>
      </c>
      <c r="X1508" s="80">
        <f t="shared" si="71"/>
        <v>2469</v>
      </c>
      <c r="Y1508" s="82" t="s">
        <v>3584</v>
      </c>
      <c r="AA1508" s="183"/>
      <c r="AB1508" s="183"/>
      <c r="AC1508" s="88"/>
      <c r="AD1508" s="88"/>
    </row>
    <row r="1509" spans="1:30" ht="17.100000000000001" customHeight="1" x14ac:dyDescent="0.25">
      <c r="A1509" s="29" t="s">
        <v>597</v>
      </c>
      <c r="B1509" s="28" t="s">
        <v>598</v>
      </c>
      <c r="C1509" s="37" t="s">
        <v>1253</v>
      </c>
      <c r="E1509" s="37" t="s">
        <v>2832</v>
      </c>
      <c r="F1509" s="24" t="s">
        <v>2127</v>
      </c>
      <c r="J1509" s="219"/>
      <c r="N1509" s="151"/>
      <c r="O1509" s="151"/>
      <c r="P1509" s="37" t="s">
        <v>1463</v>
      </c>
      <c r="S1509" s="111" t="s">
        <v>3412</v>
      </c>
      <c r="U1509" s="21">
        <v>1</v>
      </c>
      <c r="V1509" s="21">
        <v>1</v>
      </c>
      <c r="W1509" s="73">
        <f t="shared" ref="W1509:W1572" si="72">W1508+V1509</f>
        <v>175</v>
      </c>
      <c r="X1509" s="80">
        <f t="shared" ref="X1509:X1572" si="73">V1509+X1508</f>
        <v>2470</v>
      </c>
      <c r="Y1509" s="82" t="s">
        <v>3584</v>
      </c>
      <c r="AA1509" s="183"/>
      <c r="AB1509" s="183"/>
      <c r="AC1509" s="88"/>
      <c r="AD1509" s="88"/>
    </row>
    <row r="1510" spans="1:30" ht="17.100000000000001" customHeight="1" x14ac:dyDescent="0.25">
      <c r="A1510" s="29" t="s">
        <v>514</v>
      </c>
      <c r="B1510" s="28" t="s">
        <v>515</v>
      </c>
      <c r="C1510" s="37" t="s">
        <v>1253</v>
      </c>
      <c r="E1510" s="37" t="s">
        <v>2832</v>
      </c>
      <c r="F1510" s="24" t="s">
        <v>2127</v>
      </c>
      <c r="J1510" s="219" t="s">
        <v>3694</v>
      </c>
      <c r="K1510" s="10" t="s">
        <v>3699</v>
      </c>
      <c r="N1510" s="151"/>
      <c r="O1510" s="151"/>
      <c r="P1510" s="37" t="s">
        <v>1463</v>
      </c>
      <c r="S1510" s="111" t="s">
        <v>3412</v>
      </c>
      <c r="U1510" s="21">
        <v>1</v>
      </c>
      <c r="V1510" s="21">
        <v>1</v>
      </c>
      <c r="W1510" s="73">
        <f t="shared" si="72"/>
        <v>176</v>
      </c>
      <c r="X1510" s="80">
        <f t="shared" si="73"/>
        <v>2471</v>
      </c>
      <c r="Y1510" s="82" t="s">
        <v>3584</v>
      </c>
      <c r="AA1510" s="183"/>
      <c r="AB1510" s="183"/>
      <c r="AC1510" s="88"/>
      <c r="AD1510" s="88"/>
    </row>
    <row r="1511" spans="1:30" ht="17.100000000000001" customHeight="1" x14ac:dyDescent="0.25">
      <c r="A1511" s="29" t="s">
        <v>778</v>
      </c>
      <c r="B1511" s="28" t="s">
        <v>781</v>
      </c>
      <c r="C1511" s="37" t="s">
        <v>1253</v>
      </c>
      <c r="E1511" s="37" t="s">
        <v>2832</v>
      </c>
      <c r="F1511" s="24" t="s">
        <v>2127</v>
      </c>
      <c r="J1511" s="219"/>
      <c r="N1511" s="151"/>
      <c r="O1511" s="151"/>
      <c r="P1511" s="37" t="s">
        <v>1463</v>
      </c>
      <c r="S1511" s="111" t="s">
        <v>3412</v>
      </c>
      <c r="U1511" s="21">
        <v>1</v>
      </c>
      <c r="V1511" s="21">
        <v>1</v>
      </c>
      <c r="W1511" s="73">
        <f t="shared" si="72"/>
        <v>177</v>
      </c>
      <c r="X1511" s="80">
        <f t="shared" si="73"/>
        <v>2472</v>
      </c>
      <c r="Y1511" s="82" t="s">
        <v>3584</v>
      </c>
      <c r="AA1511" s="183"/>
      <c r="AB1511" s="183"/>
      <c r="AC1511" s="88"/>
      <c r="AD1511" s="88"/>
    </row>
    <row r="1512" spans="1:30" ht="17.100000000000001" customHeight="1" x14ac:dyDescent="0.25">
      <c r="A1512" s="29" t="s">
        <v>3701</v>
      </c>
      <c r="B1512" s="28" t="s">
        <v>421</v>
      </c>
      <c r="C1512" s="37" t="s">
        <v>1253</v>
      </c>
      <c r="E1512" s="37" t="s">
        <v>2832</v>
      </c>
      <c r="F1512" s="24" t="s">
        <v>2127</v>
      </c>
      <c r="J1512" s="219" t="s">
        <v>3690</v>
      </c>
      <c r="K1512" s="10" t="s">
        <v>3685</v>
      </c>
      <c r="N1512" s="151"/>
      <c r="O1512" s="151"/>
      <c r="P1512" s="37" t="s">
        <v>1463</v>
      </c>
      <c r="S1512" s="111" t="s">
        <v>3412</v>
      </c>
      <c r="U1512" s="21">
        <v>1</v>
      </c>
      <c r="V1512" s="21">
        <v>1</v>
      </c>
      <c r="W1512" s="73">
        <f t="shared" si="72"/>
        <v>178</v>
      </c>
      <c r="X1512" s="80">
        <f t="shared" si="73"/>
        <v>2473</v>
      </c>
      <c r="Y1512" s="82" t="s">
        <v>3584</v>
      </c>
      <c r="AA1512" s="183"/>
      <c r="AB1512" s="183"/>
      <c r="AC1512" s="88"/>
      <c r="AD1512" s="88"/>
    </row>
    <row r="1513" spans="1:30" ht="17.100000000000001" customHeight="1" x14ac:dyDescent="0.25">
      <c r="A1513" s="29" t="s">
        <v>3707</v>
      </c>
      <c r="B1513" s="28" t="s">
        <v>783</v>
      </c>
      <c r="C1513" s="37" t="s">
        <v>1253</v>
      </c>
      <c r="E1513" s="37" t="s">
        <v>2832</v>
      </c>
      <c r="F1513" s="24" t="s">
        <v>2127</v>
      </c>
      <c r="J1513" s="219" t="s">
        <v>3690</v>
      </c>
      <c r="K1513" s="10" t="s">
        <v>3685</v>
      </c>
      <c r="N1513" s="151"/>
      <c r="O1513" s="151"/>
      <c r="P1513" s="37" t="s">
        <v>1463</v>
      </c>
      <c r="S1513" s="111" t="s">
        <v>3412</v>
      </c>
      <c r="U1513" s="21">
        <v>2</v>
      </c>
      <c r="V1513" s="21">
        <v>2</v>
      </c>
      <c r="W1513" s="73">
        <f t="shared" si="72"/>
        <v>180</v>
      </c>
      <c r="X1513" s="80">
        <f t="shared" si="73"/>
        <v>2475</v>
      </c>
      <c r="Y1513" s="82" t="s">
        <v>3584</v>
      </c>
      <c r="AA1513" s="183"/>
      <c r="AB1513" s="183"/>
      <c r="AC1513" s="88"/>
      <c r="AD1513" s="88"/>
    </row>
    <row r="1514" spans="1:30" ht="17.100000000000001" customHeight="1" x14ac:dyDescent="0.25">
      <c r="A1514" s="29" t="s">
        <v>5206</v>
      </c>
      <c r="B1514" s="28" t="s">
        <v>480</v>
      </c>
      <c r="C1514" s="37" t="s">
        <v>1253</v>
      </c>
      <c r="E1514" s="37" t="s">
        <v>2832</v>
      </c>
      <c r="F1514" s="24" t="s">
        <v>2127</v>
      </c>
      <c r="H1514" s="38" t="s">
        <v>5207</v>
      </c>
      <c r="J1514" s="219" t="s">
        <v>3690</v>
      </c>
      <c r="K1514" s="10" t="s">
        <v>3685</v>
      </c>
      <c r="N1514" s="151"/>
      <c r="O1514" s="151"/>
      <c r="P1514" s="37" t="s">
        <v>1463</v>
      </c>
      <c r="S1514" s="111" t="s">
        <v>3412</v>
      </c>
      <c r="U1514" s="21">
        <v>1</v>
      </c>
      <c r="V1514" s="21">
        <v>1</v>
      </c>
      <c r="W1514" s="73">
        <f t="shared" si="72"/>
        <v>181</v>
      </c>
      <c r="X1514" s="80">
        <f t="shared" si="73"/>
        <v>2476</v>
      </c>
      <c r="Y1514" s="82" t="s">
        <v>3584</v>
      </c>
      <c r="AA1514" s="183"/>
      <c r="AB1514" s="183"/>
      <c r="AC1514" s="88"/>
      <c r="AD1514" s="88"/>
    </row>
    <row r="1515" spans="1:30" ht="17.100000000000001" customHeight="1" x14ac:dyDescent="0.25">
      <c r="A1515" s="29" t="s">
        <v>481</v>
      </c>
      <c r="B1515" s="28" t="s">
        <v>584</v>
      </c>
      <c r="C1515" s="37" t="s">
        <v>1253</v>
      </c>
      <c r="E1515" s="37" t="s">
        <v>2832</v>
      </c>
      <c r="F1515" s="24" t="s">
        <v>2127</v>
      </c>
      <c r="J1515" s="219"/>
      <c r="N1515" s="151"/>
      <c r="O1515" s="151"/>
      <c r="P1515" s="37" t="s">
        <v>1463</v>
      </c>
      <c r="S1515" s="111" t="s">
        <v>3412</v>
      </c>
      <c r="T1515" s="10" t="s">
        <v>6457</v>
      </c>
      <c r="U1515" s="21">
        <v>1</v>
      </c>
      <c r="V1515" s="21">
        <v>1</v>
      </c>
      <c r="W1515" s="73">
        <f t="shared" si="72"/>
        <v>182</v>
      </c>
      <c r="X1515" s="80">
        <f t="shared" si="73"/>
        <v>2477</v>
      </c>
      <c r="Y1515" s="82" t="s">
        <v>3584</v>
      </c>
      <c r="AA1515" s="183"/>
      <c r="AB1515" s="183"/>
      <c r="AC1515" s="88"/>
      <c r="AD1515" s="88"/>
    </row>
    <row r="1516" spans="1:30" ht="17.100000000000001" customHeight="1" x14ac:dyDescent="0.25">
      <c r="A1516" s="29" t="s">
        <v>1881</v>
      </c>
      <c r="B1516" s="28" t="s">
        <v>1883</v>
      </c>
      <c r="C1516" s="37" t="s">
        <v>1882</v>
      </c>
      <c r="E1516" s="37" t="s">
        <v>2832</v>
      </c>
      <c r="F1516" s="24" t="s">
        <v>2127</v>
      </c>
      <c r="J1516" s="219"/>
      <c r="N1516" s="151"/>
      <c r="O1516" s="151"/>
      <c r="S1516" s="111" t="s">
        <v>3412</v>
      </c>
      <c r="U1516" s="21">
        <v>1</v>
      </c>
      <c r="V1516" s="21">
        <v>1</v>
      </c>
      <c r="W1516" s="73">
        <f t="shared" si="72"/>
        <v>183</v>
      </c>
      <c r="X1516" s="80">
        <f t="shared" si="73"/>
        <v>2478</v>
      </c>
      <c r="Y1516" s="82" t="s">
        <v>3584</v>
      </c>
      <c r="AA1516" s="183"/>
      <c r="AB1516" s="183"/>
      <c r="AC1516" s="88"/>
      <c r="AD1516" s="88"/>
    </row>
    <row r="1517" spans="1:30" ht="17.100000000000001" customHeight="1" x14ac:dyDescent="0.25">
      <c r="A1517" s="29" t="s">
        <v>355</v>
      </c>
      <c r="B1517" s="28" t="s">
        <v>519</v>
      </c>
      <c r="C1517" s="37" t="s">
        <v>1253</v>
      </c>
      <c r="E1517" s="37" t="s">
        <v>2832</v>
      </c>
      <c r="F1517" s="24" t="s">
        <v>2127</v>
      </c>
      <c r="J1517" s="219"/>
      <c r="N1517" s="151"/>
      <c r="O1517" s="151"/>
      <c r="P1517" s="37" t="s">
        <v>1463</v>
      </c>
      <c r="S1517" s="111" t="s">
        <v>3412</v>
      </c>
      <c r="U1517" s="21">
        <v>1</v>
      </c>
      <c r="V1517" s="21">
        <v>1</v>
      </c>
      <c r="W1517" s="73">
        <f t="shared" si="72"/>
        <v>184</v>
      </c>
      <c r="X1517" s="80">
        <f t="shared" si="73"/>
        <v>2479</v>
      </c>
      <c r="Y1517" s="82" t="s">
        <v>3584</v>
      </c>
      <c r="AA1517" s="183"/>
      <c r="AB1517" s="183"/>
      <c r="AC1517" s="88"/>
      <c r="AD1517" s="88"/>
    </row>
    <row r="1518" spans="1:30" ht="17.100000000000001" customHeight="1" x14ac:dyDescent="0.25">
      <c r="A1518" s="29" t="s">
        <v>304</v>
      </c>
      <c r="B1518" s="28" t="s">
        <v>427</v>
      </c>
      <c r="C1518" s="37" t="s">
        <v>1253</v>
      </c>
      <c r="E1518" s="37" t="s">
        <v>2832</v>
      </c>
      <c r="F1518" s="24" t="s">
        <v>2128</v>
      </c>
      <c r="J1518" s="219"/>
      <c r="N1518" s="151"/>
      <c r="O1518" s="151"/>
      <c r="P1518" s="37" t="s">
        <v>1463</v>
      </c>
      <c r="S1518" s="111" t="s">
        <v>3412</v>
      </c>
      <c r="U1518" s="21">
        <v>1</v>
      </c>
      <c r="V1518" s="21">
        <v>1</v>
      </c>
      <c r="W1518" s="73">
        <f t="shared" si="72"/>
        <v>185</v>
      </c>
      <c r="X1518" s="80">
        <f t="shared" si="73"/>
        <v>2480</v>
      </c>
      <c r="Y1518" s="82" t="s">
        <v>3584</v>
      </c>
      <c r="AA1518" s="183"/>
      <c r="AB1518" s="183"/>
      <c r="AC1518" s="88"/>
      <c r="AD1518" s="88"/>
    </row>
    <row r="1519" spans="1:30" ht="17.100000000000001" customHeight="1" x14ac:dyDescent="0.25">
      <c r="A1519" s="29" t="s">
        <v>3704</v>
      </c>
      <c r="B1519" s="28" t="s">
        <v>223</v>
      </c>
      <c r="C1519" s="37" t="s">
        <v>1253</v>
      </c>
      <c r="E1519" s="37" t="s">
        <v>2832</v>
      </c>
      <c r="F1519" s="24" t="s">
        <v>2128</v>
      </c>
      <c r="J1519" s="219" t="s">
        <v>3690</v>
      </c>
      <c r="K1519" s="10" t="s">
        <v>3685</v>
      </c>
      <c r="N1519" s="151"/>
      <c r="O1519" s="151"/>
      <c r="P1519" s="37" t="s">
        <v>1463</v>
      </c>
      <c r="S1519" s="111" t="s">
        <v>3412</v>
      </c>
      <c r="U1519" s="21">
        <v>1</v>
      </c>
      <c r="V1519" s="21">
        <v>1</v>
      </c>
      <c r="W1519" s="73">
        <f t="shared" si="72"/>
        <v>186</v>
      </c>
      <c r="X1519" s="80">
        <f t="shared" si="73"/>
        <v>2481</v>
      </c>
      <c r="Y1519" s="82" t="s">
        <v>3584</v>
      </c>
      <c r="AA1519" s="183"/>
      <c r="AB1519" s="183"/>
      <c r="AC1519" s="88"/>
      <c r="AD1519" s="88"/>
    </row>
    <row r="1520" spans="1:30" ht="17.100000000000001" customHeight="1" x14ac:dyDescent="0.25">
      <c r="A1520" s="29" t="s">
        <v>3705</v>
      </c>
      <c r="B1520" s="28" t="s">
        <v>437</v>
      </c>
      <c r="C1520" s="37" t="s">
        <v>1253</v>
      </c>
      <c r="E1520" s="37" t="s">
        <v>2832</v>
      </c>
      <c r="F1520" s="24" t="s">
        <v>2128</v>
      </c>
      <c r="J1520" s="219" t="s">
        <v>3690</v>
      </c>
      <c r="K1520" s="10" t="s">
        <v>3685</v>
      </c>
      <c r="N1520" s="151"/>
      <c r="O1520" s="151"/>
      <c r="P1520" s="37" t="s">
        <v>1463</v>
      </c>
      <c r="S1520" s="111" t="s">
        <v>3412</v>
      </c>
      <c r="U1520" s="21">
        <v>1</v>
      </c>
      <c r="V1520" s="21">
        <v>1</v>
      </c>
      <c r="W1520" s="73">
        <f t="shared" si="72"/>
        <v>187</v>
      </c>
      <c r="X1520" s="80">
        <f t="shared" si="73"/>
        <v>2482</v>
      </c>
      <c r="Y1520" s="82" t="s">
        <v>3584</v>
      </c>
      <c r="AA1520" s="183"/>
      <c r="AB1520" s="183"/>
      <c r="AC1520" s="88"/>
      <c r="AD1520" s="88"/>
    </row>
    <row r="1521" spans="1:30" ht="17.100000000000001" customHeight="1" x14ac:dyDescent="0.25">
      <c r="A1521" s="29" t="s">
        <v>631</v>
      </c>
      <c r="B1521" s="28" t="s">
        <v>442</v>
      </c>
      <c r="C1521" s="37" t="s">
        <v>1253</v>
      </c>
      <c r="E1521" s="37" t="s">
        <v>2832</v>
      </c>
      <c r="F1521" s="24" t="s">
        <v>2128</v>
      </c>
      <c r="J1521" s="219"/>
      <c r="N1521" s="151"/>
      <c r="O1521" s="151"/>
      <c r="P1521" s="37" t="s">
        <v>1463</v>
      </c>
      <c r="S1521" s="111" t="s">
        <v>3412</v>
      </c>
      <c r="U1521" s="21">
        <v>1</v>
      </c>
      <c r="V1521" s="21">
        <v>1</v>
      </c>
      <c r="W1521" s="73">
        <f t="shared" si="72"/>
        <v>188</v>
      </c>
      <c r="X1521" s="80">
        <f t="shared" si="73"/>
        <v>2483</v>
      </c>
      <c r="Y1521" s="82" t="s">
        <v>3584</v>
      </c>
      <c r="AA1521" s="183"/>
      <c r="AB1521" s="183"/>
      <c r="AC1521" s="88"/>
      <c r="AD1521" s="88"/>
    </row>
    <row r="1522" spans="1:30" ht="17.100000000000001" customHeight="1" x14ac:dyDescent="0.25">
      <c r="A1522" s="29" t="s">
        <v>458</v>
      </c>
      <c r="B1522" s="28" t="s">
        <v>630</v>
      </c>
      <c r="C1522" s="37" t="s">
        <v>1253</v>
      </c>
      <c r="E1522" s="37" t="s">
        <v>2832</v>
      </c>
      <c r="F1522" s="24" t="s">
        <v>2128</v>
      </c>
      <c r="J1522" s="219"/>
      <c r="N1522" s="151"/>
      <c r="O1522" s="151"/>
      <c r="P1522" s="37" t="s">
        <v>1463</v>
      </c>
      <c r="S1522" s="111" t="s">
        <v>3412</v>
      </c>
      <c r="U1522" s="21">
        <v>2</v>
      </c>
      <c r="V1522" s="21">
        <v>2</v>
      </c>
      <c r="W1522" s="73">
        <f t="shared" si="72"/>
        <v>190</v>
      </c>
      <c r="X1522" s="80">
        <f t="shared" si="73"/>
        <v>2485</v>
      </c>
      <c r="Y1522" s="82" t="s">
        <v>3584</v>
      </c>
      <c r="AA1522" s="183"/>
      <c r="AB1522" s="183"/>
      <c r="AC1522" s="88"/>
      <c r="AD1522" s="88"/>
    </row>
    <row r="1523" spans="1:30" ht="17.100000000000001" customHeight="1" x14ac:dyDescent="0.25">
      <c r="A1523" s="29" t="s">
        <v>3706</v>
      </c>
      <c r="B1523" s="28" t="s">
        <v>626</v>
      </c>
      <c r="C1523" s="37" t="s">
        <v>1253</v>
      </c>
      <c r="E1523" s="37" t="s">
        <v>2832</v>
      </c>
      <c r="F1523" s="24" t="s">
        <v>2128</v>
      </c>
      <c r="J1523" s="219" t="s">
        <v>3690</v>
      </c>
      <c r="K1523" s="10" t="s">
        <v>3685</v>
      </c>
      <c r="N1523" s="151"/>
      <c r="O1523" s="151"/>
      <c r="P1523" s="37" t="s">
        <v>1463</v>
      </c>
      <c r="S1523" s="111" t="s">
        <v>3412</v>
      </c>
      <c r="U1523" s="21">
        <v>1</v>
      </c>
      <c r="V1523" s="21">
        <v>1</v>
      </c>
      <c r="W1523" s="73">
        <f t="shared" si="72"/>
        <v>191</v>
      </c>
      <c r="X1523" s="80">
        <f t="shared" si="73"/>
        <v>2486</v>
      </c>
      <c r="Y1523" s="82" t="s">
        <v>3584</v>
      </c>
      <c r="AA1523" s="183"/>
      <c r="AB1523" s="183"/>
      <c r="AC1523" s="88"/>
      <c r="AD1523" s="88"/>
    </row>
    <row r="1524" spans="1:30" ht="17.100000000000001" customHeight="1" x14ac:dyDescent="0.25">
      <c r="A1524" s="29" t="s">
        <v>632</v>
      </c>
      <c r="B1524" s="28" t="s">
        <v>633</v>
      </c>
      <c r="C1524" s="37" t="s">
        <v>1253</v>
      </c>
      <c r="E1524" s="37" t="s">
        <v>2832</v>
      </c>
      <c r="F1524" s="24" t="s">
        <v>2128</v>
      </c>
      <c r="J1524" s="219"/>
      <c r="N1524" s="151"/>
      <c r="O1524" s="151"/>
      <c r="P1524" s="37" t="s">
        <v>1463</v>
      </c>
      <c r="S1524" s="111" t="s">
        <v>3412</v>
      </c>
      <c r="U1524" s="21">
        <v>1</v>
      </c>
      <c r="V1524" s="21">
        <v>1</v>
      </c>
      <c r="W1524" s="73">
        <f t="shared" si="72"/>
        <v>192</v>
      </c>
      <c r="X1524" s="80">
        <f t="shared" si="73"/>
        <v>2487</v>
      </c>
      <c r="Y1524" s="82" t="s">
        <v>3584</v>
      </c>
      <c r="AA1524" s="183"/>
      <c r="AB1524" s="183"/>
      <c r="AC1524" s="88"/>
      <c r="AD1524" s="88"/>
    </row>
    <row r="1525" spans="1:30" ht="17.100000000000001" customHeight="1" x14ac:dyDescent="0.25">
      <c r="A1525" s="29" t="s">
        <v>316</v>
      </c>
      <c r="B1525" s="28" t="s">
        <v>317</v>
      </c>
      <c r="C1525" s="37" t="s">
        <v>1253</v>
      </c>
      <c r="E1525" s="37" t="s">
        <v>2832</v>
      </c>
      <c r="F1525" s="24" t="s">
        <v>2128</v>
      </c>
      <c r="J1525" s="219"/>
      <c r="N1525" s="151"/>
      <c r="O1525" s="151"/>
      <c r="P1525" s="37" t="s">
        <v>1463</v>
      </c>
      <c r="S1525" s="111" t="s">
        <v>3412</v>
      </c>
      <c r="U1525" s="21">
        <v>1</v>
      </c>
      <c r="V1525" s="21">
        <v>1</v>
      </c>
      <c r="W1525" s="73">
        <f t="shared" si="72"/>
        <v>193</v>
      </c>
      <c r="X1525" s="80">
        <f t="shared" si="73"/>
        <v>2488</v>
      </c>
      <c r="Y1525" s="82" t="s">
        <v>3584</v>
      </c>
      <c r="AA1525" s="183"/>
      <c r="AB1525" s="183"/>
      <c r="AC1525" s="88"/>
      <c r="AD1525" s="88"/>
    </row>
    <row r="1526" spans="1:30" ht="17.100000000000001" customHeight="1" x14ac:dyDescent="0.25">
      <c r="A1526" s="29" t="s">
        <v>3700</v>
      </c>
      <c r="B1526" s="28" t="s">
        <v>242</v>
      </c>
      <c r="C1526" s="37" t="s">
        <v>1253</v>
      </c>
      <c r="E1526" s="37" t="s">
        <v>2832</v>
      </c>
      <c r="F1526" s="24" t="s">
        <v>2128</v>
      </c>
      <c r="J1526" s="219" t="s">
        <v>3690</v>
      </c>
      <c r="K1526" s="10" t="s">
        <v>3685</v>
      </c>
      <c r="N1526" s="151"/>
      <c r="O1526" s="151"/>
      <c r="P1526" s="37" t="s">
        <v>1463</v>
      </c>
      <c r="S1526" s="111" t="s">
        <v>3412</v>
      </c>
      <c r="U1526" s="21">
        <v>1</v>
      </c>
      <c r="V1526" s="21">
        <v>1</v>
      </c>
      <c r="W1526" s="73">
        <f t="shared" si="72"/>
        <v>194</v>
      </c>
      <c r="X1526" s="80">
        <f t="shared" si="73"/>
        <v>2489</v>
      </c>
      <c r="Y1526" s="82" t="s">
        <v>3584</v>
      </c>
      <c r="AA1526" s="183"/>
      <c r="AB1526" s="183"/>
      <c r="AC1526" s="88"/>
      <c r="AD1526" s="88"/>
    </row>
    <row r="1527" spans="1:30" ht="17.100000000000001" customHeight="1" x14ac:dyDescent="0.25">
      <c r="A1527" s="29" t="s">
        <v>443</v>
      </c>
      <c r="B1527" s="28" t="s">
        <v>444</v>
      </c>
      <c r="C1527" s="37" t="s">
        <v>1253</v>
      </c>
      <c r="E1527" s="37" t="s">
        <v>2832</v>
      </c>
      <c r="F1527" s="24" t="s">
        <v>2128</v>
      </c>
      <c r="J1527" s="219"/>
      <c r="N1527" s="151"/>
      <c r="O1527" s="151"/>
      <c r="P1527" s="37" t="s">
        <v>1463</v>
      </c>
      <c r="S1527" s="111" t="s">
        <v>3412</v>
      </c>
      <c r="U1527" s="21">
        <v>4</v>
      </c>
      <c r="V1527" s="21">
        <v>4</v>
      </c>
      <c r="W1527" s="73">
        <f t="shared" si="72"/>
        <v>198</v>
      </c>
      <c r="X1527" s="80">
        <f t="shared" si="73"/>
        <v>2493</v>
      </c>
      <c r="Y1527" s="82" t="s">
        <v>3584</v>
      </c>
      <c r="AA1527" s="183"/>
      <c r="AB1527" s="183"/>
      <c r="AC1527" s="88"/>
      <c r="AD1527" s="88"/>
    </row>
    <row r="1528" spans="1:30" ht="17.100000000000001" customHeight="1" x14ac:dyDescent="0.25">
      <c r="A1528" s="29" t="s">
        <v>539</v>
      </c>
      <c r="B1528" s="28" t="s">
        <v>855</v>
      </c>
      <c r="C1528" s="37" t="s">
        <v>1253</v>
      </c>
      <c r="E1528" s="37" t="s">
        <v>2832</v>
      </c>
      <c r="F1528" s="24" t="s">
        <v>2128</v>
      </c>
      <c r="J1528" s="219"/>
      <c r="N1528" s="151"/>
      <c r="O1528" s="151"/>
      <c r="P1528" s="37" t="s">
        <v>1986</v>
      </c>
      <c r="S1528" s="111" t="s">
        <v>3412</v>
      </c>
      <c r="U1528" s="21">
        <v>1</v>
      </c>
      <c r="V1528" s="21">
        <v>1</v>
      </c>
      <c r="W1528" s="73">
        <f t="shared" si="72"/>
        <v>199</v>
      </c>
      <c r="X1528" s="80">
        <f t="shared" si="73"/>
        <v>2494</v>
      </c>
      <c r="Y1528" s="82" t="s">
        <v>3584</v>
      </c>
      <c r="AA1528" s="183"/>
      <c r="AB1528" s="183"/>
      <c r="AC1528" s="88"/>
      <c r="AD1528" s="88"/>
    </row>
    <row r="1529" spans="1:30" ht="17.100000000000001" customHeight="1" x14ac:dyDescent="0.25">
      <c r="A1529" s="29" t="s">
        <v>3336</v>
      </c>
      <c r="B1529" s="28" t="s">
        <v>2092</v>
      </c>
      <c r="C1529" s="37" t="s">
        <v>1253</v>
      </c>
      <c r="E1529" s="37" t="s">
        <v>2832</v>
      </c>
      <c r="F1529" s="24" t="s">
        <v>2128</v>
      </c>
      <c r="J1529" s="219"/>
      <c r="N1529" s="151"/>
      <c r="O1529" s="151"/>
      <c r="P1529" s="37" t="s">
        <v>1873</v>
      </c>
      <c r="S1529" s="111" t="s">
        <v>3412</v>
      </c>
      <c r="U1529" s="21">
        <v>2</v>
      </c>
      <c r="V1529" s="21">
        <v>2</v>
      </c>
      <c r="W1529" s="73">
        <f t="shared" si="72"/>
        <v>201</v>
      </c>
      <c r="X1529" s="80">
        <f t="shared" si="73"/>
        <v>2496</v>
      </c>
      <c r="Y1529" s="82" t="s">
        <v>3584</v>
      </c>
      <c r="AA1529" s="183"/>
      <c r="AB1529" s="183"/>
      <c r="AC1529" s="88"/>
      <c r="AD1529" s="88"/>
    </row>
    <row r="1530" spans="1:30" ht="17.100000000000001" customHeight="1" x14ac:dyDescent="0.25">
      <c r="A1530" s="29" t="s">
        <v>5215</v>
      </c>
      <c r="B1530" s="28" t="s">
        <v>5217</v>
      </c>
      <c r="C1530" s="37" t="s">
        <v>1253</v>
      </c>
      <c r="E1530" s="37" t="s">
        <v>2832</v>
      </c>
      <c r="F1530" s="24" t="s">
        <v>2128</v>
      </c>
      <c r="H1530" s="38" t="s">
        <v>5216</v>
      </c>
      <c r="J1530" s="219"/>
      <c r="N1530" s="151"/>
      <c r="O1530" s="151"/>
      <c r="P1530" s="37" t="s">
        <v>1463</v>
      </c>
      <c r="S1530" s="111" t="s">
        <v>3412</v>
      </c>
      <c r="U1530" s="21">
        <v>2</v>
      </c>
      <c r="V1530" s="21">
        <v>2</v>
      </c>
      <c r="W1530" s="73">
        <f t="shared" si="72"/>
        <v>203</v>
      </c>
      <c r="X1530" s="80">
        <f t="shared" si="73"/>
        <v>2498</v>
      </c>
      <c r="Y1530" s="82" t="s">
        <v>3584</v>
      </c>
      <c r="AA1530" s="183"/>
      <c r="AB1530" s="183"/>
      <c r="AC1530" s="88"/>
      <c r="AD1530" s="88"/>
    </row>
    <row r="1531" spans="1:30" ht="17.100000000000001" customHeight="1" x14ac:dyDescent="0.25">
      <c r="A1531" s="29" t="s">
        <v>594</v>
      </c>
      <c r="B1531" s="28" t="s">
        <v>342</v>
      </c>
      <c r="C1531" s="37" t="s">
        <v>1253</v>
      </c>
      <c r="E1531" s="37" t="s">
        <v>2832</v>
      </c>
      <c r="F1531" s="24" t="s">
        <v>2128</v>
      </c>
      <c r="J1531" s="219"/>
      <c r="N1531" s="151"/>
      <c r="O1531" s="151"/>
      <c r="P1531" s="37" t="s">
        <v>1463</v>
      </c>
      <c r="S1531" s="111" t="s">
        <v>3412</v>
      </c>
      <c r="U1531" s="21">
        <v>1</v>
      </c>
      <c r="V1531" s="21">
        <v>1</v>
      </c>
      <c r="W1531" s="73">
        <f t="shared" si="72"/>
        <v>204</v>
      </c>
      <c r="X1531" s="80">
        <f t="shared" si="73"/>
        <v>2499</v>
      </c>
      <c r="Y1531" s="82" t="s">
        <v>3584</v>
      </c>
      <c r="AA1531" s="183"/>
      <c r="AB1531" s="183"/>
      <c r="AC1531" s="88"/>
      <c r="AD1531" s="88"/>
    </row>
    <row r="1532" spans="1:30" ht="17.100000000000001" customHeight="1" x14ac:dyDescent="0.25">
      <c r="A1532" s="29" t="s">
        <v>594</v>
      </c>
      <c r="B1532" s="28" t="s">
        <v>342</v>
      </c>
      <c r="C1532" s="37" t="s">
        <v>1253</v>
      </c>
      <c r="E1532" s="37" t="s">
        <v>2832</v>
      </c>
      <c r="F1532" s="24" t="s">
        <v>2143</v>
      </c>
      <c r="J1532" s="219"/>
      <c r="N1532" s="151"/>
      <c r="O1532" s="151"/>
      <c r="Q1532" s="37" t="s">
        <v>1998</v>
      </c>
      <c r="S1532" s="111" t="s">
        <v>3412</v>
      </c>
      <c r="U1532" s="21">
        <v>1</v>
      </c>
      <c r="V1532" s="21">
        <v>1</v>
      </c>
      <c r="W1532" s="73">
        <f t="shared" si="72"/>
        <v>205</v>
      </c>
      <c r="X1532" s="80">
        <f t="shared" si="73"/>
        <v>2500</v>
      </c>
      <c r="Y1532" s="82" t="s">
        <v>3584</v>
      </c>
      <c r="AA1532" s="183"/>
      <c r="AB1532" s="183"/>
      <c r="AC1532" s="88"/>
      <c r="AD1532" s="88"/>
    </row>
    <row r="1533" spans="1:30" ht="17.100000000000001" customHeight="1" x14ac:dyDescent="0.25">
      <c r="A1533" s="29" t="s">
        <v>3337</v>
      </c>
      <c r="B1533" s="28" t="s">
        <v>431</v>
      </c>
      <c r="C1533" s="37" t="s">
        <v>1253</v>
      </c>
      <c r="E1533" s="37" t="s">
        <v>2832</v>
      </c>
      <c r="F1533" s="24" t="s">
        <v>2128</v>
      </c>
      <c r="J1533" s="219"/>
      <c r="N1533" s="151"/>
      <c r="O1533" s="151"/>
      <c r="P1533" s="37" t="s">
        <v>1463</v>
      </c>
      <c r="S1533" s="111" t="s">
        <v>3412</v>
      </c>
      <c r="U1533" s="21">
        <v>1</v>
      </c>
      <c r="V1533" s="21">
        <v>1</v>
      </c>
      <c r="W1533" s="73">
        <f t="shared" si="72"/>
        <v>206</v>
      </c>
      <c r="X1533" s="80">
        <f t="shared" si="73"/>
        <v>2501</v>
      </c>
      <c r="Y1533" s="82" t="s">
        <v>3584</v>
      </c>
      <c r="AA1533" s="183"/>
      <c r="AB1533" s="183"/>
      <c r="AC1533" s="88"/>
      <c r="AD1533" s="88"/>
    </row>
    <row r="1534" spans="1:30" ht="17.100000000000001" customHeight="1" x14ac:dyDescent="0.25">
      <c r="A1534" s="29" t="s">
        <v>415</v>
      </c>
      <c r="B1534" s="28" t="s">
        <v>416</v>
      </c>
      <c r="C1534" s="37" t="s">
        <v>1253</v>
      </c>
      <c r="E1534" s="37" t="s">
        <v>2832</v>
      </c>
      <c r="F1534" s="24" t="s">
        <v>2128</v>
      </c>
      <c r="J1534" s="219"/>
      <c r="N1534" s="151"/>
      <c r="O1534" s="151"/>
      <c r="P1534" s="37" t="s">
        <v>1463</v>
      </c>
      <c r="S1534" s="111" t="s">
        <v>3412</v>
      </c>
      <c r="U1534" s="21">
        <v>1</v>
      </c>
      <c r="V1534" s="21">
        <v>1</v>
      </c>
      <c r="W1534" s="73">
        <f t="shared" si="72"/>
        <v>207</v>
      </c>
      <c r="X1534" s="80">
        <f t="shared" si="73"/>
        <v>2502</v>
      </c>
      <c r="Y1534" s="82" t="s">
        <v>3584</v>
      </c>
      <c r="AA1534" s="183"/>
      <c r="AB1534" s="183"/>
      <c r="AC1534" s="88"/>
      <c r="AD1534" s="88"/>
    </row>
    <row r="1535" spans="1:30" ht="17.100000000000001" customHeight="1" x14ac:dyDescent="0.25">
      <c r="A1535" s="29" t="s">
        <v>441</v>
      </c>
      <c r="B1535" s="28" t="s">
        <v>330</v>
      </c>
      <c r="C1535" s="37" t="s">
        <v>1253</v>
      </c>
      <c r="E1535" s="37" t="s">
        <v>2832</v>
      </c>
      <c r="F1535" s="24" t="s">
        <v>2128</v>
      </c>
      <c r="J1535" s="219"/>
      <c r="N1535" s="151"/>
      <c r="O1535" s="151"/>
      <c r="P1535" s="37" t="s">
        <v>1463</v>
      </c>
      <c r="S1535" s="111" t="s">
        <v>3412</v>
      </c>
      <c r="U1535" s="21">
        <v>1</v>
      </c>
      <c r="V1535" s="21">
        <v>1</v>
      </c>
      <c r="W1535" s="73">
        <f t="shared" si="72"/>
        <v>208</v>
      </c>
      <c r="X1535" s="80">
        <f t="shared" si="73"/>
        <v>2503</v>
      </c>
      <c r="Y1535" s="82" t="s">
        <v>3584</v>
      </c>
      <c r="AA1535" s="183"/>
      <c r="AB1535" s="183"/>
      <c r="AC1535" s="88"/>
      <c r="AD1535" s="88"/>
    </row>
    <row r="1536" spans="1:30" ht="17.100000000000001" customHeight="1" x14ac:dyDescent="0.25">
      <c r="A1536" s="29" t="s">
        <v>522</v>
      </c>
      <c r="B1536" s="28" t="s">
        <v>523</v>
      </c>
      <c r="C1536" s="37" t="s">
        <v>1253</v>
      </c>
      <c r="E1536" s="37" t="s">
        <v>2832</v>
      </c>
      <c r="F1536" s="24" t="s">
        <v>2128</v>
      </c>
      <c r="J1536" s="219" t="s">
        <v>3691</v>
      </c>
      <c r="K1536" s="10" t="s">
        <v>3717</v>
      </c>
      <c r="N1536" s="151"/>
      <c r="O1536" s="151"/>
      <c r="P1536" s="37" t="s">
        <v>1463</v>
      </c>
      <c r="S1536" s="111" t="s">
        <v>3412</v>
      </c>
      <c r="U1536" s="21">
        <v>1</v>
      </c>
      <c r="V1536" s="21">
        <v>1</v>
      </c>
      <c r="W1536" s="73">
        <f t="shared" si="72"/>
        <v>209</v>
      </c>
      <c r="X1536" s="80">
        <f t="shared" si="73"/>
        <v>2504</v>
      </c>
      <c r="Y1536" s="82" t="s">
        <v>3584</v>
      </c>
      <c r="AA1536" s="183"/>
      <c r="AB1536" s="183"/>
      <c r="AC1536" s="88"/>
      <c r="AD1536" s="88"/>
    </row>
    <row r="1537" spans="1:37" ht="17.100000000000001" customHeight="1" x14ac:dyDescent="0.25">
      <c r="A1537" s="29" t="s">
        <v>325</v>
      </c>
      <c r="B1537" s="28" t="s">
        <v>303</v>
      </c>
      <c r="C1537" s="37" t="s">
        <v>1253</v>
      </c>
      <c r="E1537" s="37" t="s">
        <v>2832</v>
      </c>
      <c r="F1537" s="24" t="s">
        <v>2128</v>
      </c>
      <c r="J1537" s="219" t="s">
        <v>3691</v>
      </c>
      <c r="K1537" s="10" t="s">
        <v>3717</v>
      </c>
      <c r="N1537" s="151"/>
      <c r="O1537" s="151"/>
      <c r="P1537" s="37" t="s">
        <v>1463</v>
      </c>
      <c r="S1537" s="111" t="s">
        <v>3412</v>
      </c>
      <c r="U1537" s="21">
        <v>2</v>
      </c>
      <c r="V1537" s="21">
        <v>2</v>
      </c>
      <c r="W1537" s="73">
        <f t="shared" si="72"/>
        <v>211</v>
      </c>
      <c r="X1537" s="80">
        <f t="shared" si="73"/>
        <v>2506</v>
      </c>
      <c r="Y1537" s="82" t="s">
        <v>3584</v>
      </c>
      <c r="AA1537" s="183"/>
      <c r="AB1537" s="183"/>
      <c r="AC1537" s="88"/>
      <c r="AD1537" s="88"/>
    </row>
    <row r="1538" spans="1:37" ht="17.100000000000001" customHeight="1" x14ac:dyDescent="0.25">
      <c r="A1538" s="29" t="s">
        <v>530</v>
      </c>
      <c r="B1538" s="28" t="s">
        <v>531</v>
      </c>
      <c r="C1538" s="37" t="s">
        <v>1253</v>
      </c>
      <c r="E1538" s="37" t="s">
        <v>2832</v>
      </c>
      <c r="F1538" s="24" t="s">
        <v>2128</v>
      </c>
      <c r="J1538" s="219"/>
      <c r="N1538" s="151"/>
      <c r="O1538" s="151"/>
      <c r="P1538" s="37" t="s">
        <v>1463</v>
      </c>
      <c r="S1538" s="111" t="s">
        <v>3412</v>
      </c>
      <c r="U1538" s="21">
        <v>2</v>
      </c>
      <c r="V1538" s="21">
        <v>2</v>
      </c>
      <c r="W1538" s="73">
        <f t="shared" si="72"/>
        <v>213</v>
      </c>
      <c r="X1538" s="80">
        <f t="shared" si="73"/>
        <v>2508</v>
      </c>
      <c r="Y1538" s="82" t="s">
        <v>3584</v>
      </c>
      <c r="AA1538" s="183"/>
      <c r="AB1538" s="183"/>
      <c r="AC1538" s="88"/>
      <c r="AD1538" s="88"/>
    </row>
    <row r="1539" spans="1:37" ht="17.100000000000001" customHeight="1" x14ac:dyDescent="0.25">
      <c r="A1539" s="29" t="s">
        <v>530</v>
      </c>
      <c r="B1539" s="28" t="s">
        <v>531</v>
      </c>
      <c r="C1539" s="37" t="s">
        <v>1253</v>
      </c>
      <c r="E1539" s="37" t="s">
        <v>2832</v>
      </c>
      <c r="F1539" s="24" t="s">
        <v>2128</v>
      </c>
      <c r="J1539" s="219"/>
      <c r="N1539" s="151"/>
      <c r="O1539" s="151"/>
      <c r="P1539" s="37" t="s">
        <v>1463</v>
      </c>
      <c r="S1539" s="111" t="s">
        <v>3412</v>
      </c>
      <c r="U1539" s="21">
        <v>1</v>
      </c>
      <c r="V1539" s="21">
        <v>1</v>
      </c>
      <c r="W1539" s="73">
        <f t="shared" si="72"/>
        <v>214</v>
      </c>
      <c r="X1539" s="80">
        <f t="shared" si="73"/>
        <v>2509</v>
      </c>
      <c r="Y1539" s="82" t="s">
        <v>3591</v>
      </c>
      <c r="Z1539" s="26" t="s">
        <v>2816</v>
      </c>
      <c r="AA1539" s="183"/>
      <c r="AB1539" s="183"/>
      <c r="AC1539" s="88"/>
      <c r="AD1539" s="88"/>
    </row>
    <row r="1540" spans="1:37" ht="17.100000000000001" customHeight="1" x14ac:dyDescent="0.25">
      <c r="A1540" s="29" t="s">
        <v>423</v>
      </c>
      <c r="B1540" s="28" t="s">
        <v>538</v>
      </c>
      <c r="C1540" s="37" t="s">
        <v>1253</v>
      </c>
      <c r="E1540" s="37" t="s">
        <v>2832</v>
      </c>
      <c r="F1540" s="24" t="s">
        <v>2128</v>
      </c>
      <c r="J1540" s="219" t="s">
        <v>3691</v>
      </c>
      <c r="K1540" s="10" t="s">
        <v>3717</v>
      </c>
      <c r="N1540" s="151"/>
      <c r="O1540" s="151"/>
      <c r="P1540" s="37" t="s">
        <v>1463</v>
      </c>
      <c r="S1540" s="111" t="s">
        <v>3412</v>
      </c>
      <c r="U1540" s="21">
        <v>2</v>
      </c>
      <c r="V1540" s="21">
        <v>2</v>
      </c>
      <c r="W1540" s="73">
        <f t="shared" si="72"/>
        <v>216</v>
      </c>
      <c r="X1540" s="80">
        <f t="shared" si="73"/>
        <v>2511</v>
      </c>
      <c r="Y1540" s="82" t="s">
        <v>3584</v>
      </c>
      <c r="AA1540" s="183"/>
      <c r="AB1540" s="183"/>
      <c r="AC1540" s="88"/>
      <c r="AD1540" s="88"/>
    </row>
    <row r="1541" spans="1:37" ht="17.100000000000001" customHeight="1" x14ac:dyDescent="0.25">
      <c r="A1541" s="29" t="s">
        <v>524</v>
      </c>
      <c r="B1541" s="28" t="s">
        <v>525</v>
      </c>
      <c r="C1541" s="37" t="s">
        <v>1253</v>
      </c>
      <c r="E1541" s="37" t="s">
        <v>2832</v>
      </c>
      <c r="F1541" s="24" t="s">
        <v>2128</v>
      </c>
      <c r="J1541" s="219"/>
      <c r="N1541" s="151"/>
      <c r="O1541" s="151"/>
      <c r="P1541" s="37" t="s">
        <v>1463</v>
      </c>
      <c r="S1541" s="111" t="s">
        <v>3412</v>
      </c>
      <c r="U1541" s="21">
        <v>2</v>
      </c>
      <c r="V1541" s="21">
        <v>2</v>
      </c>
      <c r="W1541" s="73">
        <f t="shared" si="72"/>
        <v>218</v>
      </c>
      <c r="X1541" s="80">
        <f t="shared" si="73"/>
        <v>2513</v>
      </c>
      <c r="Y1541" s="82" t="s">
        <v>3584</v>
      </c>
      <c r="AA1541" s="183"/>
      <c r="AB1541" s="183"/>
      <c r="AC1541" s="88"/>
      <c r="AD1541" s="88"/>
    </row>
    <row r="1542" spans="1:37" ht="17.100000000000001" customHeight="1" x14ac:dyDescent="0.25">
      <c r="A1542" s="29" t="s">
        <v>3338</v>
      </c>
      <c r="B1542" s="28" t="s">
        <v>2257</v>
      </c>
      <c r="C1542" s="37" t="s">
        <v>1253</v>
      </c>
      <c r="E1542" s="37" t="s">
        <v>2832</v>
      </c>
      <c r="F1542" s="24" t="s">
        <v>2134</v>
      </c>
      <c r="I1542" s="116"/>
      <c r="J1542" s="219"/>
      <c r="N1542" s="151"/>
      <c r="O1542" s="151"/>
      <c r="P1542" s="37" t="s">
        <v>1987</v>
      </c>
      <c r="S1542" s="111" t="s">
        <v>3412</v>
      </c>
      <c r="T1542" s="16"/>
      <c r="U1542" s="21">
        <v>1</v>
      </c>
      <c r="V1542" s="21">
        <v>1</v>
      </c>
      <c r="W1542" s="73">
        <f t="shared" si="72"/>
        <v>219</v>
      </c>
      <c r="X1542" s="80">
        <f t="shared" si="73"/>
        <v>2514</v>
      </c>
      <c r="Y1542" s="82" t="s">
        <v>3584</v>
      </c>
      <c r="AA1542" s="183"/>
      <c r="AB1542" s="183"/>
      <c r="AC1542" s="88"/>
      <c r="AD1542" s="88"/>
      <c r="AF1542" s="16"/>
      <c r="AG1542" s="16"/>
      <c r="AH1542" s="16"/>
      <c r="AI1542" s="16"/>
      <c r="AJ1542" s="16"/>
      <c r="AK1542" s="16"/>
    </row>
    <row r="1543" spans="1:37" ht="17.100000000000001" customHeight="1" x14ac:dyDescent="0.25">
      <c r="A1543" s="31" t="s">
        <v>4232</v>
      </c>
      <c r="B1543" s="28" t="s">
        <v>2258</v>
      </c>
      <c r="C1543" s="37" t="s">
        <v>1253</v>
      </c>
      <c r="E1543" s="37" t="s">
        <v>2832</v>
      </c>
      <c r="F1543" s="24" t="s">
        <v>2134</v>
      </c>
      <c r="G1543" s="25"/>
      <c r="H1543" s="38" t="s">
        <v>3206</v>
      </c>
      <c r="I1543" s="116"/>
      <c r="L1543" s="103"/>
      <c r="M1543" s="103"/>
      <c r="P1543" s="37" t="s">
        <v>1644</v>
      </c>
      <c r="S1543" s="111" t="s">
        <v>3412</v>
      </c>
      <c r="T1543" s="17"/>
      <c r="U1543" s="21">
        <v>1</v>
      </c>
      <c r="V1543" s="21">
        <v>1</v>
      </c>
      <c r="W1543" s="73">
        <f t="shared" si="72"/>
        <v>220</v>
      </c>
      <c r="X1543" s="80">
        <f t="shared" si="73"/>
        <v>2515</v>
      </c>
      <c r="Y1543" s="82" t="s">
        <v>3584</v>
      </c>
      <c r="AF1543" s="17"/>
      <c r="AG1543" s="17"/>
      <c r="AH1543" s="17"/>
      <c r="AI1543" s="17"/>
      <c r="AJ1543" s="17"/>
      <c r="AK1543" s="17"/>
    </row>
    <row r="1544" spans="1:37" s="2" customFormat="1" ht="17.100000000000001" customHeight="1" x14ac:dyDescent="0.25">
      <c r="A1544" s="29" t="s">
        <v>4233</v>
      </c>
      <c r="B1544" s="28" t="s">
        <v>422</v>
      </c>
      <c r="C1544" s="37" t="s">
        <v>1253</v>
      </c>
      <c r="D1544" s="37"/>
      <c r="E1544" s="37" t="s">
        <v>2832</v>
      </c>
      <c r="F1544" s="24" t="s">
        <v>2134</v>
      </c>
      <c r="G1544" s="24"/>
      <c r="H1544" s="38" t="s">
        <v>3207</v>
      </c>
      <c r="I1544" s="115"/>
      <c r="J1544" s="219"/>
      <c r="K1544" s="14"/>
      <c r="L1544" s="104"/>
      <c r="M1544" s="104"/>
      <c r="N1544" s="151"/>
      <c r="O1544" s="151"/>
      <c r="P1544" s="37" t="s">
        <v>2053</v>
      </c>
      <c r="Q1544" s="37"/>
      <c r="R1544" s="37"/>
      <c r="S1544" s="111" t="s">
        <v>3412</v>
      </c>
      <c r="T1544" s="14"/>
      <c r="U1544" s="23">
        <v>1</v>
      </c>
      <c r="V1544" s="23">
        <v>1</v>
      </c>
      <c r="W1544" s="73">
        <f t="shared" si="72"/>
        <v>221</v>
      </c>
      <c r="X1544" s="80">
        <f t="shared" si="73"/>
        <v>2516</v>
      </c>
      <c r="Y1544" s="82" t="s">
        <v>3584</v>
      </c>
      <c r="Z1544" s="24"/>
      <c r="AA1544" s="183"/>
      <c r="AB1544" s="183"/>
      <c r="AC1544" s="88"/>
      <c r="AD1544" s="88"/>
      <c r="AE1544" s="87"/>
      <c r="AF1544" s="14"/>
      <c r="AG1544" s="14"/>
      <c r="AH1544" s="14"/>
      <c r="AI1544" s="14"/>
      <c r="AJ1544" s="14"/>
      <c r="AK1544" s="14"/>
    </row>
    <row r="1545" spans="1:37" s="2" customFormat="1" ht="17.100000000000001" customHeight="1" x14ac:dyDescent="0.25">
      <c r="A1545" s="29" t="s">
        <v>5154</v>
      </c>
      <c r="B1545" s="28" t="s">
        <v>378</v>
      </c>
      <c r="C1545" s="37" t="s">
        <v>1253</v>
      </c>
      <c r="D1545" s="37"/>
      <c r="E1545" s="37" t="s">
        <v>2832</v>
      </c>
      <c r="F1545" s="24" t="s">
        <v>2134</v>
      </c>
      <c r="G1545" s="24"/>
      <c r="H1545" s="38" t="s">
        <v>5194</v>
      </c>
      <c r="I1545" s="115"/>
      <c r="J1545" s="219" t="s">
        <v>5159</v>
      </c>
      <c r="K1545" s="14" t="s">
        <v>5164</v>
      </c>
      <c r="L1545" s="104"/>
      <c r="M1545" s="104"/>
      <c r="N1545" s="151"/>
      <c r="O1545" s="151"/>
      <c r="P1545" s="37" t="s">
        <v>1644</v>
      </c>
      <c r="Q1545" s="37"/>
      <c r="R1545" s="37"/>
      <c r="S1545" s="111" t="s">
        <v>3412</v>
      </c>
      <c r="T1545" s="14"/>
      <c r="U1545" s="23">
        <v>1</v>
      </c>
      <c r="V1545" s="23">
        <v>1</v>
      </c>
      <c r="W1545" s="73">
        <f t="shared" si="72"/>
        <v>222</v>
      </c>
      <c r="X1545" s="80">
        <f t="shared" si="73"/>
        <v>2517</v>
      </c>
      <c r="Y1545" s="82" t="s">
        <v>3584</v>
      </c>
      <c r="Z1545" s="24"/>
      <c r="AA1545" s="183"/>
      <c r="AB1545" s="183"/>
      <c r="AC1545" s="88"/>
      <c r="AD1545" s="88"/>
      <c r="AE1545" s="87"/>
      <c r="AF1545" s="14"/>
      <c r="AG1545" s="14"/>
      <c r="AH1545" s="14"/>
      <c r="AI1545" s="14"/>
      <c r="AJ1545" s="14"/>
      <c r="AK1545" s="14"/>
    </row>
    <row r="1546" spans="1:37" ht="17.100000000000001" customHeight="1" x14ac:dyDescent="0.25">
      <c r="A1546" s="29" t="s">
        <v>5192</v>
      </c>
      <c r="B1546" s="28"/>
      <c r="C1546" s="37" t="s">
        <v>1253</v>
      </c>
      <c r="E1546" s="37" t="s">
        <v>2832</v>
      </c>
      <c r="F1546" s="24" t="s">
        <v>2134</v>
      </c>
      <c r="H1546" s="38" t="s">
        <v>5193</v>
      </c>
      <c r="J1546" s="219" t="s">
        <v>5159</v>
      </c>
      <c r="K1546" s="10" t="s">
        <v>5164</v>
      </c>
      <c r="N1546" s="151"/>
      <c r="O1546" s="151"/>
      <c r="P1546" s="37" t="s">
        <v>1870</v>
      </c>
      <c r="S1546" s="111" t="s">
        <v>3412</v>
      </c>
      <c r="U1546" s="21">
        <v>1</v>
      </c>
      <c r="V1546" s="21">
        <v>1</v>
      </c>
      <c r="W1546" s="73">
        <f t="shared" si="72"/>
        <v>223</v>
      </c>
      <c r="X1546" s="80">
        <f t="shared" si="73"/>
        <v>2518</v>
      </c>
      <c r="Y1546" s="82" t="s">
        <v>3584</v>
      </c>
      <c r="AA1546" s="183"/>
      <c r="AB1546" s="183"/>
      <c r="AC1546" s="88"/>
      <c r="AD1546" s="88"/>
    </row>
    <row r="1547" spans="1:37" ht="17.100000000000001" customHeight="1" x14ac:dyDescent="0.25">
      <c r="A1547" s="29" t="s">
        <v>562</v>
      </c>
      <c r="B1547" s="28" t="s">
        <v>462</v>
      </c>
      <c r="C1547" s="37" t="s">
        <v>1253</v>
      </c>
      <c r="E1547" s="37" t="s">
        <v>2832</v>
      </c>
      <c r="F1547" s="24" t="s">
        <v>2134</v>
      </c>
      <c r="I1547" s="116"/>
      <c r="J1547" s="219"/>
      <c r="N1547" s="151"/>
      <c r="O1547" s="151"/>
      <c r="P1547" s="37" t="s">
        <v>1997</v>
      </c>
      <c r="S1547" s="111" t="s">
        <v>3412</v>
      </c>
      <c r="T1547" s="16"/>
      <c r="U1547" s="21">
        <v>1</v>
      </c>
      <c r="V1547" s="21">
        <v>1</v>
      </c>
      <c r="W1547" s="73">
        <f t="shared" si="72"/>
        <v>224</v>
      </c>
      <c r="X1547" s="80">
        <f t="shared" si="73"/>
        <v>2519</v>
      </c>
      <c r="Y1547" s="82" t="s">
        <v>3584</v>
      </c>
      <c r="AA1547" s="183"/>
      <c r="AB1547" s="183"/>
      <c r="AC1547" s="88"/>
      <c r="AD1547" s="88"/>
      <c r="AF1547" s="16"/>
      <c r="AG1547" s="16"/>
      <c r="AH1547" s="16"/>
      <c r="AI1547" s="16"/>
      <c r="AJ1547" s="16"/>
      <c r="AK1547" s="16"/>
    </row>
    <row r="1548" spans="1:37" ht="17.100000000000001" customHeight="1" x14ac:dyDescent="0.25">
      <c r="A1548" s="29" t="s">
        <v>3208</v>
      </c>
      <c r="B1548" s="28" t="s">
        <v>4231</v>
      </c>
      <c r="C1548" s="37" t="s">
        <v>1253</v>
      </c>
      <c r="E1548" s="37" t="s">
        <v>2832</v>
      </c>
      <c r="F1548" s="24" t="s">
        <v>2134</v>
      </c>
      <c r="H1548" s="38" t="s">
        <v>3209</v>
      </c>
      <c r="I1548" s="116"/>
      <c r="J1548" s="219" t="s">
        <v>5132</v>
      </c>
      <c r="K1548" s="10" t="s">
        <v>5130</v>
      </c>
      <c r="N1548" s="151"/>
      <c r="O1548" s="151"/>
      <c r="P1548" s="37" t="s">
        <v>2259</v>
      </c>
      <c r="S1548" s="111" t="s">
        <v>3412</v>
      </c>
      <c r="T1548" s="16"/>
      <c r="U1548" s="21">
        <v>1</v>
      </c>
      <c r="V1548" s="21">
        <v>1</v>
      </c>
      <c r="W1548" s="73">
        <f t="shared" si="72"/>
        <v>225</v>
      </c>
      <c r="X1548" s="80">
        <f t="shared" si="73"/>
        <v>2520</v>
      </c>
      <c r="Y1548" s="82" t="s">
        <v>3584</v>
      </c>
      <c r="AA1548" s="184"/>
      <c r="AB1548" s="184"/>
      <c r="AC1548" s="88"/>
      <c r="AD1548" s="88"/>
      <c r="AF1548" s="16"/>
      <c r="AG1548" s="16"/>
      <c r="AH1548" s="16"/>
      <c r="AI1548" s="16"/>
      <c r="AJ1548" s="16"/>
      <c r="AK1548" s="16"/>
    </row>
    <row r="1549" spans="1:37" ht="17.100000000000001" customHeight="1" x14ac:dyDescent="0.25">
      <c r="A1549" s="29" t="s">
        <v>4234</v>
      </c>
      <c r="B1549" s="28" t="s">
        <v>663</v>
      </c>
      <c r="C1549" s="37" t="s">
        <v>1253</v>
      </c>
      <c r="E1549" s="37" t="s">
        <v>2832</v>
      </c>
      <c r="F1549" s="24" t="s">
        <v>2134</v>
      </c>
      <c r="H1549" s="38" t="s">
        <v>5186</v>
      </c>
      <c r="J1549" s="219" t="s">
        <v>5159</v>
      </c>
      <c r="K1549" s="10" t="s">
        <v>5164</v>
      </c>
      <c r="N1549" s="151"/>
      <c r="O1549" s="151"/>
      <c r="P1549" s="37" t="s">
        <v>1954</v>
      </c>
      <c r="S1549" s="111" t="s">
        <v>3412</v>
      </c>
      <c r="U1549" s="21">
        <v>1</v>
      </c>
      <c r="V1549" s="21">
        <v>1</v>
      </c>
      <c r="W1549" s="73">
        <f t="shared" si="72"/>
        <v>226</v>
      </c>
      <c r="X1549" s="80">
        <f t="shared" si="73"/>
        <v>2521</v>
      </c>
      <c r="Y1549" s="82" t="s">
        <v>3584</v>
      </c>
      <c r="AA1549" s="183"/>
      <c r="AB1549" s="183"/>
      <c r="AC1549" s="88"/>
      <c r="AD1549" s="88"/>
    </row>
    <row r="1550" spans="1:37" ht="17.100000000000001" customHeight="1" x14ac:dyDescent="0.25">
      <c r="A1550" s="29" t="s">
        <v>3708</v>
      </c>
      <c r="B1550" s="28" t="s">
        <v>717</v>
      </c>
      <c r="C1550" s="37" t="s">
        <v>1253</v>
      </c>
      <c r="E1550" s="37" t="s">
        <v>2832</v>
      </c>
      <c r="F1550" s="24" t="s">
        <v>2134</v>
      </c>
      <c r="I1550" s="116"/>
      <c r="J1550" s="219" t="s">
        <v>3690</v>
      </c>
      <c r="K1550" s="10" t="s">
        <v>3685</v>
      </c>
      <c r="N1550" s="151"/>
      <c r="O1550" s="151"/>
      <c r="P1550" s="37" t="s">
        <v>1989</v>
      </c>
      <c r="S1550" s="111" t="s">
        <v>3412</v>
      </c>
      <c r="T1550" s="16"/>
      <c r="U1550" s="21">
        <v>1</v>
      </c>
      <c r="V1550" s="21">
        <v>1</v>
      </c>
      <c r="W1550" s="73">
        <f t="shared" si="72"/>
        <v>227</v>
      </c>
      <c r="X1550" s="80">
        <f t="shared" si="73"/>
        <v>2522</v>
      </c>
      <c r="Y1550" s="82" t="s">
        <v>3584</v>
      </c>
      <c r="AA1550" s="183"/>
      <c r="AB1550" s="183"/>
      <c r="AC1550" s="88"/>
      <c r="AD1550" s="88"/>
      <c r="AF1550" s="16"/>
      <c r="AG1550" s="16"/>
      <c r="AH1550" s="16"/>
      <c r="AI1550" s="16"/>
      <c r="AJ1550" s="16"/>
      <c r="AK1550" s="16"/>
    </row>
    <row r="1551" spans="1:37" ht="17.100000000000001" customHeight="1" x14ac:dyDescent="0.25">
      <c r="A1551" s="29" t="s">
        <v>5158</v>
      </c>
      <c r="B1551" s="28" t="s">
        <v>644</v>
      </c>
      <c r="C1551" s="37" t="s">
        <v>1253</v>
      </c>
      <c r="E1551" s="37" t="s">
        <v>2832</v>
      </c>
      <c r="F1551" s="24" t="s">
        <v>2134</v>
      </c>
      <c r="H1551" s="38" t="s">
        <v>5196</v>
      </c>
      <c r="I1551" s="116"/>
      <c r="J1551" s="219" t="s">
        <v>5159</v>
      </c>
      <c r="K1551" s="10" t="s">
        <v>5164</v>
      </c>
      <c r="N1551" s="151"/>
      <c r="O1551" s="151"/>
      <c r="P1551" s="37" t="s">
        <v>1954</v>
      </c>
      <c r="S1551" s="111" t="s">
        <v>3412</v>
      </c>
      <c r="T1551" s="16"/>
      <c r="U1551" s="21">
        <v>1</v>
      </c>
      <c r="V1551" s="21">
        <v>1</v>
      </c>
      <c r="W1551" s="73">
        <f t="shared" si="72"/>
        <v>228</v>
      </c>
      <c r="X1551" s="80">
        <f t="shared" si="73"/>
        <v>2523</v>
      </c>
      <c r="Y1551" s="82" t="s">
        <v>3584</v>
      </c>
      <c r="AA1551" s="183"/>
      <c r="AB1551" s="183"/>
      <c r="AC1551" s="88"/>
      <c r="AD1551" s="88"/>
      <c r="AF1551" s="16"/>
      <c r="AG1551" s="16"/>
      <c r="AH1551" s="16"/>
      <c r="AI1551" s="16"/>
      <c r="AJ1551" s="16"/>
      <c r="AK1551" s="16"/>
    </row>
    <row r="1552" spans="1:37" ht="17.100000000000001" customHeight="1" x14ac:dyDescent="0.25">
      <c r="A1552" s="29" t="s">
        <v>436</v>
      </c>
      <c r="B1552" s="28" t="s">
        <v>528</v>
      </c>
      <c r="C1552" s="37" t="s">
        <v>1253</v>
      </c>
      <c r="E1552" s="37" t="s">
        <v>2832</v>
      </c>
      <c r="F1552" s="24" t="s">
        <v>2134</v>
      </c>
      <c r="I1552" s="116"/>
      <c r="J1552" s="219"/>
      <c r="N1552" s="151"/>
      <c r="O1552" s="151"/>
      <c r="P1552" s="37" t="s">
        <v>1644</v>
      </c>
      <c r="S1552" s="111" t="s">
        <v>3412</v>
      </c>
      <c r="T1552" s="16"/>
      <c r="U1552" s="21">
        <v>1</v>
      </c>
      <c r="V1552" s="21">
        <v>1</v>
      </c>
      <c r="W1552" s="73">
        <f t="shared" si="72"/>
        <v>229</v>
      </c>
      <c r="X1552" s="80">
        <f t="shared" si="73"/>
        <v>2524</v>
      </c>
      <c r="Y1552" s="82" t="s">
        <v>3584</v>
      </c>
      <c r="AA1552" s="183"/>
      <c r="AB1552" s="183"/>
      <c r="AC1552" s="88"/>
      <c r="AD1552" s="88"/>
      <c r="AF1552" s="16"/>
      <c r="AG1552" s="16"/>
      <c r="AH1552" s="16"/>
      <c r="AI1552" s="16"/>
      <c r="AJ1552" s="16"/>
      <c r="AK1552" s="16"/>
    </row>
    <row r="1553" spans="1:37" ht="17.100000000000001" customHeight="1" x14ac:dyDescent="0.25">
      <c r="A1553" s="29" t="s">
        <v>2262</v>
      </c>
      <c r="B1553" s="28" t="s">
        <v>2263</v>
      </c>
      <c r="C1553" s="37" t="s">
        <v>1253</v>
      </c>
      <c r="E1553" s="37" t="s">
        <v>2832</v>
      </c>
      <c r="F1553" s="24" t="s">
        <v>2134</v>
      </c>
      <c r="I1553" s="116"/>
      <c r="J1553" s="219"/>
      <c r="N1553" s="151"/>
      <c r="O1553" s="151"/>
      <c r="P1553" s="37" t="s">
        <v>1870</v>
      </c>
      <c r="S1553" s="111" t="s">
        <v>3412</v>
      </c>
      <c r="T1553" s="16"/>
      <c r="U1553" s="21">
        <v>1</v>
      </c>
      <c r="V1553" s="21">
        <v>1</v>
      </c>
      <c r="W1553" s="73">
        <f t="shared" si="72"/>
        <v>230</v>
      </c>
      <c r="X1553" s="80">
        <f t="shared" si="73"/>
        <v>2525</v>
      </c>
      <c r="Y1553" s="82" t="s">
        <v>3584</v>
      </c>
      <c r="AA1553" s="183"/>
      <c r="AB1553" s="183"/>
      <c r="AC1553" s="88"/>
      <c r="AD1553" s="88"/>
      <c r="AF1553" s="16"/>
      <c r="AG1553" s="16"/>
      <c r="AH1553" s="16"/>
      <c r="AI1553" s="16"/>
      <c r="AJ1553" s="16"/>
      <c r="AK1553" s="16"/>
    </row>
    <row r="1554" spans="1:37" ht="17.100000000000001" customHeight="1" x14ac:dyDescent="0.25">
      <c r="A1554" s="29" t="s">
        <v>3339</v>
      </c>
      <c r="B1554" s="28" t="s">
        <v>2</v>
      </c>
      <c r="C1554" s="37" t="s">
        <v>1253</v>
      </c>
      <c r="E1554" s="37" t="s">
        <v>2832</v>
      </c>
      <c r="F1554" s="24" t="s">
        <v>2134</v>
      </c>
      <c r="I1554" s="116"/>
      <c r="J1554" s="219"/>
      <c r="N1554" s="151"/>
      <c r="O1554" s="151"/>
      <c r="P1554" s="37" t="s">
        <v>4</v>
      </c>
      <c r="S1554" s="111" t="s">
        <v>3412</v>
      </c>
      <c r="T1554" s="16"/>
      <c r="U1554" s="21">
        <v>1</v>
      </c>
      <c r="V1554" s="21">
        <v>1</v>
      </c>
      <c r="W1554" s="73">
        <f t="shared" si="72"/>
        <v>231</v>
      </c>
      <c r="X1554" s="80">
        <f t="shared" si="73"/>
        <v>2526</v>
      </c>
      <c r="Y1554" s="82" t="s">
        <v>3584</v>
      </c>
      <c r="AA1554" s="183"/>
      <c r="AB1554" s="183"/>
      <c r="AC1554" s="88"/>
      <c r="AD1554" s="88"/>
      <c r="AF1554" s="16"/>
      <c r="AG1554" s="16"/>
      <c r="AH1554" s="16"/>
      <c r="AI1554" s="16"/>
      <c r="AJ1554" s="16"/>
      <c r="AK1554" s="16"/>
    </row>
    <row r="1555" spans="1:37" ht="17.100000000000001" customHeight="1" x14ac:dyDescent="0.25">
      <c r="A1555" s="29" t="s">
        <v>5200</v>
      </c>
      <c r="B1555" s="28"/>
      <c r="C1555" s="37" t="s">
        <v>1253</v>
      </c>
      <c r="E1555" s="37" t="s">
        <v>2832</v>
      </c>
      <c r="F1555" s="24" t="s">
        <v>2134</v>
      </c>
      <c r="H1555" s="43" t="s">
        <v>5195</v>
      </c>
      <c r="I1555" s="116"/>
      <c r="S1555" s="111" t="s">
        <v>3412</v>
      </c>
      <c r="T1555" s="16"/>
      <c r="U1555" s="21">
        <v>1</v>
      </c>
      <c r="V1555" s="21">
        <v>1</v>
      </c>
      <c r="W1555" s="73">
        <f t="shared" si="72"/>
        <v>232</v>
      </c>
      <c r="X1555" s="80">
        <f t="shared" si="73"/>
        <v>2527</v>
      </c>
      <c r="Y1555" s="82" t="s">
        <v>3584</v>
      </c>
      <c r="AF1555" s="16"/>
      <c r="AG1555" s="16"/>
      <c r="AH1555" s="16"/>
      <c r="AI1555" s="16"/>
      <c r="AJ1555" s="16"/>
      <c r="AK1555" s="16"/>
    </row>
    <row r="1556" spans="1:37" ht="17.100000000000001" customHeight="1" x14ac:dyDescent="0.25">
      <c r="A1556" s="29" t="s">
        <v>5200</v>
      </c>
      <c r="B1556" s="28"/>
      <c r="C1556" s="37" t="s">
        <v>1253</v>
      </c>
      <c r="E1556" s="37" t="s">
        <v>2832</v>
      </c>
      <c r="F1556" s="24" t="s">
        <v>2134</v>
      </c>
      <c r="H1556" s="43"/>
      <c r="I1556" s="116"/>
      <c r="S1556" s="111" t="s">
        <v>3412</v>
      </c>
      <c r="T1556" s="16"/>
      <c r="U1556" s="21">
        <v>1</v>
      </c>
      <c r="V1556" s="21">
        <v>1</v>
      </c>
      <c r="W1556" s="73">
        <f t="shared" si="72"/>
        <v>233</v>
      </c>
      <c r="X1556" s="80">
        <f t="shared" si="73"/>
        <v>2528</v>
      </c>
      <c r="Y1556" s="82" t="s">
        <v>3584</v>
      </c>
      <c r="AF1556" s="16"/>
      <c r="AG1556" s="16"/>
      <c r="AH1556" s="16"/>
      <c r="AI1556" s="16"/>
      <c r="AJ1556" s="16"/>
      <c r="AK1556" s="16"/>
    </row>
    <row r="1557" spans="1:37" ht="17.100000000000001" customHeight="1" x14ac:dyDescent="0.25">
      <c r="A1557" s="29" t="s">
        <v>3672</v>
      </c>
      <c r="B1557" s="28" t="s">
        <v>555</v>
      </c>
      <c r="C1557" s="37" t="s">
        <v>1253</v>
      </c>
      <c r="E1557" s="37" t="s">
        <v>2832</v>
      </c>
      <c r="F1557" s="24" t="s">
        <v>2134</v>
      </c>
      <c r="H1557" s="43"/>
      <c r="I1557" s="116"/>
      <c r="J1557" s="214" t="s">
        <v>3694</v>
      </c>
      <c r="K1557" s="10" t="s">
        <v>3762</v>
      </c>
      <c r="P1557" s="37" t="s">
        <v>1997</v>
      </c>
      <c r="S1557" s="111" t="s">
        <v>3412</v>
      </c>
      <c r="T1557" s="16"/>
      <c r="U1557" s="21">
        <v>1</v>
      </c>
      <c r="V1557" s="21">
        <v>1</v>
      </c>
      <c r="W1557" s="73">
        <f t="shared" si="72"/>
        <v>234</v>
      </c>
      <c r="X1557" s="80">
        <f t="shared" si="73"/>
        <v>2529</v>
      </c>
      <c r="Y1557" s="82" t="s">
        <v>3584</v>
      </c>
      <c r="AF1557" s="16"/>
      <c r="AG1557" s="16"/>
      <c r="AH1557" s="16"/>
      <c r="AI1557" s="16"/>
      <c r="AJ1557" s="16"/>
      <c r="AK1557" s="16"/>
    </row>
    <row r="1558" spans="1:37" ht="17.100000000000001" customHeight="1" x14ac:dyDescent="0.25">
      <c r="A1558" s="29" t="s">
        <v>434</v>
      </c>
      <c r="B1558" s="28" t="s">
        <v>435</v>
      </c>
      <c r="C1558" s="37" t="s">
        <v>1253</v>
      </c>
      <c r="E1558" s="37" t="s">
        <v>2832</v>
      </c>
      <c r="F1558" s="24" t="s">
        <v>5156</v>
      </c>
      <c r="H1558" s="38" t="s">
        <v>5209</v>
      </c>
      <c r="I1558" s="116"/>
      <c r="J1558" s="214" t="s">
        <v>5159</v>
      </c>
      <c r="K1558" s="10" t="s">
        <v>5164</v>
      </c>
      <c r="P1558" s="37" t="s">
        <v>1870</v>
      </c>
      <c r="S1558" s="111" t="s">
        <v>3412</v>
      </c>
      <c r="T1558" s="16"/>
      <c r="U1558" s="21">
        <v>1</v>
      </c>
      <c r="V1558" s="21">
        <v>1</v>
      </c>
      <c r="W1558" s="73">
        <f t="shared" si="72"/>
        <v>235</v>
      </c>
      <c r="X1558" s="80">
        <f t="shared" si="73"/>
        <v>2530</v>
      </c>
      <c r="Y1558" s="82" t="s">
        <v>3584</v>
      </c>
      <c r="AF1558" s="16"/>
      <c r="AG1558" s="16"/>
      <c r="AH1558" s="16"/>
      <c r="AI1558" s="16"/>
      <c r="AJ1558" s="16"/>
      <c r="AK1558" s="16"/>
    </row>
    <row r="1559" spans="1:37" ht="17.100000000000001" customHeight="1" x14ac:dyDescent="0.25">
      <c r="A1559" s="29" t="s">
        <v>660</v>
      </c>
      <c r="B1559" s="28" t="s">
        <v>352</v>
      </c>
      <c r="C1559" s="37" t="s">
        <v>1253</v>
      </c>
      <c r="E1559" s="37" t="s">
        <v>2832</v>
      </c>
      <c r="F1559" s="24" t="s">
        <v>2134</v>
      </c>
      <c r="H1559" s="38" t="s">
        <v>5197</v>
      </c>
      <c r="I1559" s="116"/>
      <c r="J1559" s="214" t="s">
        <v>5132</v>
      </c>
      <c r="K1559" s="10" t="s">
        <v>5130</v>
      </c>
      <c r="P1559" s="37" t="s">
        <v>1990</v>
      </c>
      <c r="S1559" s="111" t="s">
        <v>3412</v>
      </c>
      <c r="T1559" s="16"/>
      <c r="U1559" s="21">
        <v>1</v>
      </c>
      <c r="V1559" s="21">
        <v>1</v>
      </c>
      <c r="W1559" s="73">
        <f t="shared" si="72"/>
        <v>236</v>
      </c>
      <c r="X1559" s="80">
        <f t="shared" si="73"/>
        <v>2531</v>
      </c>
      <c r="Y1559" s="82" t="s">
        <v>3584</v>
      </c>
      <c r="AF1559" s="16"/>
      <c r="AG1559" s="16"/>
      <c r="AH1559" s="16"/>
      <c r="AI1559" s="16"/>
      <c r="AJ1559" s="16"/>
      <c r="AK1559" s="16"/>
    </row>
    <row r="1560" spans="1:37" ht="17.100000000000001" customHeight="1" x14ac:dyDescent="0.25">
      <c r="A1560" s="29" t="s">
        <v>2256</v>
      </c>
      <c r="B1560" s="28" t="s">
        <v>18</v>
      </c>
      <c r="C1560" s="37" t="s">
        <v>1253</v>
      </c>
      <c r="E1560" s="37" t="s">
        <v>2832</v>
      </c>
      <c r="F1560" s="24" t="s">
        <v>2134</v>
      </c>
      <c r="H1560" s="43"/>
      <c r="I1560" s="116"/>
      <c r="P1560" s="37" t="s">
        <v>1991</v>
      </c>
      <c r="S1560" s="111" t="s">
        <v>3412</v>
      </c>
      <c r="T1560" s="16"/>
      <c r="U1560" s="21">
        <v>1</v>
      </c>
      <c r="V1560" s="21">
        <v>1</v>
      </c>
      <c r="W1560" s="73">
        <f t="shared" si="72"/>
        <v>237</v>
      </c>
      <c r="X1560" s="80">
        <f t="shared" si="73"/>
        <v>2532</v>
      </c>
      <c r="Y1560" s="82" t="s">
        <v>3584</v>
      </c>
      <c r="AF1560" s="16"/>
      <c r="AG1560" s="16"/>
      <c r="AH1560" s="16"/>
      <c r="AI1560" s="16"/>
      <c r="AJ1560" s="16"/>
      <c r="AK1560" s="16"/>
    </row>
    <row r="1561" spans="1:37" ht="17.100000000000001" customHeight="1" x14ac:dyDescent="0.25">
      <c r="A1561" s="29" t="s">
        <v>2260</v>
      </c>
      <c r="B1561" s="28" t="s">
        <v>2261</v>
      </c>
      <c r="C1561" s="37" t="s">
        <v>1253</v>
      </c>
      <c r="E1561" s="37" t="s">
        <v>2832</v>
      </c>
      <c r="F1561" s="24" t="s">
        <v>2134</v>
      </c>
      <c r="H1561" s="43"/>
      <c r="I1561" s="116"/>
      <c r="P1561" s="37" t="s">
        <v>1870</v>
      </c>
      <c r="S1561" s="111" t="s">
        <v>3412</v>
      </c>
      <c r="T1561" s="16"/>
      <c r="U1561" s="21">
        <v>1</v>
      </c>
      <c r="V1561" s="21">
        <v>1</v>
      </c>
      <c r="W1561" s="73">
        <f t="shared" si="72"/>
        <v>238</v>
      </c>
      <c r="X1561" s="80">
        <f t="shared" si="73"/>
        <v>2533</v>
      </c>
      <c r="Y1561" s="82" t="s">
        <v>3584</v>
      </c>
      <c r="AF1561" s="16"/>
      <c r="AG1561" s="16"/>
      <c r="AH1561" s="16"/>
      <c r="AI1561" s="16"/>
      <c r="AJ1561" s="16"/>
      <c r="AK1561" s="16"/>
    </row>
    <row r="1562" spans="1:37" ht="17.100000000000001" customHeight="1" x14ac:dyDescent="0.25">
      <c r="A1562" s="29" t="s">
        <v>5155</v>
      </c>
      <c r="B1562" s="28" t="s">
        <v>263</v>
      </c>
      <c r="C1562" s="37" t="s">
        <v>1253</v>
      </c>
      <c r="E1562" s="37" t="s">
        <v>2832</v>
      </c>
      <c r="F1562" s="24" t="s">
        <v>2134</v>
      </c>
      <c r="H1562" s="38" t="s">
        <v>5189</v>
      </c>
      <c r="I1562" s="116"/>
      <c r="J1562" s="214" t="s">
        <v>5159</v>
      </c>
      <c r="K1562" s="10" t="s">
        <v>5164</v>
      </c>
      <c r="P1562" s="37" t="s">
        <v>1992</v>
      </c>
      <c r="S1562" s="111" t="s">
        <v>3412</v>
      </c>
      <c r="T1562" s="16"/>
      <c r="U1562" s="21">
        <v>1</v>
      </c>
      <c r="V1562" s="21">
        <v>1</v>
      </c>
      <c r="W1562" s="73">
        <f t="shared" si="72"/>
        <v>239</v>
      </c>
      <c r="X1562" s="80">
        <f t="shared" si="73"/>
        <v>2534</v>
      </c>
      <c r="Y1562" s="82" t="s">
        <v>3584</v>
      </c>
      <c r="AF1562" s="16"/>
      <c r="AG1562" s="16"/>
      <c r="AH1562" s="16"/>
      <c r="AI1562" s="16"/>
      <c r="AJ1562" s="16"/>
      <c r="AK1562" s="16"/>
    </row>
    <row r="1563" spans="1:37" ht="17.100000000000001" customHeight="1" x14ac:dyDescent="0.25">
      <c r="A1563" s="29" t="s">
        <v>173</v>
      </c>
      <c r="B1563" s="28" t="s">
        <v>174</v>
      </c>
      <c r="C1563" s="37" t="s">
        <v>1253</v>
      </c>
      <c r="E1563" s="37" t="s">
        <v>2832</v>
      </c>
      <c r="F1563" s="24" t="s">
        <v>2134</v>
      </c>
      <c r="H1563" s="38" t="s">
        <v>5188</v>
      </c>
      <c r="I1563" s="116"/>
      <c r="J1563" s="214" t="s">
        <v>5159</v>
      </c>
      <c r="K1563" s="10" t="s">
        <v>5164</v>
      </c>
      <c r="P1563" s="37" t="s">
        <v>1990</v>
      </c>
      <c r="S1563" s="111" t="s">
        <v>3412</v>
      </c>
      <c r="T1563" s="16"/>
      <c r="U1563" s="21">
        <v>1</v>
      </c>
      <c r="V1563" s="21">
        <v>1</v>
      </c>
      <c r="W1563" s="73">
        <f t="shared" si="72"/>
        <v>240</v>
      </c>
      <c r="X1563" s="80">
        <f t="shared" si="73"/>
        <v>2535</v>
      </c>
      <c r="Y1563" s="82" t="s">
        <v>3584</v>
      </c>
      <c r="AF1563" s="16"/>
      <c r="AG1563" s="16"/>
      <c r="AH1563" s="16"/>
      <c r="AI1563" s="16"/>
      <c r="AJ1563" s="16"/>
      <c r="AK1563" s="16"/>
    </row>
    <row r="1564" spans="1:37" ht="17.100000000000001" customHeight="1" x14ac:dyDescent="0.25">
      <c r="A1564" s="33" t="s">
        <v>3210</v>
      </c>
      <c r="B1564" s="28" t="s">
        <v>429</v>
      </c>
      <c r="C1564" s="37" t="s">
        <v>1253</v>
      </c>
      <c r="E1564" s="37" t="s">
        <v>2832</v>
      </c>
      <c r="H1564" s="163" t="s">
        <v>3211</v>
      </c>
      <c r="P1564" s="37" t="s">
        <v>1842</v>
      </c>
      <c r="S1564" s="111" t="s">
        <v>3412</v>
      </c>
      <c r="U1564" s="21">
        <v>0</v>
      </c>
      <c r="V1564" s="21">
        <v>0</v>
      </c>
      <c r="W1564" s="73">
        <f t="shared" si="72"/>
        <v>240</v>
      </c>
      <c r="X1564" s="80">
        <f t="shared" si="73"/>
        <v>2535</v>
      </c>
      <c r="Y1564" s="82" t="s">
        <v>3584</v>
      </c>
    </row>
    <row r="1565" spans="1:37" ht="17.100000000000001" customHeight="1" x14ac:dyDescent="0.25">
      <c r="A1565" s="29" t="s">
        <v>5178</v>
      </c>
      <c r="B1565" s="28" t="s">
        <v>526</v>
      </c>
      <c r="C1565" s="37" t="s">
        <v>1253</v>
      </c>
      <c r="E1565" s="37" t="s">
        <v>2832</v>
      </c>
      <c r="F1565" s="24" t="s">
        <v>2134</v>
      </c>
      <c r="H1565" s="43"/>
      <c r="I1565" s="116"/>
      <c r="P1565" s="37" t="s">
        <v>1993</v>
      </c>
      <c r="S1565" s="111" t="s">
        <v>3412</v>
      </c>
      <c r="T1565" s="16"/>
      <c r="U1565" s="21">
        <v>1</v>
      </c>
      <c r="V1565" s="21">
        <v>1</v>
      </c>
      <c r="W1565" s="73">
        <f t="shared" si="72"/>
        <v>241</v>
      </c>
      <c r="X1565" s="80">
        <f t="shared" si="73"/>
        <v>2536</v>
      </c>
      <c r="Y1565" s="82" t="s">
        <v>3584</v>
      </c>
      <c r="AF1565" s="16"/>
      <c r="AG1565" s="16"/>
      <c r="AH1565" s="16"/>
      <c r="AI1565" s="16"/>
      <c r="AJ1565" s="16"/>
      <c r="AK1565" s="16"/>
    </row>
    <row r="1566" spans="1:37" ht="17.100000000000001" customHeight="1" x14ac:dyDescent="0.25">
      <c r="A1566" s="29" t="s">
        <v>5175</v>
      </c>
      <c r="B1566" s="28" t="s">
        <v>5176</v>
      </c>
      <c r="C1566" s="37" t="s">
        <v>1253</v>
      </c>
      <c r="E1566" s="37" t="s">
        <v>2832</v>
      </c>
      <c r="F1566" s="24" t="s">
        <v>2134</v>
      </c>
      <c r="H1566" s="38" t="s">
        <v>5182</v>
      </c>
      <c r="J1566" s="214" t="s">
        <v>5159</v>
      </c>
      <c r="K1566" s="10" t="s">
        <v>5164</v>
      </c>
      <c r="P1566" s="37" t="s">
        <v>1870</v>
      </c>
      <c r="S1566" s="111" t="s">
        <v>3412</v>
      </c>
      <c r="U1566" s="21">
        <v>1</v>
      </c>
      <c r="V1566" s="21">
        <v>1</v>
      </c>
      <c r="W1566" s="73">
        <f t="shared" si="72"/>
        <v>242</v>
      </c>
      <c r="X1566" s="80">
        <f t="shared" si="73"/>
        <v>2537</v>
      </c>
      <c r="Y1566" s="82" t="s">
        <v>3584</v>
      </c>
    </row>
    <row r="1567" spans="1:37" ht="17.100000000000001" customHeight="1" x14ac:dyDescent="0.25">
      <c r="A1567" s="29" t="s">
        <v>468</v>
      </c>
      <c r="B1567" s="28" t="s">
        <v>469</v>
      </c>
      <c r="C1567" s="37" t="s">
        <v>1253</v>
      </c>
      <c r="E1567" s="37" t="s">
        <v>2832</v>
      </c>
      <c r="F1567" s="24" t="s">
        <v>2134</v>
      </c>
      <c r="H1567" s="43"/>
      <c r="I1567" s="116"/>
      <c r="J1567" s="214" t="s">
        <v>3694</v>
      </c>
      <c r="K1567" s="10" t="s">
        <v>3762</v>
      </c>
      <c r="P1567" s="37" t="s">
        <v>1870</v>
      </c>
      <c r="S1567" s="111" t="s">
        <v>3412</v>
      </c>
      <c r="T1567" s="16"/>
      <c r="U1567" s="21">
        <v>2</v>
      </c>
      <c r="V1567" s="21">
        <v>2</v>
      </c>
      <c r="W1567" s="73">
        <f t="shared" si="72"/>
        <v>244</v>
      </c>
      <c r="X1567" s="80">
        <f t="shared" si="73"/>
        <v>2539</v>
      </c>
      <c r="Y1567" s="82" t="s">
        <v>3584</v>
      </c>
      <c r="AF1567" s="16"/>
      <c r="AG1567" s="16"/>
      <c r="AH1567" s="16"/>
      <c r="AI1567" s="16"/>
      <c r="AJ1567" s="16"/>
      <c r="AK1567" s="16"/>
    </row>
    <row r="1568" spans="1:37" ht="17.100000000000001" customHeight="1" x14ac:dyDescent="0.25">
      <c r="A1568" s="29" t="s">
        <v>5157</v>
      </c>
      <c r="B1568" s="28" t="s">
        <v>556</v>
      </c>
      <c r="C1568" s="37" t="s">
        <v>1253</v>
      </c>
      <c r="E1568" s="37" t="s">
        <v>2832</v>
      </c>
      <c r="F1568" s="24" t="s">
        <v>2134</v>
      </c>
      <c r="H1568" s="38" t="s">
        <v>5180</v>
      </c>
      <c r="I1568" s="116"/>
      <c r="J1568" s="214" t="s">
        <v>5159</v>
      </c>
      <c r="K1568" s="10" t="s">
        <v>5164</v>
      </c>
      <c r="P1568" s="37" t="s">
        <v>1870</v>
      </c>
      <c r="S1568" s="111" t="s">
        <v>3412</v>
      </c>
      <c r="T1568" s="16"/>
      <c r="U1568" s="21">
        <v>1</v>
      </c>
      <c r="V1568" s="21">
        <v>1</v>
      </c>
      <c r="W1568" s="73">
        <f t="shared" si="72"/>
        <v>245</v>
      </c>
      <c r="X1568" s="80">
        <f t="shared" si="73"/>
        <v>2540</v>
      </c>
      <c r="Y1568" s="82" t="s">
        <v>3584</v>
      </c>
      <c r="AF1568" s="16"/>
      <c r="AG1568" s="16"/>
      <c r="AH1568" s="16"/>
      <c r="AI1568" s="16"/>
      <c r="AJ1568" s="16"/>
      <c r="AK1568" s="16"/>
    </row>
    <row r="1569" spans="1:37" ht="17.100000000000001" customHeight="1" x14ac:dyDescent="0.25">
      <c r="A1569" s="29" t="s">
        <v>5179</v>
      </c>
      <c r="B1569" s="28" t="s">
        <v>609</v>
      </c>
      <c r="C1569" s="37" t="s">
        <v>1253</v>
      </c>
      <c r="E1569" s="37" t="s">
        <v>2832</v>
      </c>
      <c r="F1569" s="24" t="s">
        <v>2134</v>
      </c>
      <c r="H1569" s="38" t="s">
        <v>5181</v>
      </c>
      <c r="I1569" s="116"/>
      <c r="J1569" s="214" t="s">
        <v>5159</v>
      </c>
      <c r="K1569" s="10" t="s">
        <v>5164</v>
      </c>
      <c r="P1569" s="37" t="s">
        <v>1987</v>
      </c>
      <c r="S1569" s="111" t="s">
        <v>3412</v>
      </c>
      <c r="T1569" s="16"/>
      <c r="U1569" s="21">
        <v>1</v>
      </c>
      <c r="V1569" s="21">
        <v>1</v>
      </c>
      <c r="W1569" s="73">
        <f t="shared" si="72"/>
        <v>246</v>
      </c>
      <c r="X1569" s="80">
        <f t="shared" si="73"/>
        <v>2541</v>
      </c>
      <c r="Y1569" s="82" t="s">
        <v>3584</v>
      </c>
      <c r="AF1569" s="16"/>
      <c r="AG1569" s="16"/>
      <c r="AH1569" s="16"/>
      <c r="AI1569" s="16"/>
      <c r="AJ1569" s="16"/>
      <c r="AK1569" s="16"/>
    </row>
    <row r="1570" spans="1:37" ht="17.100000000000001" customHeight="1" x14ac:dyDescent="0.25">
      <c r="A1570" s="29" t="s">
        <v>5183</v>
      </c>
      <c r="B1570" s="28" t="s">
        <v>5184</v>
      </c>
      <c r="C1570" s="37" t="s">
        <v>1253</v>
      </c>
      <c r="E1570" s="37" t="s">
        <v>2832</v>
      </c>
      <c r="F1570" s="24" t="s">
        <v>2134</v>
      </c>
      <c r="H1570" s="38" t="s">
        <v>5185</v>
      </c>
      <c r="I1570" s="116"/>
      <c r="J1570" s="214" t="s">
        <v>5159</v>
      </c>
      <c r="K1570" s="10" t="s">
        <v>5164</v>
      </c>
      <c r="P1570" s="37" t="s">
        <v>1870</v>
      </c>
      <c r="S1570" s="111" t="s">
        <v>3412</v>
      </c>
      <c r="T1570" s="16"/>
      <c r="U1570" s="21">
        <v>1</v>
      </c>
      <c r="V1570" s="21">
        <v>1</v>
      </c>
      <c r="W1570" s="73">
        <f t="shared" si="72"/>
        <v>247</v>
      </c>
      <c r="X1570" s="80">
        <f t="shared" si="73"/>
        <v>2542</v>
      </c>
      <c r="Y1570" s="82" t="s">
        <v>3584</v>
      </c>
      <c r="AF1570" s="16"/>
      <c r="AG1570" s="16"/>
      <c r="AH1570" s="16"/>
      <c r="AI1570" s="16"/>
      <c r="AJ1570" s="16"/>
      <c r="AK1570" s="16"/>
    </row>
    <row r="1571" spans="1:37" ht="17.100000000000001" customHeight="1" x14ac:dyDescent="0.25">
      <c r="A1571" s="29" t="s">
        <v>746</v>
      </c>
      <c r="B1571" s="28" t="s">
        <v>747</v>
      </c>
      <c r="C1571" s="37" t="s">
        <v>1253</v>
      </c>
      <c r="E1571" s="37" t="s">
        <v>2832</v>
      </c>
      <c r="F1571" s="24" t="s">
        <v>2134</v>
      </c>
      <c r="H1571" s="38" t="s">
        <v>5187</v>
      </c>
      <c r="I1571" s="116"/>
      <c r="J1571" s="220" t="s">
        <v>3694</v>
      </c>
      <c r="K1571" s="10" t="s">
        <v>3699</v>
      </c>
      <c r="P1571" s="37" t="s">
        <v>1870</v>
      </c>
      <c r="S1571" s="111" t="s">
        <v>3412</v>
      </c>
      <c r="T1571" s="16"/>
      <c r="U1571" s="21">
        <v>1</v>
      </c>
      <c r="V1571" s="21">
        <v>1</v>
      </c>
      <c r="W1571" s="73">
        <f t="shared" si="72"/>
        <v>248</v>
      </c>
      <c r="X1571" s="80">
        <f t="shared" si="73"/>
        <v>2543</v>
      </c>
      <c r="Y1571" s="82" t="s">
        <v>3584</v>
      </c>
      <c r="AF1571" s="16"/>
      <c r="AG1571" s="16"/>
      <c r="AH1571" s="16"/>
      <c r="AI1571" s="16"/>
      <c r="AJ1571" s="16"/>
      <c r="AK1571" s="16"/>
    </row>
    <row r="1572" spans="1:37" ht="17.100000000000001" customHeight="1" x14ac:dyDescent="0.25">
      <c r="A1572" s="29" t="s">
        <v>553</v>
      </c>
      <c r="B1572" s="28" t="s">
        <v>554</v>
      </c>
      <c r="C1572" s="37" t="s">
        <v>1253</v>
      </c>
      <c r="E1572" s="37" t="s">
        <v>2832</v>
      </c>
      <c r="F1572" s="24" t="s">
        <v>2134</v>
      </c>
      <c r="H1572" s="38" t="s">
        <v>5190</v>
      </c>
      <c r="I1572" s="116"/>
      <c r="J1572" s="214" t="s">
        <v>5159</v>
      </c>
      <c r="K1572" s="10" t="s">
        <v>5191</v>
      </c>
      <c r="P1572" s="37" t="s">
        <v>1870</v>
      </c>
      <c r="S1572" s="111" t="s">
        <v>3412</v>
      </c>
      <c r="T1572" s="16"/>
      <c r="U1572" s="21">
        <v>1</v>
      </c>
      <c r="V1572" s="21">
        <v>1</v>
      </c>
      <c r="W1572" s="73">
        <f t="shared" si="72"/>
        <v>249</v>
      </c>
      <c r="X1572" s="80">
        <f t="shared" si="73"/>
        <v>2544</v>
      </c>
      <c r="Y1572" s="82" t="s">
        <v>3584</v>
      </c>
      <c r="AF1572" s="16"/>
      <c r="AG1572" s="16"/>
      <c r="AH1572" s="16"/>
      <c r="AI1572" s="16"/>
      <c r="AJ1572" s="16"/>
      <c r="AK1572" s="16"/>
    </row>
    <row r="1573" spans="1:37" ht="17.100000000000001" customHeight="1" x14ac:dyDescent="0.25">
      <c r="A1573" s="29" t="s">
        <v>2025</v>
      </c>
      <c r="B1573" s="28" t="s">
        <v>1695</v>
      </c>
      <c r="C1573" s="37" t="s">
        <v>1253</v>
      </c>
      <c r="E1573" s="37" t="s">
        <v>2832</v>
      </c>
      <c r="F1573" s="24" t="s">
        <v>2134</v>
      </c>
      <c r="H1573" s="43"/>
      <c r="I1573" s="116"/>
      <c r="P1573" s="37" t="s">
        <v>1991</v>
      </c>
      <c r="S1573" s="111" t="s">
        <v>3412</v>
      </c>
      <c r="T1573" s="16"/>
      <c r="U1573" s="21">
        <v>1</v>
      </c>
      <c r="V1573" s="21">
        <v>1</v>
      </c>
      <c r="W1573" s="73">
        <f t="shared" ref="W1573:W1611" si="74">W1572+V1573</f>
        <v>250</v>
      </c>
      <c r="X1573" s="80">
        <f t="shared" ref="X1573:X1611" si="75">V1573+X1572</f>
        <v>2545</v>
      </c>
      <c r="Y1573" s="82" t="s">
        <v>3584</v>
      </c>
      <c r="AF1573" s="16"/>
      <c r="AG1573" s="16"/>
      <c r="AH1573" s="16"/>
      <c r="AI1573" s="16"/>
      <c r="AJ1573" s="16"/>
      <c r="AK1573" s="16"/>
    </row>
    <row r="1574" spans="1:37" ht="17.100000000000001" customHeight="1" x14ac:dyDescent="0.25">
      <c r="A1574" s="31" t="s">
        <v>332</v>
      </c>
      <c r="B1574" s="28" t="s">
        <v>1266</v>
      </c>
      <c r="C1574" s="37" t="s">
        <v>1253</v>
      </c>
      <c r="E1574" s="37" t="s">
        <v>2832</v>
      </c>
      <c r="F1574" s="24" t="s">
        <v>2134</v>
      </c>
      <c r="H1574" s="39"/>
      <c r="L1574" s="103"/>
      <c r="M1574" s="103"/>
      <c r="P1574" s="37" t="s">
        <v>252</v>
      </c>
      <c r="S1574" s="111" t="s">
        <v>3412</v>
      </c>
      <c r="T1574" s="11"/>
      <c r="U1574" s="21">
        <v>1</v>
      </c>
      <c r="V1574" s="21">
        <v>1</v>
      </c>
      <c r="W1574" s="73">
        <f t="shared" si="74"/>
        <v>251</v>
      </c>
      <c r="X1574" s="80">
        <f t="shared" si="75"/>
        <v>2546</v>
      </c>
      <c r="Y1574" s="82" t="s">
        <v>3584</v>
      </c>
      <c r="AF1574" s="11"/>
      <c r="AG1574" s="11"/>
      <c r="AH1574" s="11"/>
      <c r="AI1574" s="11"/>
      <c r="AJ1574" s="11"/>
      <c r="AK1574" s="11"/>
    </row>
    <row r="1575" spans="1:37" ht="17.100000000000001" customHeight="1" x14ac:dyDescent="0.25">
      <c r="A1575" s="29" t="s">
        <v>3340</v>
      </c>
      <c r="B1575" s="28" t="s">
        <v>740</v>
      </c>
      <c r="C1575" s="37" t="s">
        <v>1253</v>
      </c>
      <c r="E1575" s="37" t="s">
        <v>2832</v>
      </c>
      <c r="F1575" s="24" t="s">
        <v>2130</v>
      </c>
      <c r="P1575" s="37" t="s">
        <v>1463</v>
      </c>
      <c r="S1575" s="111" t="s">
        <v>3412</v>
      </c>
      <c r="U1575" s="21">
        <v>2</v>
      </c>
      <c r="V1575" s="21">
        <v>2</v>
      </c>
      <c r="W1575" s="73">
        <f t="shared" si="74"/>
        <v>253</v>
      </c>
      <c r="X1575" s="80">
        <f t="shared" si="75"/>
        <v>2548</v>
      </c>
      <c r="Y1575" s="82" t="s">
        <v>3584</v>
      </c>
    </row>
    <row r="1576" spans="1:37" ht="17.100000000000001" customHeight="1" x14ac:dyDescent="0.25">
      <c r="A1576" s="29" t="s">
        <v>804</v>
      </c>
      <c r="B1576" s="28" t="s">
        <v>527</v>
      </c>
      <c r="C1576" s="37" t="s">
        <v>1253</v>
      </c>
      <c r="E1576" s="37" t="s">
        <v>2832</v>
      </c>
      <c r="F1576" s="24" t="s">
        <v>2130</v>
      </c>
      <c r="J1576" s="214" t="s">
        <v>4457</v>
      </c>
      <c r="K1576" s="10" t="s">
        <v>5135</v>
      </c>
      <c r="P1576" s="37" t="s">
        <v>1463</v>
      </c>
      <c r="S1576" s="111" t="s">
        <v>3412</v>
      </c>
      <c r="U1576" s="21">
        <v>2</v>
      </c>
      <c r="V1576" s="21">
        <v>2</v>
      </c>
      <c r="W1576" s="73">
        <f t="shared" si="74"/>
        <v>255</v>
      </c>
      <c r="X1576" s="80">
        <f t="shared" si="75"/>
        <v>2550</v>
      </c>
      <c r="Y1576" s="82" t="s">
        <v>3584</v>
      </c>
    </row>
    <row r="1577" spans="1:37" ht="17.100000000000001" customHeight="1" x14ac:dyDescent="0.25">
      <c r="A1577" s="29" t="s">
        <v>742</v>
      </c>
      <c r="B1577" s="28" t="s">
        <v>732</v>
      </c>
      <c r="C1577" s="37" t="s">
        <v>1253</v>
      </c>
      <c r="E1577" s="37" t="s">
        <v>2832</v>
      </c>
      <c r="F1577" s="24" t="s">
        <v>2130</v>
      </c>
      <c r="P1577" s="37" t="s">
        <v>1463</v>
      </c>
      <c r="S1577" s="111" t="s">
        <v>3412</v>
      </c>
      <c r="U1577" s="21">
        <v>2</v>
      </c>
      <c r="V1577" s="21">
        <v>2</v>
      </c>
      <c r="W1577" s="73">
        <f t="shared" si="74"/>
        <v>257</v>
      </c>
      <c r="X1577" s="80">
        <f t="shared" si="75"/>
        <v>2552</v>
      </c>
      <c r="Y1577" s="82" t="s">
        <v>3584</v>
      </c>
    </row>
    <row r="1578" spans="1:37" ht="17.100000000000001" customHeight="1" x14ac:dyDescent="0.25">
      <c r="A1578" s="29" t="s">
        <v>814</v>
      </c>
      <c r="B1578" s="28" t="s">
        <v>741</v>
      </c>
      <c r="C1578" s="37" t="s">
        <v>1253</v>
      </c>
      <c r="E1578" s="37" t="s">
        <v>2832</v>
      </c>
      <c r="F1578" s="24" t="s">
        <v>2130</v>
      </c>
      <c r="P1578" s="37" t="s">
        <v>1644</v>
      </c>
      <c r="S1578" s="111" t="s">
        <v>3412</v>
      </c>
      <c r="U1578" s="21">
        <v>1</v>
      </c>
      <c r="V1578" s="21">
        <v>1</v>
      </c>
      <c r="W1578" s="73">
        <f t="shared" si="74"/>
        <v>258</v>
      </c>
      <c r="X1578" s="80">
        <f t="shared" si="75"/>
        <v>2553</v>
      </c>
      <c r="Y1578" s="82" t="s">
        <v>3584</v>
      </c>
    </row>
    <row r="1579" spans="1:37" ht="17.100000000000001" customHeight="1" x14ac:dyDescent="0.25">
      <c r="A1579" s="29" t="s">
        <v>737</v>
      </c>
      <c r="B1579" s="28" t="s">
        <v>2295</v>
      </c>
      <c r="C1579" s="37" t="s">
        <v>1253</v>
      </c>
      <c r="E1579" s="37" t="s">
        <v>2832</v>
      </c>
      <c r="F1579" s="24" t="s">
        <v>2130</v>
      </c>
      <c r="P1579" s="37" t="s">
        <v>1463</v>
      </c>
      <c r="S1579" s="111" t="s">
        <v>3412</v>
      </c>
      <c r="U1579" s="21">
        <v>1</v>
      </c>
      <c r="V1579" s="21">
        <v>1</v>
      </c>
      <c r="W1579" s="73">
        <f t="shared" si="74"/>
        <v>259</v>
      </c>
      <c r="X1579" s="80">
        <f t="shared" si="75"/>
        <v>2554</v>
      </c>
      <c r="Y1579" s="82" t="s">
        <v>3584</v>
      </c>
    </row>
    <row r="1580" spans="1:37" ht="17.100000000000001" customHeight="1" x14ac:dyDescent="0.25">
      <c r="A1580" s="29" t="s">
        <v>3698</v>
      </c>
      <c r="B1580" s="28" t="s">
        <v>2026</v>
      </c>
      <c r="C1580" s="37" t="s">
        <v>1253</v>
      </c>
      <c r="E1580" s="37" t="s">
        <v>2832</v>
      </c>
      <c r="F1580" s="24" t="s">
        <v>2130</v>
      </c>
      <c r="J1580" s="214" t="s">
        <v>3690</v>
      </c>
      <c r="K1580" s="10" t="s">
        <v>3685</v>
      </c>
      <c r="P1580" s="37" t="s">
        <v>1463</v>
      </c>
      <c r="S1580" s="111" t="s">
        <v>3412</v>
      </c>
      <c r="U1580" s="21">
        <v>1</v>
      </c>
      <c r="V1580" s="21">
        <v>1</v>
      </c>
      <c r="W1580" s="73">
        <f t="shared" si="74"/>
        <v>260</v>
      </c>
      <c r="X1580" s="80">
        <f t="shared" si="75"/>
        <v>2555</v>
      </c>
      <c r="Y1580" s="82" t="s">
        <v>3584</v>
      </c>
    </row>
    <row r="1581" spans="1:37" ht="17.100000000000001" customHeight="1" x14ac:dyDescent="0.25">
      <c r="A1581" s="29" t="s">
        <v>3341</v>
      </c>
      <c r="B1581" s="28" t="s">
        <v>2294</v>
      </c>
      <c r="C1581" s="37" t="s">
        <v>1253</v>
      </c>
      <c r="E1581" s="37" t="s">
        <v>2832</v>
      </c>
      <c r="F1581" s="24" t="s">
        <v>2130</v>
      </c>
      <c r="P1581" s="37" t="s">
        <v>1644</v>
      </c>
      <c r="S1581" s="111" t="s">
        <v>3412</v>
      </c>
      <c r="U1581" s="21">
        <v>1</v>
      </c>
      <c r="V1581" s="21">
        <v>1</v>
      </c>
      <c r="W1581" s="73">
        <f t="shared" si="74"/>
        <v>261</v>
      </c>
      <c r="X1581" s="80">
        <f t="shared" si="75"/>
        <v>2556</v>
      </c>
      <c r="Y1581" s="82" t="s">
        <v>3584</v>
      </c>
    </row>
    <row r="1582" spans="1:37" ht="17.100000000000001" customHeight="1" x14ac:dyDescent="0.25">
      <c r="A1582" s="29" t="s">
        <v>552</v>
      </c>
      <c r="B1582" s="28" t="s">
        <v>736</v>
      </c>
      <c r="C1582" s="37" t="s">
        <v>1253</v>
      </c>
      <c r="E1582" s="37" t="s">
        <v>2832</v>
      </c>
      <c r="F1582" s="24" t="s">
        <v>2130</v>
      </c>
      <c r="P1582" s="37" t="s">
        <v>2053</v>
      </c>
      <c r="S1582" s="111" t="s">
        <v>3412</v>
      </c>
      <c r="U1582" s="21">
        <v>1</v>
      </c>
      <c r="V1582" s="21">
        <v>1</v>
      </c>
      <c r="W1582" s="73">
        <f t="shared" si="74"/>
        <v>262</v>
      </c>
      <c r="X1582" s="80">
        <f t="shared" si="75"/>
        <v>2557</v>
      </c>
      <c r="Y1582" s="82" t="s">
        <v>3584</v>
      </c>
    </row>
    <row r="1583" spans="1:37" ht="17.100000000000001" customHeight="1" x14ac:dyDescent="0.25">
      <c r="A1583" s="29" t="s">
        <v>3342</v>
      </c>
      <c r="B1583" s="28" t="s">
        <v>541</v>
      </c>
      <c r="C1583" s="37" t="s">
        <v>1253</v>
      </c>
      <c r="E1583" s="37" t="s">
        <v>2832</v>
      </c>
      <c r="F1583" s="24" t="s">
        <v>2130</v>
      </c>
      <c r="H1583" s="38" t="s">
        <v>2293</v>
      </c>
      <c r="P1583" s="37" t="s">
        <v>2049</v>
      </c>
      <c r="S1583" s="111" t="s">
        <v>3412</v>
      </c>
      <c r="U1583" s="21">
        <v>1</v>
      </c>
      <c r="V1583" s="21">
        <v>1</v>
      </c>
      <c r="W1583" s="73">
        <f t="shared" si="74"/>
        <v>263</v>
      </c>
      <c r="X1583" s="80">
        <f t="shared" si="75"/>
        <v>2558</v>
      </c>
      <c r="Y1583" s="82" t="s">
        <v>3584</v>
      </c>
    </row>
    <row r="1584" spans="1:37" ht="17.100000000000001" customHeight="1" x14ac:dyDescent="0.25">
      <c r="A1584" s="29" t="s">
        <v>2028</v>
      </c>
      <c r="B1584" s="28" t="s">
        <v>1694</v>
      </c>
      <c r="C1584" s="37" t="s">
        <v>1253</v>
      </c>
      <c r="E1584" s="37" t="s">
        <v>2832</v>
      </c>
      <c r="F1584" s="24" t="s">
        <v>2130</v>
      </c>
      <c r="J1584" s="214" t="s">
        <v>3690</v>
      </c>
      <c r="K1584" s="10" t="s">
        <v>3685</v>
      </c>
      <c r="P1584" s="37" t="s">
        <v>1463</v>
      </c>
      <c r="S1584" s="111" t="s">
        <v>3412</v>
      </c>
      <c r="U1584" s="21">
        <v>1</v>
      </c>
      <c r="V1584" s="21">
        <v>1</v>
      </c>
      <c r="W1584" s="73">
        <f t="shared" si="74"/>
        <v>264</v>
      </c>
      <c r="X1584" s="80">
        <f t="shared" si="75"/>
        <v>2559</v>
      </c>
      <c r="Y1584" s="82" t="s">
        <v>3584</v>
      </c>
    </row>
    <row r="1585" spans="1:28" ht="17.100000000000001" customHeight="1" x14ac:dyDescent="0.25">
      <c r="A1585" s="29" t="s">
        <v>2296</v>
      </c>
      <c r="B1585" s="28" t="s">
        <v>551</v>
      </c>
      <c r="C1585" s="37" t="s">
        <v>1253</v>
      </c>
      <c r="E1585" s="37" t="s">
        <v>2832</v>
      </c>
      <c r="F1585" s="24" t="s">
        <v>2131</v>
      </c>
      <c r="P1585" s="37" t="s">
        <v>1463</v>
      </c>
      <c r="S1585" s="111" t="s">
        <v>3412</v>
      </c>
      <c r="U1585" s="21">
        <v>2</v>
      </c>
      <c r="V1585" s="21">
        <v>2</v>
      </c>
      <c r="W1585" s="73">
        <f t="shared" si="74"/>
        <v>266</v>
      </c>
      <c r="X1585" s="80">
        <f t="shared" si="75"/>
        <v>2561</v>
      </c>
      <c r="Y1585" s="82" t="s">
        <v>3584</v>
      </c>
    </row>
    <row r="1586" spans="1:28" ht="17.100000000000001" customHeight="1" x14ac:dyDescent="0.25">
      <c r="A1586" s="29" t="s">
        <v>812</v>
      </c>
      <c r="B1586" s="28" t="s">
        <v>732</v>
      </c>
      <c r="C1586" s="37" t="s">
        <v>1253</v>
      </c>
      <c r="E1586" s="37" t="s">
        <v>2832</v>
      </c>
      <c r="F1586" s="24" t="s">
        <v>2130</v>
      </c>
      <c r="J1586" s="214" t="s">
        <v>4457</v>
      </c>
      <c r="K1586" s="10" t="s">
        <v>5135</v>
      </c>
      <c r="P1586" s="37" t="s">
        <v>1463</v>
      </c>
      <c r="S1586" s="111" t="s">
        <v>3412</v>
      </c>
      <c r="U1586" s="21">
        <v>2</v>
      </c>
      <c r="V1586" s="21">
        <v>2</v>
      </c>
      <c r="W1586" s="73">
        <f t="shared" si="74"/>
        <v>268</v>
      </c>
      <c r="X1586" s="80">
        <f t="shared" si="75"/>
        <v>2563</v>
      </c>
      <c r="Y1586" s="82" t="s">
        <v>3584</v>
      </c>
    </row>
    <row r="1587" spans="1:28" ht="17.100000000000001" customHeight="1" x14ac:dyDescent="0.25">
      <c r="A1587" s="29" t="s">
        <v>3343</v>
      </c>
      <c r="B1587" s="28" t="s">
        <v>739</v>
      </c>
      <c r="C1587" s="37" t="s">
        <v>1253</v>
      </c>
      <c r="E1587" s="37" t="s">
        <v>2832</v>
      </c>
      <c r="F1587" s="24" t="s">
        <v>2132</v>
      </c>
      <c r="P1587" s="37" t="s">
        <v>2050</v>
      </c>
      <c r="S1587" s="111" t="s">
        <v>3412</v>
      </c>
      <c r="U1587" s="21">
        <v>1</v>
      </c>
      <c r="V1587" s="21">
        <v>1</v>
      </c>
      <c r="W1587" s="73">
        <f t="shared" si="74"/>
        <v>269</v>
      </c>
      <c r="X1587" s="80">
        <f t="shared" si="75"/>
        <v>2564</v>
      </c>
      <c r="Y1587" s="82" t="s">
        <v>3584</v>
      </c>
    </row>
    <row r="1588" spans="1:28" ht="17.100000000000001" customHeight="1" x14ac:dyDescent="0.25">
      <c r="A1588" s="29" t="s">
        <v>3344</v>
      </c>
      <c r="B1588" s="28" t="s">
        <v>550</v>
      </c>
      <c r="C1588" s="37" t="s">
        <v>1253</v>
      </c>
      <c r="E1588" s="37" t="s">
        <v>2832</v>
      </c>
      <c r="F1588" s="24" t="s">
        <v>2132</v>
      </c>
      <c r="J1588" s="214" t="s">
        <v>3691</v>
      </c>
      <c r="K1588" s="10" t="s">
        <v>3717</v>
      </c>
      <c r="P1588" s="37" t="s">
        <v>1463</v>
      </c>
      <c r="S1588" s="111" t="s">
        <v>3412</v>
      </c>
      <c r="U1588" s="21">
        <v>1</v>
      </c>
      <c r="V1588" s="21">
        <v>1</v>
      </c>
      <c r="W1588" s="73">
        <f t="shared" si="74"/>
        <v>270</v>
      </c>
      <c r="X1588" s="80">
        <f t="shared" si="75"/>
        <v>2565</v>
      </c>
      <c r="Y1588" s="82" t="s">
        <v>3584</v>
      </c>
    </row>
    <row r="1589" spans="1:28" ht="17.100000000000001" customHeight="1" x14ac:dyDescent="0.25">
      <c r="A1589" s="29" t="s">
        <v>738</v>
      </c>
      <c r="B1589" s="28" t="s">
        <v>2301</v>
      </c>
      <c r="C1589" s="37" t="s">
        <v>1253</v>
      </c>
      <c r="E1589" s="37" t="s">
        <v>2832</v>
      </c>
      <c r="F1589" s="24" t="s">
        <v>2131</v>
      </c>
      <c r="H1589" s="38" t="s">
        <v>5208</v>
      </c>
      <c r="P1589" s="37" t="s">
        <v>1463</v>
      </c>
      <c r="S1589" s="111" t="s">
        <v>3412</v>
      </c>
      <c r="U1589" s="21">
        <v>2</v>
      </c>
      <c r="V1589" s="21">
        <v>2</v>
      </c>
      <c r="W1589" s="73">
        <f t="shared" si="74"/>
        <v>272</v>
      </c>
      <c r="X1589" s="80">
        <f t="shared" si="75"/>
        <v>2567</v>
      </c>
      <c r="Y1589" s="82" t="s">
        <v>3584</v>
      </c>
    </row>
    <row r="1590" spans="1:28" ht="17.100000000000001" customHeight="1" x14ac:dyDescent="0.25">
      <c r="A1590" s="29" t="s">
        <v>3696</v>
      </c>
      <c r="B1590" s="28" t="s">
        <v>745</v>
      </c>
      <c r="C1590" s="37" t="s">
        <v>1253</v>
      </c>
      <c r="E1590" s="37" t="s">
        <v>2832</v>
      </c>
      <c r="F1590" s="24" t="s">
        <v>2133</v>
      </c>
      <c r="J1590" s="214" t="s">
        <v>3690</v>
      </c>
      <c r="K1590" s="10" t="s">
        <v>3685</v>
      </c>
      <c r="P1590" s="37" t="s">
        <v>1463</v>
      </c>
      <c r="S1590" s="111" t="s">
        <v>3412</v>
      </c>
      <c r="U1590" s="21">
        <v>2</v>
      </c>
      <c r="V1590" s="21">
        <v>2</v>
      </c>
      <c r="W1590" s="73">
        <f t="shared" si="74"/>
        <v>274</v>
      </c>
      <c r="X1590" s="80">
        <f t="shared" si="75"/>
        <v>2569</v>
      </c>
      <c r="Y1590" s="82" t="s">
        <v>3584</v>
      </c>
    </row>
    <row r="1591" spans="1:28" ht="17.100000000000001" customHeight="1" x14ac:dyDescent="0.25">
      <c r="A1591" s="29" t="s">
        <v>3345</v>
      </c>
      <c r="B1591" s="28" t="s">
        <v>744</v>
      </c>
      <c r="C1591" s="37" t="s">
        <v>1253</v>
      </c>
      <c r="E1591" s="37" t="s">
        <v>2832</v>
      </c>
      <c r="F1591" s="24" t="s">
        <v>2133</v>
      </c>
      <c r="J1591" s="214" t="s">
        <v>3690</v>
      </c>
      <c r="K1591" s="10" t="s">
        <v>3685</v>
      </c>
      <c r="P1591" s="37" t="s">
        <v>1463</v>
      </c>
      <c r="S1591" s="111" t="s">
        <v>3412</v>
      </c>
      <c r="U1591" s="21">
        <v>2</v>
      </c>
      <c r="V1591" s="21">
        <v>2</v>
      </c>
      <c r="W1591" s="73">
        <f t="shared" si="74"/>
        <v>276</v>
      </c>
      <c r="X1591" s="80">
        <f t="shared" si="75"/>
        <v>2571</v>
      </c>
      <c r="Y1591" s="82" t="s">
        <v>3584</v>
      </c>
    </row>
    <row r="1592" spans="1:28" ht="17.100000000000001" customHeight="1" x14ac:dyDescent="0.25">
      <c r="A1592" s="29" t="s">
        <v>451</v>
      </c>
      <c r="B1592" s="28" t="s">
        <v>452</v>
      </c>
      <c r="C1592" s="37" t="s">
        <v>1253</v>
      </c>
      <c r="E1592" s="37" t="s">
        <v>2832</v>
      </c>
      <c r="F1592" s="24" t="s">
        <v>2132</v>
      </c>
      <c r="P1592" s="37" t="s">
        <v>1463</v>
      </c>
      <c r="S1592" s="111" t="s">
        <v>3412</v>
      </c>
      <c r="U1592" s="21">
        <v>1</v>
      </c>
      <c r="V1592" s="21">
        <v>1</v>
      </c>
      <c r="W1592" s="73">
        <f t="shared" si="74"/>
        <v>277</v>
      </c>
      <c r="X1592" s="80">
        <f t="shared" si="75"/>
        <v>2572</v>
      </c>
      <c r="Y1592" s="82" t="s">
        <v>3584</v>
      </c>
    </row>
    <row r="1593" spans="1:28" ht="17.100000000000001" customHeight="1" x14ac:dyDescent="0.25">
      <c r="A1593" s="29" t="s">
        <v>3346</v>
      </c>
      <c r="B1593" s="28" t="s">
        <v>2297</v>
      </c>
      <c r="C1593" s="37" t="s">
        <v>1253</v>
      </c>
      <c r="E1593" s="37" t="s">
        <v>2832</v>
      </c>
      <c r="F1593" s="24" t="s">
        <v>2132</v>
      </c>
      <c r="P1593" s="37" t="s">
        <v>1994</v>
      </c>
      <c r="S1593" s="111" t="s">
        <v>3412</v>
      </c>
      <c r="U1593" s="21">
        <v>1</v>
      </c>
      <c r="V1593" s="21">
        <v>1</v>
      </c>
      <c r="W1593" s="73">
        <f t="shared" si="74"/>
        <v>278</v>
      </c>
      <c r="X1593" s="80">
        <f t="shared" si="75"/>
        <v>2573</v>
      </c>
      <c r="Y1593" s="82" t="s">
        <v>3584</v>
      </c>
    </row>
    <row r="1594" spans="1:28" ht="17.100000000000001" customHeight="1" x14ac:dyDescent="0.25">
      <c r="A1594" s="29" t="s">
        <v>799</v>
      </c>
      <c r="B1594" s="28" t="s">
        <v>800</v>
      </c>
      <c r="C1594" s="37" t="s">
        <v>1253</v>
      </c>
      <c r="E1594" s="37" t="s">
        <v>2832</v>
      </c>
      <c r="F1594" s="24" t="s">
        <v>2132</v>
      </c>
      <c r="H1594" s="38" t="s">
        <v>5136</v>
      </c>
      <c r="J1594" s="214" t="s">
        <v>5134</v>
      </c>
      <c r="K1594" s="10" t="s">
        <v>5135</v>
      </c>
      <c r="P1594" s="37" t="s">
        <v>1995</v>
      </c>
      <c r="S1594" s="111" t="s">
        <v>3412</v>
      </c>
      <c r="U1594" s="21">
        <v>1</v>
      </c>
      <c r="V1594" s="21">
        <v>1</v>
      </c>
      <c r="W1594" s="73">
        <f t="shared" si="74"/>
        <v>279</v>
      </c>
      <c r="X1594" s="80">
        <f t="shared" si="75"/>
        <v>2574</v>
      </c>
      <c r="Y1594" s="82" t="s">
        <v>3584</v>
      </c>
    </row>
    <row r="1595" spans="1:28" ht="17.100000000000001" customHeight="1" x14ac:dyDescent="0.25">
      <c r="A1595" s="29" t="s">
        <v>743</v>
      </c>
      <c r="B1595" s="28" t="s">
        <v>450</v>
      </c>
      <c r="C1595" s="37" t="s">
        <v>1253</v>
      </c>
      <c r="E1595" s="37" t="s">
        <v>2832</v>
      </c>
      <c r="F1595" s="24" t="s">
        <v>2132</v>
      </c>
      <c r="J1595" s="214" t="s">
        <v>5134</v>
      </c>
      <c r="K1595" s="10" t="s">
        <v>5135</v>
      </c>
      <c r="P1595" s="37" t="s">
        <v>1463</v>
      </c>
      <c r="S1595" s="111" t="s">
        <v>3412</v>
      </c>
      <c r="U1595" s="21">
        <v>1</v>
      </c>
      <c r="V1595" s="21">
        <v>1</v>
      </c>
      <c r="W1595" s="73">
        <f t="shared" si="74"/>
        <v>280</v>
      </c>
      <c r="X1595" s="80">
        <f t="shared" si="75"/>
        <v>2575</v>
      </c>
      <c r="Y1595" s="82" t="s">
        <v>3584</v>
      </c>
    </row>
    <row r="1596" spans="1:28" ht="17.100000000000001" customHeight="1" x14ac:dyDescent="0.25">
      <c r="A1596" s="29" t="s">
        <v>3347</v>
      </c>
      <c r="B1596" s="28" t="s">
        <v>2298</v>
      </c>
      <c r="C1596" s="37" t="s">
        <v>1253</v>
      </c>
      <c r="E1596" s="37" t="s">
        <v>2832</v>
      </c>
      <c r="F1596" s="24" t="s">
        <v>2133</v>
      </c>
      <c r="H1596" s="38" t="s">
        <v>5268</v>
      </c>
      <c r="J1596" s="214" t="s">
        <v>3691</v>
      </c>
      <c r="K1596" s="10" t="s">
        <v>3717</v>
      </c>
      <c r="P1596" s="37" t="s">
        <v>1463</v>
      </c>
      <c r="S1596" s="111" t="s">
        <v>3412</v>
      </c>
      <c r="U1596" s="21">
        <v>2</v>
      </c>
      <c r="V1596" s="21">
        <v>2</v>
      </c>
      <c r="W1596" s="73">
        <f t="shared" si="74"/>
        <v>282</v>
      </c>
      <c r="X1596" s="80">
        <f t="shared" si="75"/>
        <v>2577</v>
      </c>
      <c r="Y1596" s="82" t="s">
        <v>3584</v>
      </c>
    </row>
    <row r="1597" spans="1:28" ht="17.100000000000001" customHeight="1" x14ac:dyDescent="0.25">
      <c r="A1597" s="29" t="s">
        <v>3348</v>
      </c>
      <c r="B1597" s="28" t="s">
        <v>178</v>
      </c>
      <c r="C1597" s="37" t="s">
        <v>1253</v>
      </c>
      <c r="E1597" s="37" t="s">
        <v>2832</v>
      </c>
      <c r="F1597" s="24" t="s">
        <v>2132</v>
      </c>
      <c r="P1597" s="37" t="s">
        <v>2299</v>
      </c>
      <c r="S1597" s="111" t="s">
        <v>3412</v>
      </c>
      <c r="U1597" s="21">
        <v>1</v>
      </c>
      <c r="V1597" s="21">
        <v>1</v>
      </c>
      <c r="W1597" s="73">
        <f t="shared" si="74"/>
        <v>283</v>
      </c>
      <c r="X1597" s="80">
        <f t="shared" si="75"/>
        <v>2578</v>
      </c>
      <c r="Y1597" s="82" t="s">
        <v>3584</v>
      </c>
      <c r="AA1597" s="178"/>
      <c r="AB1597" s="178"/>
    </row>
    <row r="1598" spans="1:28" ht="17.100000000000001" customHeight="1" x14ac:dyDescent="0.25">
      <c r="A1598" s="29" t="s">
        <v>262</v>
      </c>
      <c r="B1598" s="28" t="s">
        <v>5270</v>
      </c>
      <c r="C1598" s="37" t="s">
        <v>1253</v>
      </c>
      <c r="E1598" s="37" t="s">
        <v>2832</v>
      </c>
      <c r="F1598" s="24" t="s">
        <v>2132</v>
      </c>
      <c r="H1598" s="38" t="s">
        <v>5272</v>
      </c>
      <c r="P1598" s="124" t="s">
        <v>5271</v>
      </c>
      <c r="Q1598" s="37" t="s">
        <v>1810</v>
      </c>
      <c r="S1598" s="111" t="s">
        <v>3412</v>
      </c>
      <c r="U1598" s="21">
        <v>1</v>
      </c>
      <c r="V1598" s="21">
        <v>1</v>
      </c>
      <c r="W1598" s="73">
        <f t="shared" si="74"/>
        <v>284</v>
      </c>
      <c r="X1598" s="80">
        <f t="shared" si="75"/>
        <v>2579</v>
      </c>
      <c r="Y1598" s="82" t="s">
        <v>3584</v>
      </c>
    </row>
    <row r="1599" spans="1:28" ht="17.100000000000001" customHeight="1" x14ac:dyDescent="0.25">
      <c r="A1599" s="29" t="s">
        <v>4919</v>
      </c>
      <c r="B1599" s="28" t="s">
        <v>1920</v>
      </c>
      <c r="C1599" s="37" t="s">
        <v>1253</v>
      </c>
      <c r="E1599" s="37" t="s">
        <v>2832</v>
      </c>
      <c r="F1599" s="24" t="s">
        <v>2133</v>
      </c>
      <c r="H1599" s="38" t="s">
        <v>5269</v>
      </c>
      <c r="J1599" s="214" t="s">
        <v>5129</v>
      </c>
      <c r="K1599" s="10" t="s">
        <v>5130</v>
      </c>
      <c r="P1599" s="37" t="s">
        <v>1463</v>
      </c>
      <c r="S1599" s="111" t="s">
        <v>3412</v>
      </c>
      <c r="U1599" s="21">
        <v>1</v>
      </c>
      <c r="V1599" s="21">
        <v>1</v>
      </c>
      <c r="W1599" s="73">
        <f t="shared" si="74"/>
        <v>285</v>
      </c>
      <c r="X1599" s="80">
        <f t="shared" si="75"/>
        <v>2580</v>
      </c>
      <c r="Y1599" s="82" t="s">
        <v>3584</v>
      </c>
    </row>
    <row r="1600" spans="1:28" ht="17.100000000000001" customHeight="1" x14ac:dyDescent="0.25">
      <c r="A1600" s="29" t="s">
        <v>3349</v>
      </c>
      <c r="B1600" s="28" t="s">
        <v>472</v>
      </c>
      <c r="C1600" s="37" t="s">
        <v>1253</v>
      </c>
      <c r="E1600" s="37" t="s">
        <v>2832</v>
      </c>
      <c r="F1600" s="24" t="s">
        <v>2133</v>
      </c>
      <c r="J1600" s="214" t="s">
        <v>3694</v>
      </c>
      <c r="K1600" s="10" t="s">
        <v>3762</v>
      </c>
      <c r="P1600" s="37" t="s">
        <v>1463</v>
      </c>
      <c r="S1600" s="111" t="s">
        <v>3412</v>
      </c>
      <c r="U1600" s="21">
        <v>1</v>
      </c>
      <c r="V1600" s="21">
        <v>1</v>
      </c>
      <c r="W1600" s="73">
        <f t="shared" si="74"/>
        <v>286</v>
      </c>
      <c r="X1600" s="80">
        <f t="shared" si="75"/>
        <v>2581</v>
      </c>
      <c r="Y1600" s="82" t="s">
        <v>3584</v>
      </c>
    </row>
    <row r="1601" spans="1:37" ht="17.100000000000001" customHeight="1" x14ac:dyDescent="0.25">
      <c r="A1601" s="29" t="s">
        <v>658</v>
      </c>
      <c r="B1601" s="28" t="s">
        <v>2300</v>
      </c>
      <c r="C1601" s="37" t="s">
        <v>1253</v>
      </c>
      <c r="E1601" s="37" t="s">
        <v>2832</v>
      </c>
      <c r="F1601" s="24" t="s">
        <v>2132</v>
      </c>
      <c r="P1601" s="37" t="s">
        <v>1870</v>
      </c>
      <c r="S1601" s="111" t="s">
        <v>3412</v>
      </c>
      <c r="U1601" s="21">
        <v>1</v>
      </c>
      <c r="V1601" s="21">
        <v>1</v>
      </c>
      <c r="W1601" s="73">
        <f t="shared" si="74"/>
        <v>287</v>
      </c>
      <c r="X1601" s="80">
        <f t="shared" si="75"/>
        <v>2582</v>
      </c>
      <c r="Y1601" s="82" t="s">
        <v>3584</v>
      </c>
    </row>
    <row r="1602" spans="1:37" ht="17.100000000000001" customHeight="1" x14ac:dyDescent="0.25">
      <c r="A1602" s="29" t="s">
        <v>1558</v>
      </c>
      <c r="B1602" s="28" t="s">
        <v>1447</v>
      </c>
      <c r="C1602" s="37" t="s">
        <v>1253</v>
      </c>
      <c r="E1602" s="37" t="s">
        <v>2832</v>
      </c>
      <c r="F1602" s="24" t="s">
        <v>2131</v>
      </c>
      <c r="J1602" s="214" t="s">
        <v>3690</v>
      </c>
      <c r="K1602" s="10" t="s">
        <v>3685</v>
      </c>
      <c r="L1602" s="102" t="s">
        <v>5265</v>
      </c>
      <c r="P1602" s="37" t="s">
        <v>1463</v>
      </c>
      <c r="S1602" s="111" t="s">
        <v>3412</v>
      </c>
      <c r="U1602" s="22">
        <v>1</v>
      </c>
      <c r="V1602" s="22">
        <v>1</v>
      </c>
      <c r="W1602" s="73">
        <f t="shared" si="74"/>
        <v>288</v>
      </c>
      <c r="X1602" s="80">
        <f t="shared" si="75"/>
        <v>2583</v>
      </c>
      <c r="Y1602" s="82" t="s">
        <v>3584</v>
      </c>
    </row>
    <row r="1603" spans="1:37" ht="17.100000000000001" customHeight="1" x14ac:dyDescent="0.25">
      <c r="A1603" s="29" t="s">
        <v>3350</v>
      </c>
      <c r="B1603" s="28" t="s">
        <v>1447</v>
      </c>
      <c r="C1603" s="37" t="s">
        <v>1253</v>
      </c>
      <c r="E1603" s="37" t="s">
        <v>2832</v>
      </c>
      <c r="F1603" s="24" t="s">
        <v>2131</v>
      </c>
      <c r="H1603" s="38" t="s">
        <v>7211</v>
      </c>
      <c r="P1603" s="37" t="s">
        <v>1463</v>
      </c>
      <c r="S1603" s="38" t="s">
        <v>2981</v>
      </c>
      <c r="T1603" s="10" t="s">
        <v>5241</v>
      </c>
      <c r="U1603" s="22">
        <v>1</v>
      </c>
      <c r="V1603" s="22">
        <v>1</v>
      </c>
      <c r="W1603" s="73">
        <f t="shared" si="74"/>
        <v>289</v>
      </c>
      <c r="X1603" s="80">
        <f t="shared" si="75"/>
        <v>2584</v>
      </c>
      <c r="Y1603" s="82" t="s">
        <v>3584</v>
      </c>
    </row>
    <row r="1604" spans="1:37" ht="17.100000000000001" customHeight="1" x14ac:dyDescent="0.25">
      <c r="A1604" s="29" t="s">
        <v>3351</v>
      </c>
      <c r="B1604" s="28" t="s">
        <v>2264</v>
      </c>
      <c r="C1604" s="37" t="s">
        <v>1253</v>
      </c>
      <c r="E1604" s="37" t="s">
        <v>2832</v>
      </c>
      <c r="F1604" s="24" t="s">
        <v>2124</v>
      </c>
      <c r="J1604" s="219"/>
      <c r="N1604" s="151"/>
      <c r="O1604" s="151"/>
      <c r="P1604" s="37" t="s">
        <v>1463</v>
      </c>
      <c r="S1604" s="38" t="s">
        <v>3412</v>
      </c>
      <c r="U1604" s="21">
        <v>1</v>
      </c>
      <c r="V1604" s="21">
        <v>1</v>
      </c>
      <c r="W1604" s="73">
        <f t="shared" si="74"/>
        <v>290</v>
      </c>
      <c r="X1604" s="80">
        <f t="shared" si="75"/>
        <v>2585</v>
      </c>
      <c r="Y1604" s="82" t="s">
        <v>3584</v>
      </c>
      <c r="AA1604" s="183"/>
      <c r="AB1604" s="183"/>
      <c r="AC1604" s="88"/>
      <c r="AD1604" s="88"/>
    </row>
    <row r="1605" spans="1:37" ht="17.100000000000001" customHeight="1" x14ac:dyDescent="0.25">
      <c r="A1605" s="29" t="s">
        <v>3352</v>
      </c>
      <c r="B1605" s="28" t="s">
        <v>2265</v>
      </c>
      <c r="C1605" s="37" t="s">
        <v>1253</v>
      </c>
      <c r="E1605" s="37" t="s">
        <v>2832</v>
      </c>
      <c r="F1605" s="24" t="s">
        <v>2124</v>
      </c>
      <c r="J1605" s="219"/>
      <c r="N1605" s="151"/>
      <c r="O1605" s="151"/>
      <c r="P1605" s="37" t="s">
        <v>1463</v>
      </c>
      <c r="S1605" s="38" t="s">
        <v>3412</v>
      </c>
      <c r="U1605" s="21">
        <v>1</v>
      </c>
      <c r="V1605" s="21">
        <v>1</v>
      </c>
      <c r="W1605" s="73">
        <f t="shared" si="74"/>
        <v>291</v>
      </c>
      <c r="X1605" s="80">
        <f t="shared" si="75"/>
        <v>2586</v>
      </c>
      <c r="Y1605" s="82" t="s">
        <v>3584</v>
      </c>
      <c r="AA1605" s="183"/>
      <c r="AB1605" s="183"/>
      <c r="AC1605" s="88"/>
      <c r="AD1605" s="88"/>
    </row>
    <row r="1606" spans="1:37" ht="17.100000000000001" customHeight="1" x14ac:dyDescent="0.25">
      <c r="A1606" s="29" t="s">
        <v>3353</v>
      </c>
      <c r="B1606" s="28" t="s">
        <v>2266</v>
      </c>
      <c r="C1606" s="37" t="s">
        <v>1253</v>
      </c>
      <c r="E1606" s="37" t="s">
        <v>2832</v>
      </c>
      <c r="F1606" s="24" t="s">
        <v>2125</v>
      </c>
      <c r="J1606" s="219"/>
      <c r="N1606" s="151"/>
      <c r="O1606" s="151"/>
      <c r="P1606" s="37" t="s">
        <v>1463</v>
      </c>
      <c r="S1606" s="38" t="s">
        <v>3412</v>
      </c>
      <c r="U1606" s="21">
        <v>1</v>
      </c>
      <c r="V1606" s="21">
        <v>1</v>
      </c>
      <c r="W1606" s="73">
        <f t="shared" si="74"/>
        <v>292</v>
      </c>
      <c r="X1606" s="80">
        <f t="shared" si="75"/>
        <v>2587</v>
      </c>
      <c r="Y1606" s="82" t="s">
        <v>3584</v>
      </c>
      <c r="AA1606" s="183"/>
      <c r="AB1606" s="183"/>
      <c r="AC1606" s="88"/>
      <c r="AD1606" s="88"/>
    </row>
    <row r="1607" spans="1:37" ht="17.100000000000001" customHeight="1" x14ac:dyDescent="0.25">
      <c r="A1607" s="29" t="s">
        <v>1453</v>
      </c>
      <c r="B1607" s="28" t="s">
        <v>1657</v>
      </c>
      <c r="C1607" s="37" t="s">
        <v>1253</v>
      </c>
      <c r="E1607" s="37" t="s">
        <v>2832</v>
      </c>
      <c r="F1607" s="24" t="s">
        <v>2119</v>
      </c>
      <c r="J1607" s="219" t="s">
        <v>4457</v>
      </c>
      <c r="K1607" s="10" t="s">
        <v>5135</v>
      </c>
      <c r="N1607" s="151"/>
      <c r="O1607" s="151"/>
      <c r="P1607" s="37" t="s">
        <v>1463</v>
      </c>
      <c r="S1607" s="38" t="s">
        <v>3412</v>
      </c>
      <c r="U1607" s="21">
        <v>2</v>
      </c>
      <c r="V1607" s="21">
        <v>2</v>
      </c>
      <c r="W1607" s="73">
        <f t="shared" si="74"/>
        <v>294</v>
      </c>
      <c r="X1607" s="80">
        <f t="shared" si="75"/>
        <v>2589</v>
      </c>
      <c r="Y1607" s="82" t="s">
        <v>3584</v>
      </c>
      <c r="AA1607" s="183"/>
      <c r="AB1607" s="183"/>
      <c r="AC1607" s="88"/>
      <c r="AD1607" s="88"/>
    </row>
    <row r="1608" spans="1:37" ht="17.100000000000001" customHeight="1" x14ac:dyDescent="0.25">
      <c r="A1608" s="29" t="s">
        <v>3697</v>
      </c>
      <c r="B1608" s="28" t="s">
        <v>732</v>
      </c>
      <c r="C1608" s="37" t="s">
        <v>1253</v>
      </c>
      <c r="E1608" s="37" t="s">
        <v>2832</v>
      </c>
      <c r="F1608" s="24" t="s">
        <v>2118</v>
      </c>
      <c r="J1608" s="219" t="s">
        <v>3690</v>
      </c>
      <c r="K1608" s="10" t="s">
        <v>3685</v>
      </c>
      <c r="N1608" s="151"/>
      <c r="O1608" s="151"/>
      <c r="P1608" s="37" t="s">
        <v>1463</v>
      </c>
      <c r="S1608" s="38" t="s">
        <v>3412</v>
      </c>
      <c r="U1608" s="21">
        <v>2</v>
      </c>
      <c r="V1608" s="21">
        <v>2</v>
      </c>
      <c r="W1608" s="73">
        <f t="shared" si="74"/>
        <v>296</v>
      </c>
      <c r="X1608" s="80">
        <f t="shared" si="75"/>
        <v>2591</v>
      </c>
      <c r="Y1608" s="82" t="s">
        <v>3584</v>
      </c>
      <c r="AA1608" s="183"/>
      <c r="AB1608" s="183"/>
      <c r="AC1608" s="88"/>
      <c r="AD1608" s="88"/>
    </row>
    <row r="1609" spans="1:37" ht="17.100000000000001" customHeight="1" x14ac:dyDescent="0.25">
      <c r="A1609" s="29" t="s">
        <v>1338</v>
      </c>
      <c r="B1609" s="28" t="s">
        <v>982</v>
      </c>
      <c r="C1609" s="37" t="s">
        <v>1253</v>
      </c>
      <c r="E1609" s="37" t="s">
        <v>2832</v>
      </c>
      <c r="F1609" s="24" t="s">
        <v>2122</v>
      </c>
      <c r="J1609" s="219"/>
      <c r="N1609" s="151"/>
      <c r="O1609" s="151"/>
      <c r="P1609" s="37" t="s">
        <v>670</v>
      </c>
      <c r="S1609" s="38" t="s">
        <v>3412</v>
      </c>
      <c r="U1609" s="21">
        <v>1</v>
      </c>
      <c r="V1609" s="21">
        <v>1</v>
      </c>
      <c r="W1609" s="73">
        <f t="shared" si="74"/>
        <v>297</v>
      </c>
      <c r="X1609" s="80">
        <f t="shared" si="75"/>
        <v>2592</v>
      </c>
      <c r="Y1609" s="82" t="s">
        <v>3584</v>
      </c>
      <c r="AA1609" s="183"/>
      <c r="AB1609" s="183"/>
      <c r="AC1609" s="88"/>
      <c r="AD1609" s="88"/>
    </row>
    <row r="1610" spans="1:37" ht="17.100000000000001" customHeight="1" x14ac:dyDescent="0.25">
      <c r="A1610" s="29" t="s">
        <v>5446</v>
      </c>
      <c r="B1610" s="28" t="s">
        <v>6456</v>
      </c>
      <c r="C1610" s="37" t="s">
        <v>1253</v>
      </c>
      <c r="E1610" s="37" t="s">
        <v>2832</v>
      </c>
      <c r="F1610" s="24" t="s">
        <v>2118</v>
      </c>
      <c r="H1610" s="38" t="s">
        <v>4943</v>
      </c>
      <c r="J1610" s="219" t="s">
        <v>4457</v>
      </c>
      <c r="K1610" s="10" t="s">
        <v>5135</v>
      </c>
      <c r="N1610" s="151"/>
      <c r="O1610" s="151"/>
      <c r="P1610" s="37" t="s">
        <v>1463</v>
      </c>
      <c r="S1610" s="38" t="s">
        <v>3412</v>
      </c>
      <c r="U1610" s="21">
        <v>2</v>
      </c>
      <c r="V1610" s="21">
        <v>2</v>
      </c>
      <c r="W1610" s="73">
        <f t="shared" si="74"/>
        <v>299</v>
      </c>
      <c r="X1610" s="80">
        <f t="shared" si="75"/>
        <v>2594</v>
      </c>
      <c r="Y1610" s="82" t="s">
        <v>3584</v>
      </c>
      <c r="AA1610" s="183"/>
      <c r="AB1610" s="183"/>
      <c r="AC1610" s="88"/>
      <c r="AD1610" s="88"/>
    </row>
    <row r="1611" spans="1:37" ht="17.100000000000001" customHeight="1" x14ac:dyDescent="0.25">
      <c r="A1611" s="29" t="s">
        <v>5446</v>
      </c>
      <c r="B1611" s="28" t="s">
        <v>6456</v>
      </c>
      <c r="C1611" s="37" t="s">
        <v>1253</v>
      </c>
      <c r="E1611" s="37" t="s">
        <v>2926</v>
      </c>
      <c r="F1611" s="24" t="s">
        <v>2118</v>
      </c>
      <c r="J1611" s="219" t="s">
        <v>3749</v>
      </c>
      <c r="K1611" s="10" t="s">
        <v>3750</v>
      </c>
      <c r="N1611" s="151"/>
      <c r="O1611" s="151"/>
      <c r="P1611" s="37" t="s">
        <v>1463</v>
      </c>
      <c r="S1611" s="38" t="s">
        <v>3412</v>
      </c>
      <c r="U1611" s="21">
        <v>2</v>
      </c>
      <c r="V1611" s="21">
        <v>2</v>
      </c>
      <c r="W1611" s="73">
        <f t="shared" si="74"/>
        <v>301</v>
      </c>
      <c r="X1611" s="80">
        <f t="shared" si="75"/>
        <v>2596</v>
      </c>
      <c r="Y1611" s="82" t="s">
        <v>3584</v>
      </c>
      <c r="Z1611" s="26"/>
      <c r="AA1611" s="183"/>
      <c r="AB1611" s="183"/>
      <c r="AC1611" s="88"/>
      <c r="AD1611" s="88"/>
    </row>
    <row r="1612" spans="1:37" ht="17.100000000000001" customHeight="1" x14ac:dyDescent="0.25">
      <c r="A1612" s="29" t="s">
        <v>6454</v>
      </c>
      <c r="B1612" s="28" t="s">
        <v>1658</v>
      </c>
      <c r="C1612" s="37" t="s">
        <v>1253</v>
      </c>
      <c r="E1612" s="37" t="s">
        <v>2832</v>
      </c>
      <c r="F1612" s="24" t="s">
        <v>2134</v>
      </c>
      <c r="J1612" s="219"/>
      <c r="N1612" s="151"/>
      <c r="O1612" s="151" t="s">
        <v>1771</v>
      </c>
      <c r="P1612" s="37" t="s">
        <v>1463</v>
      </c>
      <c r="S1612" s="38" t="s">
        <v>3412</v>
      </c>
      <c r="U1612" s="21">
        <v>1</v>
      </c>
      <c r="V1612" s="21">
        <v>1</v>
      </c>
      <c r="W1612" s="73">
        <f>W1611+V1612</f>
        <v>302</v>
      </c>
      <c r="X1612" s="80">
        <f>V1612+X1611</f>
        <v>2597</v>
      </c>
      <c r="Y1612" s="82" t="s">
        <v>3584</v>
      </c>
      <c r="AA1612" s="183"/>
      <c r="AB1612" s="183"/>
      <c r="AC1612" s="88"/>
      <c r="AD1612" s="88"/>
    </row>
    <row r="1613" spans="1:37" ht="17.100000000000001" customHeight="1" x14ac:dyDescent="0.25">
      <c r="A1613" s="29" t="s">
        <v>6455</v>
      </c>
      <c r="B1613" s="28" t="s">
        <v>1658</v>
      </c>
      <c r="C1613" s="37" t="s">
        <v>1253</v>
      </c>
      <c r="E1613" s="37" t="s">
        <v>2832</v>
      </c>
      <c r="F1613" s="24" t="s">
        <v>2134</v>
      </c>
      <c r="J1613" s="219"/>
      <c r="N1613" s="151"/>
      <c r="O1613" s="151" t="s">
        <v>1771</v>
      </c>
      <c r="P1613" s="37" t="s">
        <v>1463</v>
      </c>
      <c r="S1613" s="38" t="s">
        <v>3412</v>
      </c>
      <c r="U1613" s="21">
        <v>1</v>
      </c>
      <c r="V1613" s="21">
        <v>1</v>
      </c>
      <c r="W1613" s="73">
        <f>W1612+V1613</f>
        <v>303</v>
      </c>
      <c r="X1613" s="80">
        <f>V1613+X1612</f>
        <v>2598</v>
      </c>
      <c r="Y1613" s="82" t="s">
        <v>3584</v>
      </c>
      <c r="AA1613" s="183"/>
      <c r="AB1613" s="183"/>
      <c r="AC1613" s="88"/>
      <c r="AD1613" s="88"/>
    </row>
    <row r="1614" spans="1:37" s="51" customFormat="1" ht="17.100000000000001" customHeight="1" x14ac:dyDescent="0.25">
      <c r="A1614" s="45" t="s">
        <v>2858</v>
      </c>
      <c r="B1614" s="50"/>
      <c r="C1614" s="49"/>
      <c r="D1614" s="49"/>
      <c r="E1614" s="49"/>
      <c r="F1614" s="50"/>
      <c r="G1614" s="50"/>
      <c r="H1614" s="46"/>
      <c r="I1614" s="109"/>
      <c r="J1614" s="212" t="s">
        <v>4044</v>
      </c>
      <c r="K1614" s="56"/>
      <c r="L1614" s="100"/>
      <c r="M1614" s="100"/>
      <c r="N1614" s="49"/>
      <c r="O1614" s="49"/>
      <c r="P1614" s="49"/>
      <c r="Q1614" s="49"/>
      <c r="R1614" s="49"/>
      <c r="S1614" s="47"/>
      <c r="T1614" s="47"/>
      <c r="U1614" s="53"/>
      <c r="W1614" s="74"/>
      <c r="X1614" s="81"/>
      <c r="Y1614" s="132"/>
      <c r="Z1614" s="50"/>
      <c r="AA1614" s="173"/>
      <c r="AB1614" s="173"/>
      <c r="AC1614" s="137"/>
      <c r="AD1614" s="137"/>
      <c r="AE1614" s="83"/>
      <c r="AF1614" s="47"/>
      <c r="AG1614" s="47"/>
      <c r="AH1614" s="47"/>
      <c r="AI1614" s="47"/>
      <c r="AJ1614" s="47"/>
      <c r="AK1614" s="47"/>
    </row>
    <row r="1615" spans="1:37" ht="15.45" customHeight="1" x14ac:dyDescent="0.25">
      <c r="A1615" s="29" t="s">
        <v>5999</v>
      </c>
      <c r="B1615" s="28" t="s">
        <v>777</v>
      </c>
      <c r="C1615" s="37" t="s">
        <v>1212</v>
      </c>
      <c r="E1615" s="37" t="s">
        <v>2832</v>
      </c>
      <c r="F1615" s="24" t="s">
        <v>2116</v>
      </c>
      <c r="J1615" s="219"/>
      <c r="N1615" s="151"/>
      <c r="O1615" s="151"/>
      <c r="P1615" s="37" t="s">
        <v>1746</v>
      </c>
      <c r="R1615" s="37" t="s">
        <v>1811</v>
      </c>
      <c r="S1615" s="10" t="s">
        <v>2433</v>
      </c>
      <c r="U1615" s="21">
        <v>1</v>
      </c>
      <c r="V1615" s="21">
        <v>1</v>
      </c>
      <c r="W1615" s="73">
        <v>1</v>
      </c>
      <c r="X1615" s="80">
        <f>V1615+X1613</f>
        <v>2599</v>
      </c>
      <c r="Y1615" s="82" t="s">
        <v>3584</v>
      </c>
      <c r="AA1615" s="183"/>
      <c r="AB1615" s="183"/>
      <c r="AC1615" s="88"/>
      <c r="AD1615" s="88"/>
    </row>
    <row r="1616" spans="1:37" ht="15.45" customHeight="1" x14ac:dyDescent="0.25">
      <c r="A1616" s="29" t="s">
        <v>606</v>
      </c>
      <c r="B1616" s="28" t="s">
        <v>607</v>
      </c>
      <c r="C1616" s="37" t="s">
        <v>1212</v>
      </c>
      <c r="E1616" s="37" t="s">
        <v>2832</v>
      </c>
      <c r="F1616" s="24" t="s">
        <v>2116</v>
      </c>
      <c r="J1616" s="219"/>
      <c r="N1616" s="151"/>
      <c r="O1616" s="151"/>
      <c r="Q1616" s="37" t="s">
        <v>1836</v>
      </c>
      <c r="R1616" s="37" t="s">
        <v>1836</v>
      </c>
      <c r="S1616" s="10" t="s">
        <v>2433</v>
      </c>
      <c r="U1616" s="21">
        <v>1</v>
      </c>
      <c r="V1616" s="21">
        <v>1</v>
      </c>
      <c r="W1616" s="73">
        <f t="shared" ref="W1616:W1647" si="76">W1615+V1616</f>
        <v>2</v>
      </c>
      <c r="X1616" s="80">
        <f t="shared" ref="X1616:X1647" si="77">V1616+X1615</f>
        <v>2600</v>
      </c>
      <c r="Y1616" s="82" t="s">
        <v>3584</v>
      </c>
      <c r="AA1616" s="183"/>
      <c r="AB1616" s="183"/>
      <c r="AC1616" s="88"/>
      <c r="AD1616" s="88"/>
    </row>
    <row r="1617" spans="1:37" s="2" customFormat="1" ht="17.100000000000001" customHeight="1" x14ac:dyDescent="0.25">
      <c r="A1617" s="31" t="s">
        <v>652</v>
      </c>
      <c r="B1617" s="28" t="s">
        <v>653</v>
      </c>
      <c r="C1617" s="37" t="s">
        <v>1212</v>
      </c>
      <c r="D1617" s="37"/>
      <c r="E1617" s="37" t="s">
        <v>2832</v>
      </c>
      <c r="F1617" s="24" t="s">
        <v>2116</v>
      </c>
      <c r="G1617" s="24"/>
      <c r="H1617" s="195"/>
      <c r="I1617" s="115"/>
      <c r="J1617" s="219"/>
      <c r="K1617" s="14"/>
      <c r="L1617" s="105"/>
      <c r="M1617" s="105"/>
      <c r="N1617" s="151"/>
      <c r="O1617" s="151"/>
      <c r="P1617" s="37" t="s">
        <v>1837</v>
      </c>
      <c r="Q1617" s="37"/>
      <c r="R1617" s="37" t="s">
        <v>3666</v>
      </c>
      <c r="S1617" s="10" t="s">
        <v>2433</v>
      </c>
      <c r="T1617" s="15"/>
      <c r="U1617" s="23">
        <v>1</v>
      </c>
      <c r="V1617" s="23">
        <v>1</v>
      </c>
      <c r="W1617" s="73">
        <f t="shared" si="76"/>
        <v>3</v>
      </c>
      <c r="X1617" s="80">
        <f t="shared" si="77"/>
        <v>2601</v>
      </c>
      <c r="Y1617" s="82" t="s">
        <v>3584</v>
      </c>
      <c r="Z1617" s="24"/>
      <c r="AA1617" s="183"/>
      <c r="AB1617" s="183"/>
      <c r="AC1617" s="88"/>
      <c r="AD1617" s="88"/>
      <c r="AE1617" s="87"/>
      <c r="AF1617" s="15"/>
      <c r="AG1617" s="15"/>
      <c r="AH1617" s="15"/>
      <c r="AI1617" s="15"/>
      <c r="AJ1617" s="15"/>
      <c r="AK1617" s="15"/>
    </row>
    <row r="1618" spans="1:37" ht="15.45" customHeight="1" x14ac:dyDescent="0.25">
      <c r="A1618" s="29" t="s">
        <v>589</v>
      </c>
      <c r="B1618" s="28" t="s">
        <v>590</v>
      </c>
      <c r="C1618" s="37" t="s">
        <v>1212</v>
      </c>
      <c r="E1618" s="37" t="s">
        <v>2832</v>
      </c>
      <c r="F1618" s="24" t="s">
        <v>2116</v>
      </c>
      <c r="J1618" s="219"/>
      <c r="N1618" s="151"/>
      <c r="O1618" s="151"/>
      <c r="P1618" s="37" t="s">
        <v>1463</v>
      </c>
      <c r="Q1618" s="37" t="s">
        <v>3506</v>
      </c>
      <c r="R1618" s="37" t="s">
        <v>1792</v>
      </c>
      <c r="S1618" s="10" t="s">
        <v>2433</v>
      </c>
      <c r="U1618" s="21">
        <v>1</v>
      </c>
      <c r="V1618" s="21">
        <v>1</v>
      </c>
      <c r="W1618" s="73">
        <f t="shared" si="76"/>
        <v>4</v>
      </c>
      <c r="X1618" s="80">
        <f t="shared" si="77"/>
        <v>2602</v>
      </c>
      <c r="Y1618" s="82" t="s">
        <v>3584</v>
      </c>
      <c r="AA1618" s="183"/>
      <c r="AB1618" s="183"/>
      <c r="AC1618" s="88"/>
      <c r="AD1618" s="88"/>
    </row>
    <row r="1619" spans="1:37" s="2" customFormat="1" ht="16.5" customHeight="1" x14ac:dyDescent="0.25">
      <c r="A1619" s="31" t="s">
        <v>620</v>
      </c>
      <c r="B1619" s="28" t="s">
        <v>3437</v>
      </c>
      <c r="C1619" s="37" t="s">
        <v>1212</v>
      </c>
      <c r="D1619" s="37"/>
      <c r="E1619" s="37" t="s">
        <v>2832</v>
      </c>
      <c r="F1619" s="24" t="s">
        <v>2116</v>
      </c>
      <c r="G1619" s="24"/>
      <c r="H1619" s="195"/>
      <c r="I1619" s="115"/>
      <c r="J1619" s="219" t="s">
        <v>3690</v>
      </c>
      <c r="K1619" s="14" t="s">
        <v>3685</v>
      </c>
      <c r="L1619" s="105"/>
      <c r="M1619" s="105"/>
      <c r="N1619" s="151"/>
      <c r="O1619" s="151"/>
      <c r="P1619" s="37" t="s">
        <v>1996</v>
      </c>
      <c r="Q1619" s="37"/>
      <c r="R1619" s="37"/>
      <c r="S1619" s="10" t="s">
        <v>2433</v>
      </c>
      <c r="T1619" s="15"/>
      <c r="U1619" s="23">
        <v>1</v>
      </c>
      <c r="V1619" s="23">
        <v>1</v>
      </c>
      <c r="W1619" s="73">
        <f t="shared" si="76"/>
        <v>5</v>
      </c>
      <c r="X1619" s="80">
        <f t="shared" si="77"/>
        <v>2603</v>
      </c>
      <c r="Y1619" s="82" t="s">
        <v>3584</v>
      </c>
      <c r="Z1619" s="24"/>
      <c r="AA1619" s="183"/>
      <c r="AB1619" s="183"/>
      <c r="AC1619" s="88"/>
      <c r="AD1619" s="88"/>
      <c r="AE1619" s="87"/>
      <c r="AF1619" s="15"/>
      <c r="AG1619" s="15"/>
      <c r="AH1619" s="15"/>
      <c r="AI1619" s="15"/>
      <c r="AJ1619" s="15"/>
      <c r="AK1619" s="15"/>
    </row>
    <row r="1620" spans="1:37" ht="15.45" customHeight="1" x14ac:dyDescent="0.25">
      <c r="A1620" s="29" t="s">
        <v>5791</v>
      </c>
      <c r="B1620" s="28" t="s">
        <v>852</v>
      </c>
      <c r="C1620" s="37" t="s">
        <v>1212</v>
      </c>
      <c r="E1620" s="37" t="s">
        <v>2832</v>
      </c>
      <c r="F1620" s="24" t="s">
        <v>2116</v>
      </c>
      <c r="J1620" s="219"/>
      <c r="N1620" s="151"/>
      <c r="O1620" s="151"/>
      <c r="P1620" s="37" t="s">
        <v>1935</v>
      </c>
      <c r="R1620" s="37" t="s">
        <v>1792</v>
      </c>
      <c r="S1620" s="10" t="s">
        <v>2433</v>
      </c>
      <c r="U1620" s="21">
        <v>1</v>
      </c>
      <c r="V1620" s="21">
        <v>1</v>
      </c>
      <c r="W1620" s="73">
        <f t="shared" si="76"/>
        <v>6</v>
      </c>
      <c r="X1620" s="80">
        <f t="shared" si="77"/>
        <v>2604</v>
      </c>
      <c r="Y1620" s="82" t="s">
        <v>3584</v>
      </c>
      <c r="AA1620" s="183"/>
      <c r="AB1620" s="183"/>
      <c r="AC1620" s="88"/>
      <c r="AD1620" s="88"/>
    </row>
    <row r="1621" spans="1:37" s="2" customFormat="1" ht="15.45" customHeight="1" x14ac:dyDescent="0.25">
      <c r="A1621" s="31" t="s">
        <v>4206</v>
      </c>
      <c r="B1621" s="28" t="s">
        <v>619</v>
      </c>
      <c r="C1621" s="37" t="s">
        <v>1212</v>
      </c>
      <c r="D1621" s="37"/>
      <c r="E1621" s="37" t="s">
        <v>2832</v>
      </c>
      <c r="F1621" s="24" t="s">
        <v>2116</v>
      </c>
      <c r="G1621" s="24"/>
      <c r="H1621" s="195"/>
      <c r="I1621" s="115"/>
      <c r="J1621" s="219" t="s">
        <v>3690</v>
      </c>
      <c r="K1621" s="14" t="s">
        <v>3685</v>
      </c>
      <c r="L1621" s="105"/>
      <c r="M1621" s="105"/>
      <c r="N1621" s="151"/>
      <c r="O1621" s="151"/>
      <c r="P1621" s="37"/>
      <c r="Q1621" s="37" t="s">
        <v>1997</v>
      </c>
      <c r="R1621" s="37"/>
      <c r="S1621" s="10" t="s">
        <v>2433</v>
      </c>
      <c r="T1621" s="15"/>
      <c r="U1621" s="23">
        <v>1</v>
      </c>
      <c r="V1621" s="23">
        <v>1</v>
      </c>
      <c r="W1621" s="73">
        <f t="shared" si="76"/>
        <v>7</v>
      </c>
      <c r="X1621" s="80">
        <f t="shared" si="77"/>
        <v>2605</v>
      </c>
      <c r="Y1621" s="82" t="s">
        <v>3584</v>
      </c>
      <c r="Z1621" s="24"/>
      <c r="AA1621" s="183"/>
      <c r="AB1621" s="183"/>
      <c r="AC1621" s="88"/>
      <c r="AD1621" s="88"/>
      <c r="AE1621" s="87"/>
      <c r="AF1621" s="15"/>
      <c r="AG1621" s="15"/>
      <c r="AH1621" s="15"/>
      <c r="AI1621" s="15"/>
      <c r="AJ1621" s="15"/>
      <c r="AK1621" s="15"/>
    </row>
    <row r="1622" spans="1:37" s="2" customFormat="1" ht="15.45" customHeight="1" x14ac:dyDescent="0.25">
      <c r="A1622" s="31" t="s">
        <v>558</v>
      </c>
      <c r="B1622" s="28" t="s">
        <v>661</v>
      </c>
      <c r="C1622" s="37" t="s">
        <v>1212</v>
      </c>
      <c r="D1622" s="37"/>
      <c r="E1622" s="37" t="s">
        <v>2832</v>
      </c>
      <c r="F1622" s="24" t="s">
        <v>2116</v>
      </c>
      <c r="G1622" s="24"/>
      <c r="H1622" s="195"/>
      <c r="I1622" s="115"/>
      <c r="J1622" s="219"/>
      <c r="K1622" s="14"/>
      <c r="L1622" s="105"/>
      <c r="M1622" s="105"/>
      <c r="N1622" s="151"/>
      <c r="O1622" s="151"/>
      <c r="P1622" s="37"/>
      <c r="Q1622" s="37" t="s">
        <v>1836</v>
      </c>
      <c r="R1622" s="37" t="s">
        <v>1954</v>
      </c>
      <c r="S1622" s="10" t="s">
        <v>2433</v>
      </c>
      <c r="T1622" s="15"/>
      <c r="U1622" s="23">
        <v>1</v>
      </c>
      <c r="V1622" s="23">
        <v>1</v>
      </c>
      <c r="W1622" s="73">
        <f t="shared" si="76"/>
        <v>8</v>
      </c>
      <c r="X1622" s="80">
        <f t="shared" si="77"/>
        <v>2606</v>
      </c>
      <c r="Y1622" s="82" t="s">
        <v>3584</v>
      </c>
      <c r="Z1622" s="24"/>
      <c r="AA1622" s="183"/>
      <c r="AB1622" s="183"/>
      <c r="AC1622" s="88"/>
      <c r="AD1622" s="88"/>
      <c r="AE1622" s="87"/>
      <c r="AF1622" s="15"/>
      <c r="AG1622" s="15"/>
      <c r="AH1622" s="15"/>
      <c r="AI1622" s="15"/>
      <c r="AJ1622" s="15"/>
      <c r="AK1622" s="15"/>
    </row>
    <row r="1623" spans="1:37" ht="15.45" customHeight="1" x14ac:dyDescent="0.25">
      <c r="A1623" s="29" t="s">
        <v>533</v>
      </c>
      <c r="B1623" s="28" t="s">
        <v>426</v>
      </c>
      <c r="C1623" s="37" t="s">
        <v>1212</v>
      </c>
      <c r="E1623" s="37" t="s">
        <v>2832</v>
      </c>
      <c r="F1623" s="24" t="s">
        <v>2116</v>
      </c>
      <c r="H1623" s="38" t="s">
        <v>5212</v>
      </c>
      <c r="J1623" s="219"/>
      <c r="N1623" s="151"/>
      <c r="O1623" s="151"/>
      <c r="Q1623" s="37" t="s">
        <v>1836</v>
      </c>
      <c r="R1623" s="37" t="s">
        <v>1954</v>
      </c>
      <c r="S1623" s="10" t="s">
        <v>2433</v>
      </c>
      <c r="U1623" s="21">
        <v>1</v>
      </c>
      <c r="V1623" s="21">
        <v>1</v>
      </c>
      <c r="W1623" s="73">
        <f t="shared" si="76"/>
        <v>9</v>
      </c>
      <c r="X1623" s="80">
        <f t="shared" si="77"/>
        <v>2607</v>
      </c>
      <c r="Y1623" s="82" t="s">
        <v>3584</v>
      </c>
      <c r="AA1623" s="183"/>
      <c r="AB1623" s="183"/>
      <c r="AC1623" s="88"/>
      <c r="AD1623" s="88"/>
    </row>
    <row r="1624" spans="1:37" ht="15.45" customHeight="1" x14ac:dyDescent="0.25">
      <c r="A1624" s="29" t="s">
        <v>832</v>
      </c>
      <c r="B1624" s="28" t="s">
        <v>493</v>
      </c>
      <c r="C1624" s="37" t="s">
        <v>1212</v>
      </c>
      <c r="E1624" s="37" t="s">
        <v>2832</v>
      </c>
      <c r="F1624" s="24" t="s">
        <v>2116</v>
      </c>
      <c r="J1624" s="219"/>
      <c r="N1624" s="151"/>
      <c r="O1624" s="151"/>
      <c r="Q1624" s="37" t="s">
        <v>1998</v>
      </c>
      <c r="S1624" s="10" t="s">
        <v>2433</v>
      </c>
      <c r="U1624" s="21">
        <v>1</v>
      </c>
      <c r="V1624" s="21">
        <v>1</v>
      </c>
      <c r="W1624" s="73">
        <f t="shared" si="76"/>
        <v>10</v>
      </c>
      <c r="X1624" s="80">
        <f t="shared" si="77"/>
        <v>2608</v>
      </c>
      <c r="Y1624" s="82" t="s">
        <v>3584</v>
      </c>
      <c r="AA1624" s="183"/>
      <c r="AB1624" s="183"/>
      <c r="AC1624" s="88"/>
      <c r="AD1624" s="88"/>
    </row>
    <row r="1625" spans="1:37" s="2" customFormat="1" ht="15.45" customHeight="1" x14ac:dyDescent="0.25">
      <c r="A1625" s="29" t="s">
        <v>559</v>
      </c>
      <c r="B1625" s="28" t="s">
        <v>560</v>
      </c>
      <c r="C1625" s="37" t="s">
        <v>1212</v>
      </c>
      <c r="D1625" s="37"/>
      <c r="E1625" s="37" t="s">
        <v>2832</v>
      </c>
      <c r="F1625" s="24" t="s">
        <v>2116</v>
      </c>
      <c r="G1625" s="24"/>
      <c r="H1625" s="42"/>
      <c r="I1625" s="115"/>
      <c r="J1625" s="219" t="s">
        <v>3691</v>
      </c>
      <c r="K1625" s="14" t="s">
        <v>3717</v>
      </c>
      <c r="L1625" s="104"/>
      <c r="M1625" s="104"/>
      <c r="N1625" s="151"/>
      <c r="O1625" s="151"/>
      <c r="P1625" s="37" t="s">
        <v>1463</v>
      </c>
      <c r="Q1625" s="37" t="s">
        <v>3506</v>
      </c>
      <c r="R1625" s="37"/>
      <c r="S1625" s="10" t="s">
        <v>2433</v>
      </c>
      <c r="T1625" s="14"/>
      <c r="U1625" s="23">
        <v>1</v>
      </c>
      <c r="V1625" s="23">
        <v>1</v>
      </c>
      <c r="W1625" s="73">
        <f t="shared" si="76"/>
        <v>11</v>
      </c>
      <c r="X1625" s="80">
        <f t="shared" si="77"/>
        <v>2609</v>
      </c>
      <c r="Y1625" s="82" t="s">
        <v>3584</v>
      </c>
      <c r="Z1625" s="26"/>
      <c r="AA1625" s="183"/>
      <c r="AB1625" s="183"/>
      <c r="AC1625" s="88"/>
      <c r="AD1625" s="88"/>
      <c r="AE1625" s="87"/>
      <c r="AF1625" s="14"/>
      <c r="AG1625" s="14"/>
      <c r="AH1625" s="14"/>
      <c r="AI1625" s="14"/>
      <c r="AJ1625" s="14"/>
      <c r="AK1625" s="14"/>
    </row>
    <row r="1626" spans="1:37" ht="15.45" customHeight="1" x14ac:dyDescent="0.25">
      <c r="A1626" s="29" t="s">
        <v>3354</v>
      </c>
      <c r="B1626" s="28" t="s">
        <v>617</v>
      </c>
      <c r="C1626" s="37" t="s">
        <v>1212</v>
      </c>
      <c r="E1626" s="37" t="s">
        <v>2832</v>
      </c>
      <c r="F1626" s="24" t="s">
        <v>2116</v>
      </c>
      <c r="H1626" s="38" t="s">
        <v>4043</v>
      </c>
      <c r="J1626" s="219" t="s">
        <v>4041</v>
      </c>
      <c r="K1626" s="10" t="s">
        <v>4042</v>
      </c>
      <c r="N1626" s="151"/>
      <c r="O1626" s="151"/>
      <c r="P1626" s="37" t="s">
        <v>1463</v>
      </c>
      <c r="Q1626" s="37" t="s">
        <v>3506</v>
      </c>
      <c r="S1626" s="10" t="s">
        <v>2433</v>
      </c>
      <c r="U1626" s="21">
        <v>1</v>
      </c>
      <c r="V1626" s="21">
        <v>1</v>
      </c>
      <c r="W1626" s="73">
        <f t="shared" si="76"/>
        <v>12</v>
      </c>
      <c r="X1626" s="80">
        <f t="shared" si="77"/>
        <v>2610</v>
      </c>
      <c r="Y1626" s="82" t="s">
        <v>3584</v>
      </c>
      <c r="AA1626" s="183"/>
      <c r="AB1626" s="183"/>
      <c r="AC1626" s="88"/>
      <c r="AD1626" s="88"/>
    </row>
    <row r="1627" spans="1:37" ht="15.45" customHeight="1" x14ac:dyDescent="0.25">
      <c r="A1627" s="29" t="s">
        <v>3659</v>
      </c>
      <c r="B1627" s="28" t="s">
        <v>3660</v>
      </c>
      <c r="C1627" s="37" t="s">
        <v>1212</v>
      </c>
      <c r="E1627" s="37" t="s">
        <v>2832</v>
      </c>
      <c r="F1627" s="24" t="s">
        <v>2116</v>
      </c>
      <c r="H1627" s="38" t="s">
        <v>3668</v>
      </c>
      <c r="J1627" s="221">
        <v>2008</v>
      </c>
      <c r="K1627" s="10" t="s">
        <v>4942</v>
      </c>
      <c r="N1627" s="151"/>
      <c r="O1627" s="151"/>
      <c r="P1627" s="37" t="s">
        <v>1463</v>
      </c>
      <c r="Q1627" s="37" t="s">
        <v>3506</v>
      </c>
      <c r="S1627" s="10" t="s">
        <v>3412</v>
      </c>
      <c r="U1627" s="21">
        <v>1</v>
      </c>
      <c r="V1627" s="21">
        <v>1</v>
      </c>
      <c r="W1627" s="73">
        <f t="shared" si="76"/>
        <v>13</v>
      </c>
      <c r="X1627" s="80">
        <f t="shared" si="77"/>
        <v>2611</v>
      </c>
      <c r="Y1627" s="82" t="s">
        <v>2907</v>
      </c>
      <c r="Z1627" s="26"/>
      <c r="AA1627" s="183"/>
      <c r="AB1627" s="183">
        <v>43175</v>
      </c>
      <c r="AC1627" s="82" t="s">
        <v>2885</v>
      </c>
      <c r="AD1627" s="88"/>
    </row>
    <row r="1628" spans="1:37" ht="15.45" customHeight="1" x14ac:dyDescent="0.25">
      <c r="A1628" s="29" t="s">
        <v>5447</v>
      </c>
      <c r="B1628" s="28" t="s">
        <v>4941</v>
      </c>
      <c r="C1628" s="37" t="s">
        <v>1212</v>
      </c>
      <c r="E1628" s="37" t="s">
        <v>2832</v>
      </c>
      <c r="F1628" s="24" t="s">
        <v>2116</v>
      </c>
      <c r="H1628" s="38" t="s">
        <v>3667</v>
      </c>
      <c r="J1628" s="219" t="s">
        <v>3669</v>
      </c>
      <c r="N1628" s="151"/>
      <c r="O1628" s="151"/>
      <c r="R1628" s="37" t="s">
        <v>3664</v>
      </c>
      <c r="S1628" s="10" t="s">
        <v>2983</v>
      </c>
      <c r="T1628" s="10" t="s">
        <v>7195</v>
      </c>
      <c r="U1628" s="21">
        <v>1</v>
      </c>
      <c r="V1628" s="21">
        <v>1</v>
      </c>
      <c r="W1628" s="73">
        <f t="shared" si="76"/>
        <v>14</v>
      </c>
      <c r="X1628" s="80">
        <f t="shared" si="77"/>
        <v>2612</v>
      </c>
      <c r="Y1628" s="82" t="s">
        <v>3584</v>
      </c>
      <c r="Z1628" s="26"/>
      <c r="AA1628" s="183"/>
      <c r="AB1628" s="183">
        <v>43175</v>
      </c>
      <c r="AC1628" s="82" t="s">
        <v>2885</v>
      </c>
      <c r="AD1628" s="88"/>
    </row>
    <row r="1629" spans="1:37" ht="15.45" customHeight="1" x14ac:dyDescent="0.25">
      <c r="A1629" s="29" t="s">
        <v>309</v>
      </c>
      <c r="B1629" s="28" t="s">
        <v>424</v>
      </c>
      <c r="C1629" s="37" t="s">
        <v>1212</v>
      </c>
      <c r="E1629" s="37" t="s">
        <v>2832</v>
      </c>
      <c r="F1629" s="24" t="s">
        <v>2135</v>
      </c>
      <c r="J1629" s="222"/>
      <c r="N1629" s="151"/>
      <c r="O1629" s="151"/>
      <c r="P1629" s="37" t="s">
        <v>1998</v>
      </c>
      <c r="S1629" s="10" t="s">
        <v>2433</v>
      </c>
      <c r="U1629" s="21">
        <v>1</v>
      </c>
      <c r="V1629" s="21">
        <v>1</v>
      </c>
      <c r="W1629" s="73">
        <f t="shared" si="76"/>
        <v>15</v>
      </c>
      <c r="X1629" s="80">
        <f t="shared" si="77"/>
        <v>2613</v>
      </c>
      <c r="Y1629" s="82" t="s">
        <v>3584</v>
      </c>
      <c r="AA1629" s="183"/>
      <c r="AB1629" s="183"/>
      <c r="AC1629" s="88"/>
      <c r="AD1629" s="88"/>
    </row>
    <row r="1630" spans="1:37" ht="15.45" customHeight="1" x14ac:dyDescent="0.25">
      <c r="A1630" s="29" t="s">
        <v>681</v>
      </c>
      <c r="B1630" s="28" t="s">
        <v>682</v>
      </c>
      <c r="C1630" s="37" t="s">
        <v>1212</v>
      </c>
      <c r="E1630" s="37" t="s">
        <v>2832</v>
      </c>
      <c r="F1630" s="24" t="s">
        <v>2135</v>
      </c>
      <c r="J1630" s="219"/>
      <c r="N1630" s="151"/>
      <c r="O1630" s="151"/>
      <c r="P1630" s="37" t="s">
        <v>1463</v>
      </c>
      <c r="S1630" s="10" t="s">
        <v>2433</v>
      </c>
      <c r="U1630" s="21">
        <v>1</v>
      </c>
      <c r="V1630" s="21">
        <v>1</v>
      </c>
      <c r="W1630" s="73">
        <f t="shared" si="76"/>
        <v>16</v>
      </c>
      <c r="X1630" s="80">
        <f t="shared" si="77"/>
        <v>2614</v>
      </c>
      <c r="Y1630" s="82" t="s">
        <v>3584</v>
      </c>
      <c r="AA1630" s="183"/>
      <c r="AB1630" s="183"/>
      <c r="AC1630" s="88"/>
      <c r="AD1630" s="88"/>
    </row>
    <row r="1631" spans="1:37" ht="15.45" customHeight="1" x14ac:dyDescent="0.25">
      <c r="A1631" s="29" t="s">
        <v>425</v>
      </c>
      <c r="B1631" s="28" t="s">
        <v>517</v>
      </c>
      <c r="C1631" s="37" t="s">
        <v>1212</v>
      </c>
      <c r="E1631" s="37" t="s">
        <v>2832</v>
      </c>
      <c r="F1631" s="24" t="s">
        <v>2135</v>
      </c>
      <c r="H1631" s="38" t="s">
        <v>7283</v>
      </c>
      <c r="J1631" s="219"/>
      <c r="N1631" s="151"/>
      <c r="O1631" s="151"/>
      <c r="P1631" s="37" t="s">
        <v>2053</v>
      </c>
      <c r="S1631" s="10" t="s">
        <v>2433</v>
      </c>
      <c r="U1631" s="21">
        <v>1</v>
      </c>
      <c r="V1631" s="21">
        <v>1</v>
      </c>
      <c r="W1631" s="73">
        <f t="shared" si="76"/>
        <v>17</v>
      </c>
      <c r="X1631" s="80">
        <f t="shared" si="77"/>
        <v>2615</v>
      </c>
      <c r="Y1631" s="82" t="s">
        <v>3584</v>
      </c>
      <c r="AA1631" s="183"/>
      <c r="AB1631" s="183"/>
      <c r="AC1631" s="88"/>
      <c r="AD1631" s="88"/>
    </row>
    <row r="1632" spans="1:37" ht="15.45" customHeight="1" x14ac:dyDescent="0.25">
      <c r="A1632" s="29" t="s">
        <v>307</v>
      </c>
      <c r="B1632" s="28" t="s">
        <v>308</v>
      </c>
      <c r="C1632" s="37" t="s">
        <v>1212</v>
      </c>
      <c r="E1632" s="37" t="s">
        <v>2832</v>
      </c>
      <c r="F1632" s="24" t="s">
        <v>2135</v>
      </c>
      <c r="J1632" s="219"/>
      <c r="N1632" s="151"/>
      <c r="O1632" s="151"/>
      <c r="P1632" s="37" t="s">
        <v>670</v>
      </c>
      <c r="S1632" s="10" t="s">
        <v>2433</v>
      </c>
      <c r="U1632" s="21">
        <v>1</v>
      </c>
      <c r="V1632" s="21">
        <v>1</v>
      </c>
      <c r="W1632" s="73">
        <f t="shared" si="76"/>
        <v>18</v>
      </c>
      <c r="X1632" s="80">
        <f t="shared" si="77"/>
        <v>2616</v>
      </c>
      <c r="Y1632" s="82" t="s">
        <v>3584</v>
      </c>
      <c r="AA1632" s="183"/>
      <c r="AB1632" s="183"/>
      <c r="AC1632" s="88"/>
      <c r="AD1632" s="88"/>
    </row>
    <row r="1633" spans="1:30" ht="15.45" customHeight="1" x14ac:dyDescent="0.25">
      <c r="A1633" s="29" t="s">
        <v>721</v>
      </c>
      <c r="B1633" s="28" t="s">
        <v>722</v>
      </c>
      <c r="C1633" s="37" t="s">
        <v>1212</v>
      </c>
      <c r="E1633" s="37" t="s">
        <v>2832</v>
      </c>
      <c r="F1633" s="24" t="s">
        <v>2135</v>
      </c>
      <c r="J1633" s="219"/>
      <c r="N1633" s="151"/>
      <c r="O1633" s="151"/>
      <c r="P1633" s="37" t="s">
        <v>2000</v>
      </c>
      <c r="S1633" s="10" t="s">
        <v>2433</v>
      </c>
      <c r="U1633" s="21">
        <v>1</v>
      </c>
      <c r="V1633" s="21">
        <v>1</v>
      </c>
      <c r="W1633" s="73">
        <f t="shared" si="76"/>
        <v>19</v>
      </c>
      <c r="X1633" s="80">
        <f t="shared" si="77"/>
        <v>2617</v>
      </c>
      <c r="Y1633" s="82" t="s">
        <v>3584</v>
      </c>
      <c r="AA1633" s="183"/>
      <c r="AB1633" s="183"/>
      <c r="AC1633" s="88"/>
      <c r="AD1633" s="88"/>
    </row>
    <row r="1634" spans="1:30" ht="15.45" customHeight="1" x14ac:dyDescent="0.25">
      <c r="A1634" s="29" t="s">
        <v>683</v>
      </c>
      <c r="B1634" s="28"/>
      <c r="C1634" s="37" t="s">
        <v>1212</v>
      </c>
      <c r="E1634" s="37" t="s">
        <v>2832</v>
      </c>
      <c r="F1634" s="24" t="s">
        <v>2135</v>
      </c>
      <c r="J1634" s="219"/>
      <c r="N1634" s="151"/>
      <c r="O1634" s="151"/>
      <c r="P1634" s="37" t="s">
        <v>2001</v>
      </c>
      <c r="S1634" s="10" t="s">
        <v>2433</v>
      </c>
      <c r="U1634" s="21">
        <v>1</v>
      </c>
      <c r="V1634" s="21">
        <v>1</v>
      </c>
      <c r="W1634" s="73">
        <f t="shared" si="76"/>
        <v>20</v>
      </c>
      <c r="X1634" s="80">
        <f t="shared" si="77"/>
        <v>2618</v>
      </c>
      <c r="Y1634" s="82" t="s">
        <v>3584</v>
      </c>
      <c r="AA1634" s="183"/>
      <c r="AB1634" s="183"/>
      <c r="AC1634" s="88"/>
      <c r="AD1634" s="88"/>
    </row>
    <row r="1635" spans="1:30" ht="15.45" customHeight="1" x14ac:dyDescent="0.25">
      <c r="A1635" s="29" t="s">
        <v>784</v>
      </c>
      <c r="B1635" s="28" t="s">
        <v>2002</v>
      </c>
      <c r="C1635" s="37" t="s">
        <v>1212</v>
      </c>
      <c r="E1635" s="37" t="s">
        <v>2832</v>
      </c>
      <c r="F1635" s="24" t="s">
        <v>2135</v>
      </c>
      <c r="J1635" s="219"/>
      <c r="N1635" s="151"/>
      <c r="O1635" s="151"/>
      <c r="P1635" s="37" t="s">
        <v>1463</v>
      </c>
      <c r="S1635" s="10" t="s">
        <v>2433</v>
      </c>
      <c r="U1635" s="21">
        <v>1</v>
      </c>
      <c r="V1635" s="21">
        <v>1</v>
      </c>
      <c r="W1635" s="73">
        <f t="shared" si="76"/>
        <v>21</v>
      </c>
      <c r="X1635" s="80">
        <f t="shared" si="77"/>
        <v>2619</v>
      </c>
      <c r="Y1635" s="82" t="s">
        <v>3584</v>
      </c>
      <c r="AA1635" s="183"/>
      <c r="AB1635" s="183"/>
      <c r="AC1635" s="88"/>
      <c r="AD1635" s="88"/>
    </row>
    <row r="1636" spans="1:30" ht="15.45" customHeight="1" x14ac:dyDescent="0.25">
      <c r="A1636" s="29" t="s">
        <v>685</v>
      </c>
      <c r="B1636" s="28" t="s">
        <v>1822</v>
      </c>
      <c r="C1636" s="37" t="s">
        <v>1212</v>
      </c>
      <c r="E1636" s="37" t="s">
        <v>2832</v>
      </c>
      <c r="F1636" s="24" t="s">
        <v>2135</v>
      </c>
      <c r="J1636" s="219"/>
      <c r="N1636" s="151"/>
      <c r="O1636" s="151"/>
      <c r="P1636" s="37" t="s">
        <v>2053</v>
      </c>
      <c r="S1636" s="10" t="s">
        <v>2433</v>
      </c>
      <c r="U1636" s="21">
        <v>1</v>
      </c>
      <c r="V1636" s="21">
        <v>1</v>
      </c>
      <c r="W1636" s="73">
        <f t="shared" si="76"/>
        <v>22</v>
      </c>
      <c r="X1636" s="80">
        <f t="shared" si="77"/>
        <v>2620</v>
      </c>
      <c r="Y1636" s="82" t="s">
        <v>3584</v>
      </c>
      <c r="AA1636" s="183"/>
      <c r="AB1636" s="183"/>
      <c r="AC1636" s="88"/>
      <c r="AD1636" s="88"/>
    </row>
    <row r="1637" spans="1:30" ht="15.45" customHeight="1" x14ac:dyDescent="0.25">
      <c r="A1637" s="29" t="s">
        <v>684</v>
      </c>
      <c r="B1637" s="28" t="s">
        <v>618</v>
      </c>
      <c r="C1637" s="37" t="s">
        <v>1212</v>
      </c>
      <c r="E1637" s="37" t="s">
        <v>2832</v>
      </c>
      <c r="F1637" s="24" t="s">
        <v>2135</v>
      </c>
      <c r="J1637" s="219"/>
      <c r="N1637" s="151"/>
      <c r="O1637" s="151"/>
      <c r="P1637" s="37" t="s">
        <v>1934</v>
      </c>
      <c r="S1637" s="10" t="s">
        <v>2433</v>
      </c>
      <c r="U1637" s="21">
        <v>1</v>
      </c>
      <c r="V1637" s="21">
        <v>1</v>
      </c>
      <c r="W1637" s="73">
        <f t="shared" si="76"/>
        <v>23</v>
      </c>
      <c r="X1637" s="80">
        <f t="shared" si="77"/>
        <v>2621</v>
      </c>
      <c r="Y1637" s="82" t="s">
        <v>3584</v>
      </c>
      <c r="AA1637" s="183"/>
      <c r="AB1637" s="183"/>
      <c r="AC1637" s="88"/>
      <c r="AD1637" s="88"/>
    </row>
    <row r="1638" spans="1:30" ht="15.45" customHeight="1" x14ac:dyDescent="0.25">
      <c r="A1638" s="29" t="s">
        <v>6764</v>
      </c>
      <c r="B1638" s="28" t="s">
        <v>1309</v>
      </c>
      <c r="C1638" s="37" t="s">
        <v>1212</v>
      </c>
      <c r="E1638" s="37" t="s">
        <v>2832</v>
      </c>
      <c r="F1638" s="24" t="s">
        <v>2135</v>
      </c>
      <c r="H1638" s="38" t="s">
        <v>7248</v>
      </c>
      <c r="J1638" s="219" t="s">
        <v>3690</v>
      </c>
      <c r="K1638" s="10" t="s">
        <v>3685</v>
      </c>
      <c r="N1638" s="151"/>
      <c r="O1638" s="151"/>
      <c r="P1638" s="37" t="s">
        <v>1870</v>
      </c>
      <c r="S1638" s="10" t="s">
        <v>2433</v>
      </c>
      <c r="U1638" s="22">
        <v>1</v>
      </c>
      <c r="V1638" s="22">
        <v>1</v>
      </c>
      <c r="W1638" s="73">
        <f t="shared" si="76"/>
        <v>24</v>
      </c>
      <c r="X1638" s="80">
        <f t="shared" si="77"/>
        <v>2622</v>
      </c>
      <c r="Y1638" s="82" t="s">
        <v>3584</v>
      </c>
      <c r="AA1638" s="183"/>
      <c r="AB1638" s="183"/>
      <c r="AC1638" s="88"/>
      <c r="AD1638" s="88"/>
    </row>
    <row r="1639" spans="1:30" ht="15.45" customHeight="1" x14ac:dyDescent="0.25">
      <c r="A1639" s="29" t="s">
        <v>331</v>
      </c>
      <c r="B1639" s="28" t="s">
        <v>637</v>
      </c>
      <c r="C1639" s="37" t="s">
        <v>1212</v>
      </c>
      <c r="E1639" s="37" t="s">
        <v>2832</v>
      </c>
      <c r="F1639" s="24" t="s">
        <v>2135</v>
      </c>
      <c r="J1639" s="219" t="s">
        <v>3694</v>
      </c>
      <c r="K1639" s="10" t="s">
        <v>3762</v>
      </c>
      <c r="N1639" s="151"/>
      <c r="O1639" s="151"/>
      <c r="P1639" s="37" t="s">
        <v>1842</v>
      </c>
      <c r="S1639" s="10" t="s">
        <v>2433</v>
      </c>
      <c r="U1639" s="21">
        <v>1</v>
      </c>
      <c r="V1639" s="21">
        <v>1</v>
      </c>
      <c r="W1639" s="73">
        <f t="shared" si="76"/>
        <v>25</v>
      </c>
      <c r="X1639" s="80">
        <f t="shared" si="77"/>
        <v>2623</v>
      </c>
      <c r="Y1639" s="82" t="s">
        <v>3584</v>
      </c>
      <c r="AA1639" s="183"/>
      <c r="AB1639" s="183"/>
      <c r="AC1639" s="88"/>
      <c r="AD1639" s="88"/>
    </row>
    <row r="1640" spans="1:30" ht="15.45" customHeight="1" x14ac:dyDescent="0.25">
      <c r="A1640" s="29" t="s">
        <v>708</v>
      </c>
      <c r="B1640" s="28" t="s">
        <v>532</v>
      </c>
      <c r="C1640" s="37" t="s">
        <v>1212</v>
      </c>
      <c r="E1640" s="37" t="s">
        <v>2832</v>
      </c>
      <c r="F1640" s="24" t="s">
        <v>2135</v>
      </c>
      <c r="J1640" s="219"/>
      <c r="N1640" s="151"/>
      <c r="O1640" s="151"/>
      <c r="P1640" s="37" t="s">
        <v>1870</v>
      </c>
      <c r="S1640" s="10" t="s">
        <v>2433</v>
      </c>
      <c r="U1640" s="21">
        <v>1</v>
      </c>
      <c r="V1640" s="21">
        <v>1</v>
      </c>
      <c r="W1640" s="73">
        <f t="shared" si="76"/>
        <v>26</v>
      </c>
      <c r="X1640" s="80">
        <f t="shared" si="77"/>
        <v>2624</v>
      </c>
      <c r="Y1640" s="82" t="s">
        <v>3584</v>
      </c>
      <c r="AA1640" s="183"/>
      <c r="AB1640" s="183"/>
      <c r="AC1640" s="88"/>
      <c r="AD1640" s="88"/>
    </row>
    <row r="1641" spans="1:30" ht="15.45" customHeight="1" x14ac:dyDescent="0.25">
      <c r="A1641" s="29" t="s">
        <v>3695</v>
      </c>
      <c r="B1641" s="28" t="s">
        <v>440</v>
      </c>
      <c r="C1641" s="37" t="s">
        <v>1212</v>
      </c>
      <c r="E1641" s="37" t="s">
        <v>2832</v>
      </c>
      <c r="F1641" s="24" t="s">
        <v>2135</v>
      </c>
      <c r="H1641" s="38" t="s">
        <v>7160</v>
      </c>
      <c r="J1641" s="219" t="s">
        <v>3690</v>
      </c>
      <c r="K1641" s="10" t="s">
        <v>3685</v>
      </c>
      <c r="N1641" s="151"/>
      <c r="O1641" s="151"/>
      <c r="P1641" s="37" t="s">
        <v>1870</v>
      </c>
      <c r="S1641" s="10" t="s">
        <v>2433</v>
      </c>
      <c r="U1641" s="21">
        <v>1</v>
      </c>
      <c r="V1641" s="21">
        <v>1</v>
      </c>
      <c r="W1641" s="73">
        <f t="shared" si="76"/>
        <v>27</v>
      </c>
      <c r="X1641" s="80">
        <f t="shared" si="77"/>
        <v>2625</v>
      </c>
      <c r="Y1641" s="82" t="s">
        <v>3584</v>
      </c>
      <c r="AA1641" s="183"/>
      <c r="AB1641" s="183"/>
      <c r="AC1641" s="88"/>
      <c r="AD1641" s="88"/>
    </row>
    <row r="1642" spans="1:30" ht="15.45" customHeight="1" x14ac:dyDescent="0.25">
      <c r="A1642" s="29" t="s">
        <v>847</v>
      </c>
      <c r="B1642" s="28" t="s">
        <v>536</v>
      </c>
      <c r="C1642" s="37" t="s">
        <v>1212</v>
      </c>
      <c r="E1642" s="37" t="s">
        <v>2832</v>
      </c>
      <c r="F1642" s="24" t="s">
        <v>2135</v>
      </c>
      <c r="H1642" s="38" t="s">
        <v>7161</v>
      </c>
      <c r="J1642" s="219" t="s">
        <v>3692</v>
      </c>
      <c r="K1642" s="10" t="s">
        <v>3685</v>
      </c>
      <c r="N1642" s="151"/>
      <c r="O1642" s="151"/>
      <c r="P1642" s="37" t="s">
        <v>1999</v>
      </c>
      <c r="S1642" s="10" t="s">
        <v>2433</v>
      </c>
      <c r="U1642" s="21">
        <v>1</v>
      </c>
      <c r="V1642" s="21">
        <v>1</v>
      </c>
      <c r="W1642" s="73">
        <f t="shared" si="76"/>
        <v>28</v>
      </c>
      <c r="X1642" s="80">
        <f t="shared" si="77"/>
        <v>2626</v>
      </c>
      <c r="Y1642" s="82" t="s">
        <v>3584</v>
      </c>
      <c r="AA1642" s="183"/>
      <c r="AB1642" s="183"/>
      <c r="AC1642" s="88"/>
      <c r="AD1642" s="88"/>
    </row>
    <row r="1643" spans="1:30" ht="15.45" customHeight="1" x14ac:dyDescent="0.25">
      <c r="A1643" s="29" t="s">
        <v>3721</v>
      </c>
      <c r="B1643" s="28" t="s">
        <v>6</v>
      </c>
      <c r="C1643" s="37" t="s">
        <v>2063</v>
      </c>
      <c r="E1643" s="37" t="s">
        <v>2832</v>
      </c>
      <c r="F1643" s="24" t="s">
        <v>2136</v>
      </c>
      <c r="J1643" s="219" t="s">
        <v>3692</v>
      </c>
      <c r="K1643" s="10" t="s">
        <v>3685</v>
      </c>
      <c r="N1643" s="151"/>
      <c r="O1643" s="151"/>
      <c r="P1643" s="37" t="s">
        <v>1870</v>
      </c>
      <c r="S1643" s="10" t="s">
        <v>2433</v>
      </c>
      <c r="U1643" s="21">
        <v>1</v>
      </c>
      <c r="V1643" s="21">
        <v>1</v>
      </c>
      <c r="W1643" s="73">
        <f t="shared" si="76"/>
        <v>29</v>
      </c>
      <c r="X1643" s="80">
        <f t="shared" si="77"/>
        <v>2627</v>
      </c>
      <c r="Y1643" s="82" t="s">
        <v>3584</v>
      </c>
      <c r="AA1643" s="183"/>
      <c r="AB1643" s="183"/>
      <c r="AC1643" s="88"/>
      <c r="AD1643" s="88"/>
    </row>
    <row r="1644" spans="1:30" ht="15.45" customHeight="1" x14ac:dyDescent="0.25">
      <c r="A1644" s="29" t="s">
        <v>6763</v>
      </c>
      <c r="B1644" s="28" t="s">
        <v>7</v>
      </c>
      <c r="C1644" s="37" t="s">
        <v>2063</v>
      </c>
      <c r="E1644" s="37" t="s">
        <v>2832</v>
      </c>
      <c r="F1644" s="24" t="s">
        <v>2136</v>
      </c>
      <c r="J1644" s="219" t="s">
        <v>3690</v>
      </c>
      <c r="K1644" s="10" t="s">
        <v>3685</v>
      </c>
      <c r="N1644" s="151"/>
      <c r="O1644" s="151"/>
      <c r="P1644" s="37" t="s">
        <v>8</v>
      </c>
      <c r="S1644" s="10" t="s">
        <v>2433</v>
      </c>
      <c r="U1644" s="21">
        <v>1</v>
      </c>
      <c r="V1644" s="21">
        <v>1</v>
      </c>
      <c r="W1644" s="73">
        <f t="shared" si="76"/>
        <v>30</v>
      </c>
      <c r="X1644" s="80">
        <f t="shared" si="77"/>
        <v>2628</v>
      </c>
      <c r="Y1644" s="82" t="s">
        <v>3584</v>
      </c>
      <c r="AA1644" s="183"/>
      <c r="AB1644" s="183"/>
      <c r="AC1644" s="88"/>
      <c r="AD1644" s="88"/>
    </row>
    <row r="1645" spans="1:30" ht="15.45" customHeight="1" x14ac:dyDescent="0.25">
      <c r="A1645" s="29" t="s">
        <v>537</v>
      </c>
      <c r="B1645" s="28" t="s">
        <v>586</v>
      </c>
      <c r="C1645" s="37" t="s">
        <v>1212</v>
      </c>
      <c r="E1645" s="37" t="s">
        <v>2832</v>
      </c>
      <c r="F1645" s="24" t="s">
        <v>2136</v>
      </c>
      <c r="J1645" s="219"/>
      <c r="N1645" s="151"/>
      <c r="O1645" s="151"/>
      <c r="P1645" s="37" t="s">
        <v>1870</v>
      </c>
      <c r="S1645" s="10" t="s">
        <v>2433</v>
      </c>
      <c r="U1645" s="21">
        <v>1</v>
      </c>
      <c r="V1645" s="21">
        <v>1</v>
      </c>
      <c r="W1645" s="73">
        <f t="shared" si="76"/>
        <v>31</v>
      </c>
      <c r="X1645" s="80">
        <f t="shared" si="77"/>
        <v>2629</v>
      </c>
      <c r="Y1645" s="82" t="s">
        <v>3584</v>
      </c>
      <c r="AA1645" s="183"/>
      <c r="AB1645" s="183"/>
      <c r="AC1645" s="88"/>
      <c r="AD1645" s="88"/>
    </row>
    <row r="1646" spans="1:30" ht="15.45" customHeight="1" x14ac:dyDescent="0.25">
      <c r="A1646" s="29" t="s">
        <v>602</v>
      </c>
      <c r="B1646" s="28" t="s">
        <v>831</v>
      </c>
      <c r="C1646" s="37" t="s">
        <v>1212</v>
      </c>
      <c r="E1646" s="37" t="s">
        <v>2832</v>
      </c>
      <c r="F1646" s="24" t="s">
        <v>2136</v>
      </c>
      <c r="J1646" s="219"/>
      <c r="N1646" s="151"/>
      <c r="O1646" s="151"/>
      <c r="P1646" s="37" t="s">
        <v>1870</v>
      </c>
      <c r="S1646" s="10" t="s">
        <v>2433</v>
      </c>
      <c r="U1646" s="21">
        <v>1</v>
      </c>
      <c r="V1646" s="21">
        <v>1</v>
      </c>
      <c r="W1646" s="73">
        <f t="shared" si="76"/>
        <v>32</v>
      </c>
      <c r="X1646" s="80">
        <f t="shared" si="77"/>
        <v>2630</v>
      </c>
      <c r="Y1646" s="82" t="s">
        <v>3584</v>
      </c>
      <c r="AA1646" s="183"/>
      <c r="AB1646" s="183"/>
      <c r="AC1646" s="88"/>
      <c r="AD1646" s="88"/>
    </row>
    <row r="1647" spans="1:30" ht="15.45" customHeight="1" x14ac:dyDescent="0.25">
      <c r="A1647" s="29" t="s">
        <v>779</v>
      </c>
      <c r="B1647" s="28" t="s">
        <v>428</v>
      </c>
      <c r="C1647" s="37" t="s">
        <v>1212</v>
      </c>
      <c r="E1647" s="37" t="s">
        <v>2832</v>
      </c>
      <c r="F1647" s="24" t="s">
        <v>2136</v>
      </c>
      <c r="J1647" s="219"/>
      <c r="N1647" s="151"/>
      <c r="O1647" s="151"/>
      <c r="P1647" s="37" t="s">
        <v>1991</v>
      </c>
      <c r="S1647" s="10" t="s">
        <v>2433</v>
      </c>
      <c r="U1647" s="21">
        <v>1</v>
      </c>
      <c r="V1647" s="21">
        <v>1</v>
      </c>
      <c r="W1647" s="73">
        <f t="shared" si="76"/>
        <v>33</v>
      </c>
      <c r="X1647" s="80">
        <f t="shared" si="77"/>
        <v>2631</v>
      </c>
      <c r="Y1647" s="82" t="s">
        <v>3584</v>
      </c>
      <c r="AA1647" s="183"/>
      <c r="AB1647" s="183"/>
      <c r="AC1647" s="88"/>
      <c r="AD1647" s="88"/>
    </row>
    <row r="1648" spans="1:30" ht="15.45" customHeight="1" x14ac:dyDescent="0.25">
      <c r="A1648" s="29" t="s">
        <v>627</v>
      </c>
      <c r="B1648" s="28" t="s">
        <v>724</v>
      </c>
      <c r="C1648" s="37" t="s">
        <v>1212</v>
      </c>
      <c r="E1648" s="37" t="s">
        <v>2832</v>
      </c>
      <c r="F1648" s="24" t="s">
        <v>2136</v>
      </c>
      <c r="J1648" s="219"/>
      <c r="N1648" s="151"/>
      <c r="O1648" s="151"/>
      <c r="P1648" s="37" t="s">
        <v>1991</v>
      </c>
      <c r="S1648" s="10" t="s">
        <v>2433</v>
      </c>
      <c r="U1648" s="21">
        <v>1</v>
      </c>
      <c r="V1648" s="21">
        <v>1</v>
      </c>
      <c r="W1648" s="73">
        <f t="shared" ref="W1648:W1679" si="78">W1647+V1648</f>
        <v>34</v>
      </c>
      <c r="X1648" s="80">
        <f t="shared" ref="X1648:X1681" si="79">V1648+X1647</f>
        <v>2632</v>
      </c>
      <c r="Y1648" s="82" t="s">
        <v>3584</v>
      </c>
      <c r="AA1648" s="183"/>
      <c r="AB1648" s="183"/>
      <c r="AC1648" s="88"/>
      <c r="AD1648" s="88"/>
    </row>
    <row r="1649" spans="1:37" ht="15.45" customHeight="1" x14ac:dyDescent="0.25">
      <c r="A1649" s="29" t="s">
        <v>312</v>
      </c>
      <c r="B1649" s="28" t="s">
        <v>313</v>
      </c>
      <c r="C1649" s="37" t="s">
        <v>1212</v>
      </c>
      <c r="E1649" s="37" t="s">
        <v>2832</v>
      </c>
      <c r="F1649" s="24" t="s">
        <v>2136</v>
      </c>
      <c r="J1649" s="219"/>
      <c r="N1649" s="151"/>
      <c r="O1649" s="151"/>
      <c r="P1649" s="37" t="s">
        <v>1991</v>
      </c>
      <c r="S1649" s="10" t="s">
        <v>2433</v>
      </c>
      <c r="U1649" s="21">
        <v>1</v>
      </c>
      <c r="V1649" s="21">
        <v>1</v>
      </c>
      <c r="W1649" s="73">
        <f t="shared" si="78"/>
        <v>35</v>
      </c>
      <c r="X1649" s="80">
        <f t="shared" si="79"/>
        <v>2633</v>
      </c>
      <c r="Y1649" s="82" t="s">
        <v>3584</v>
      </c>
      <c r="AA1649" s="183"/>
      <c r="AB1649" s="183"/>
      <c r="AC1649" s="88"/>
      <c r="AD1649" s="88"/>
    </row>
    <row r="1650" spans="1:37" ht="15.45" customHeight="1" x14ac:dyDescent="0.25">
      <c r="A1650" s="29" t="s">
        <v>599</v>
      </c>
      <c r="B1650" s="28" t="s">
        <v>601</v>
      </c>
      <c r="C1650" s="37" t="s">
        <v>1212</v>
      </c>
      <c r="E1650" s="37" t="s">
        <v>2832</v>
      </c>
      <c r="F1650" s="24" t="s">
        <v>2136</v>
      </c>
      <c r="J1650" s="219"/>
      <c r="N1650" s="151"/>
      <c r="O1650" s="151"/>
      <c r="P1650" s="37" t="s">
        <v>1811</v>
      </c>
      <c r="S1650" s="10" t="s">
        <v>2433</v>
      </c>
      <c r="U1650" s="21">
        <v>1</v>
      </c>
      <c r="V1650" s="21">
        <v>1</v>
      </c>
      <c r="W1650" s="73">
        <f t="shared" si="78"/>
        <v>36</v>
      </c>
      <c r="X1650" s="80">
        <f t="shared" si="79"/>
        <v>2634</v>
      </c>
      <c r="Y1650" s="82" t="s">
        <v>3584</v>
      </c>
      <c r="AA1650" s="183"/>
      <c r="AB1650" s="183"/>
      <c r="AC1650" s="88"/>
      <c r="AD1650" s="88"/>
    </row>
    <row r="1651" spans="1:37" ht="15.45" customHeight="1" x14ac:dyDescent="0.25">
      <c r="A1651" s="29" t="s">
        <v>1337</v>
      </c>
      <c r="B1651" s="28" t="s">
        <v>1326</v>
      </c>
      <c r="C1651" s="37" t="s">
        <v>1212</v>
      </c>
      <c r="E1651" s="37" t="s">
        <v>2832</v>
      </c>
      <c r="F1651" s="24" t="s">
        <v>2136</v>
      </c>
      <c r="J1651" s="219"/>
      <c r="N1651" s="151"/>
      <c r="O1651" s="151"/>
      <c r="P1651" s="37" t="s">
        <v>2017</v>
      </c>
      <c r="S1651" s="10" t="s">
        <v>2433</v>
      </c>
      <c r="U1651" s="21">
        <v>1</v>
      </c>
      <c r="V1651" s="21">
        <v>1</v>
      </c>
      <c r="W1651" s="73">
        <f t="shared" si="78"/>
        <v>37</v>
      </c>
      <c r="X1651" s="80">
        <f t="shared" si="79"/>
        <v>2635</v>
      </c>
      <c r="Y1651" s="82" t="s">
        <v>3584</v>
      </c>
      <c r="AA1651" s="183"/>
      <c r="AB1651" s="183"/>
      <c r="AC1651" s="88"/>
      <c r="AD1651" s="88"/>
    </row>
    <row r="1652" spans="1:37" ht="15.45" customHeight="1" x14ac:dyDescent="0.25">
      <c r="A1652" s="29" t="s">
        <v>6762</v>
      </c>
      <c r="B1652" s="28" t="s">
        <v>1786</v>
      </c>
      <c r="C1652" s="37" t="s">
        <v>1212</v>
      </c>
      <c r="E1652" s="37" t="s">
        <v>2832</v>
      </c>
      <c r="F1652" s="24" t="s">
        <v>5260</v>
      </c>
      <c r="H1652" s="38" t="s">
        <v>5262</v>
      </c>
      <c r="J1652" s="219" t="s">
        <v>4110</v>
      </c>
      <c r="K1652" s="10" t="s">
        <v>4109</v>
      </c>
      <c r="L1652" s="102" t="s">
        <v>5263</v>
      </c>
      <c r="N1652" s="151"/>
      <c r="O1652" s="151"/>
      <c r="P1652" s="37" t="s">
        <v>2014</v>
      </c>
      <c r="S1652" s="10" t="s">
        <v>2433</v>
      </c>
      <c r="U1652" s="21">
        <v>1</v>
      </c>
      <c r="V1652" s="21">
        <v>1</v>
      </c>
      <c r="W1652" s="73">
        <f t="shared" si="78"/>
        <v>38</v>
      </c>
      <c r="X1652" s="80">
        <f t="shared" si="79"/>
        <v>2636</v>
      </c>
      <c r="Y1652" s="82" t="s">
        <v>3584</v>
      </c>
      <c r="AA1652" s="183"/>
      <c r="AB1652" s="183"/>
      <c r="AC1652" s="88"/>
      <c r="AD1652" s="88"/>
    </row>
    <row r="1653" spans="1:37" ht="15.45" customHeight="1" x14ac:dyDescent="0.25">
      <c r="A1653" s="29" t="s">
        <v>4939</v>
      </c>
      <c r="B1653" s="28" t="s">
        <v>4938</v>
      </c>
      <c r="C1653" s="37" t="s">
        <v>2063</v>
      </c>
      <c r="E1653" s="37" t="s">
        <v>2832</v>
      </c>
      <c r="F1653" s="24" t="s">
        <v>2137</v>
      </c>
      <c r="J1653" s="219"/>
      <c r="N1653" s="151"/>
      <c r="O1653" s="151"/>
      <c r="P1653" s="37" t="s">
        <v>2064</v>
      </c>
      <c r="S1653" s="10" t="s">
        <v>2433</v>
      </c>
      <c r="U1653" s="21">
        <v>1</v>
      </c>
      <c r="V1653" s="21">
        <v>1</v>
      </c>
      <c r="W1653" s="73">
        <f t="shared" si="78"/>
        <v>39</v>
      </c>
      <c r="X1653" s="80">
        <f t="shared" si="79"/>
        <v>2637</v>
      </c>
      <c r="Y1653" s="82" t="s">
        <v>3591</v>
      </c>
      <c r="Z1653" s="82" t="s">
        <v>1963</v>
      </c>
      <c r="AA1653" s="183"/>
      <c r="AB1653" s="183"/>
      <c r="AC1653" s="88"/>
      <c r="AD1653" s="88"/>
    </row>
    <row r="1654" spans="1:37" ht="15.45" customHeight="1" x14ac:dyDescent="0.25">
      <c r="A1654" s="29" t="s">
        <v>7215</v>
      </c>
      <c r="B1654" s="28" t="s">
        <v>4940</v>
      </c>
      <c r="C1654" s="37" t="s">
        <v>1212</v>
      </c>
      <c r="E1654" s="37" t="s">
        <v>2832</v>
      </c>
      <c r="F1654" s="24" t="s">
        <v>2137</v>
      </c>
      <c r="J1654" s="219" t="s">
        <v>3749</v>
      </c>
      <c r="K1654" s="10" t="s">
        <v>3750</v>
      </c>
      <c r="N1654" s="151"/>
      <c r="O1654" s="151"/>
      <c r="P1654" s="37" t="s">
        <v>2015</v>
      </c>
      <c r="S1654" s="10" t="s">
        <v>2433</v>
      </c>
      <c r="U1654" s="21">
        <v>1</v>
      </c>
      <c r="V1654" s="21">
        <v>1</v>
      </c>
      <c r="W1654" s="73">
        <f t="shared" si="78"/>
        <v>40</v>
      </c>
      <c r="X1654" s="80">
        <f t="shared" si="79"/>
        <v>2638</v>
      </c>
      <c r="Y1654" s="82" t="s">
        <v>3584</v>
      </c>
      <c r="AA1654" s="183"/>
      <c r="AB1654" s="183"/>
      <c r="AC1654" s="88"/>
      <c r="AD1654" s="88"/>
    </row>
    <row r="1655" spans="1:37" ht="15.45" customHeight="1" x14ac:dyDescent="0.25">
      <c r="A1655" s="29" t="s">
        <v>704</v>
      </c>
      <c r="B1655" s="28" t="s">
        <v>705</v>
      </c>
      <c r="C1655" s="37" t="s">
        <v>1212</v>
      </c>
      <c r="E1655" s="37" t="s">
        <v>2832</v>
      </c>
      <c r="F1655" s="24" t="s">
        <v>2137</v>
      </c>
      <c r="J1655" s="219"/>
      <c r="N1655" s="151"/>
      <c r="O1655" s="151"/>
      <c r="P1655" s="37" t="s">
        <v>1463</v>
      </c>
      <c r="S1655" s="10" t="s">
        <v>2433</v>
      </c>
      <c r="U1655" s="21">
        <v>1</v>
      </c>
      <c r="V1655" s="21">
        <v>1</v>
      </c>
      <c r="W1655" s="73">
        <f t="shared" si="78"/>
        <v>41</v>
      </c>
      <c r="X1655" s="80">
        <f t="shared" si="79"/>
        <v>2639</v>
      </c>
      <c r="Y1655" s="82" t="s">
        <v>3584</v>
      </c>
      <c r="AA1655" s="183"/>
      <c r="AB1655" s="183"/>
      <c r="AC1655" s="88"/>
      <c r="AD1655" s="88"/>
    </row>
    <row r="1656" spans="1:37" ht="15.45" customHeight="1" x14ac:dyDescent="0.25">
      <c r="A1656" s="29" t="s">
        <v>7131</v>
      </c>
      <c r="B1656" s="28" t="s">
        <v>7130</v>
      </c>
      <c r="C1656" s="37" t="s">
        <v>1212</v>
      </c>
      <c r="E1656" s="37" t="s">
        <v>2832</v>
      </c>
      <c r="F1656" s="9" t="s">
        <v>2137</v>
      </c>
      <c r="G1656" s="9"/>
      <c r="H1656" s="38" t="s">
        <v>7129</v>
      </c>
      <c r="J1656" s="219" t="s">
        <v>6384</v>
      </c>
      <c r="K1656" s="10" t="s">
        <v>6385</v>
      </c>
      <c r="N1656" s="151"/>
      <c r="O1656" s="151"/>
      <c r="P1656" s="37" t="s">
        <v>1870</v>
      </c>
      <c r="S1656" s="10" t="s">
        <v>2433</v>
      </c>
      <c r="U1656" s="21">
        <v>1</v>
      </c>
      <c r="V1656" s="21">
        <v>1</v>
      </c>
      <c r="W1656" s="73">
        <f t="shared" si="78"/>
        <v>42</v>
      </c>
      <c r="X1656" s="80">
        <f t="shared" si="79"/>
        <v>2640</v>
      </c>
      <c r="Y1656" s="82" t="s">
        <v>3584</v>
      </c>
      <c r="AA1656" s="183"/>
      <c r="AB1656" s="183"/>
      <c r="AC1656" s="88"/>
      <c r="AD1656" s="88"/>
    </row>
    <row r="1657" spans="1:37" ht="15.45" customHeight="1" x14ac:dyDescent="0.25">
      <c r="A1657" s="29" t="s">
        <v>5251</v>
      </c>
      <c r="B1657" s="28" t="s">
        <v>709</v>
      </c>
      <c r="C1657" s="37" t="s">
        <v>1212</v>
      </c>
      <c r="E1657" s="37" t="s">
        <v>2832</v>
      </c>
      <c r="F1657" s="24" t="s">
        <v>2137</v>
      </c>
      <c r="H1657" s="38" t="s">
        <v>5252</v>
      </c>
      <c r="J1657" s="219"/>
      <c r="N1657" s="151"/>
      <c r="O1657" s="151"/>
      <c r="P1657" s="37" t="s">
        <v>1835</v>
      </c>
      <c r="S1657" s="10" t="s">
        <v>2433</v>
      </c>
      <c r="U1657" s="21">
        <v>1</v>
      </c>
      <c r="V1657" s="21">
        <v>1</v>
      </c>
      <c r="W1657" s="73">
        <f t="shared" si="78"/>
        <v>43</v>
      </c>
      <c r="X1657" s="80">
        <f t="shared" si="79"/>
        <v>2641</v>
      </c>
      <c r="Y1657" s="82" t="s">
        <v>3584</v>
      </c>
      <c r="AA1657" s="183"/>
      <c r="AB1657" s="183"/>
      <c r="AC1657" s="88"/>
      <c r="AD1657" s="88"/>
    </row>
    <row r="1658" spans="1:37" ht="15.45" customHeight="1" x14ac:dyDescent="0.25">
      <c r="A1658" s="31" t="s">
        <v>6760</v>
      </c>
      <c r="B1658" s="28" t="s">
        <v>6383</v>
      </c>
      <c r="C1658" s="37" t="s">
        <v>1212</v>
      </c>
      <c r="E1658" s="37" t="s">
        <v>2832</v>
      </c>
      <c r="F1658" s="24" t="s">
        <v>2137</v>
      </c>
      <c r="H1658" s="39"/>
      <c r="J1658" s="219" t="s">
        <v>3691</v>
      </c>
      <c r="K1658" s="10" t="s">
        <v>3717</v>
      </c>
      <c r="L1658" s="103"/>
      <c r="M1658" s="103"/>
      <c r="N1658" s="151"/>
      <c r="O1658" s="151"/>
      <c r="P1658" s="37" t="s">
        <v>1463</v>
      </c>
      <c r="S1658" s="10" t="s">
        <v>2433</v>
      </c>
      <c r="T1658" s="11"/>
      <c r="U1658" s="21">
        <v>2</v>
      </c>
      <c r="V1658" s="21">
        <v>2</v>
      </c>
      <c r="W1658" s="73">
        <f t="shared" si="78"/>
        <v>45</v>
      </c>
      <c r="X1658" s="80">
        <f t="shared" si="79"/>
        <v>2643</v>
      </c>
      <c r="Y1658" s="82" t="s">
        <v>3584</v>
      </c>
      <c r="AA1658" s="183"/>
      <c r="AB1658" s="183"/>
      <c r="AC1658" s="88"/>
      <c r="AD1658" s="88"/>
      <c r="AF1658" s="11"/>
      <c r="AG1658" s="11"/>
      <c r="AH1658" s="11"/>
      <c r="AI1658" s="11"/>
      <c r="AJ1658" s="11"/>
      <c r="AK1658" s="11"/>
    </row>
    <row r="1659" spans="1:37" ht="15.45" customHeight="1" x14ac:dyDescent="0.25">
      <c r="A1659" s="29" t="s">
        <v>1964</v>
      </c>
      <c r="B1659" s="28" t="s">
        <v>1965</v>
      </c>
      <c r="C1659" s="37" t="s">
        <v>2063</v>
      </c>
      <c r="E1659" s="37" t="s">
        <v>2832</v>
      </c>
      <c r="F1659" s="24" t="s">
        <v>2137</v>
      </c>
      <c r="J1659" s="219"/>
      <c r="N1659" s="151"/>
      <c r="O1659" s="151"/>
      <c r="P1659" s="37" t="s">
        <v>2065</v>
      </c>
      <c r="S1659" s="10" t="s">
        <v>2433</v>
      </c>
      <c r="U1659" s="21">
        <v>1</v>
      </c>
      <c r="V1659" s="21">
        <v>1</v>
      </c>
      <c r="W1659" s="73">
        <f t="shared" si="78"/>
        <v>46</v>
      </c>
      <c r="X1659" s="80">
        <f t="shared" si="79"/>
        <v>2644</v>
      </c>
      <c r="Y1659" s="82" t="s">
        <v>3591</v>
      </c>
      <c r="Z1659" s="82" t="s">
        <v>2901</v>
      </c>
      <c r="AA1659" s="183"/>
      <c r="AB1659" s="183"/>
      <c r="AC1659" s="88"/>
      <c r="AD1659" s="88"/>
    </row>
    <row r="1660" spans="1:37" ht="15.45" customHeight="1" x14ac:dyDescent="0.25">
      <c r="A1660" s="29" t="s">
        <v>825</v>
      </c>
      <c r="B1660" s="28" t="s">
        <v>1744</v>
      </c>
      <c r="C1660" s="37" t="s">
        <v>1212</v>
      </c>
      <c r="E1660" s="37" t="s">
        <v>2832</v>
      </c>
      <c r="F1660" s="24" t="s">
        <v>2138</v>
      </c>
      <c r="J1660" s="219"/>
      <c r="N1660" s="151"/>
      <c r="O1660" s="151"/>
      <c r="P1660" s="37" t="s">
        <v>85</v>
      </c>
      <c r="S1660" s="10" t="s">
        <v>2433</v>
      </c>
      <c r="U1660" s="21">
        <v>1</v>
      </c>
      <c r="V1660" s="21">
        <v>1</v>
      </c>
      <c r="W1660" s="73">
        <f t="shared" si="78"/>
        <v>47</v>
      </c>
      <c r="X1660" s="80">
        <f t="shared" si="79"/>
        <v>2645</v>
      </c>
      <c r="Y1660" s="82" t="s">
        <v>3584</v>
      </c>
      <c r="AA1660" s="183"/>
      <c r="AB1660" s="183"/>
      <c r="AC1660" s="88"/>
      <c r="AD1660" s="88"/>
    </row>
    <row r="1661" spans="1:37" ht="15.45" customHeight="1" x14ac:dyDescent="0.25">
      <c r="A1661" s="29" t="s">
        <v>7255</v>
      </c>
      <c r="B1661" s="28" t="s">
        <v>7256</v>
      </c>
      <c r="C1661" s="37" t="s">
        <v>1212</v>
      </c>
      <c r="E1661" s="37" t="s">
        <v>2832</v>
      </c>
      <c r="F1661" s="24" t="s">
        <v>2138</v>
      </c>
      <c r="H1661" s="38" t="s">
        <v>7257</v>
      </c>
      <c r="J1661" s="219"/>
      <c r="N1661" s="151"/>
      <c r="O1661" s="151"/>
      <c r="P1661" s="37" t="s">
        <v>1734</v>
      </c>
      <c r="S1661" s="10" t="s">
        <v>2433</v>
      </c>
      <c r="U1661" s="21">
        <v>1</v>
      </c>
      <c r="V1661" s="21">
        <v>1</v>
      </c>
      <c r="W1661" s="73">
        <f t="shared" si="78"/>
        <v>48</v>
      </c>
      <c r="X1661" s="80">
        <f t="shared" si="79"/>
        <v>2646</v>
      </c>
      <c r="Y1661" s="82" t="s">
        <v>3584</v>
      </c>
      <c r="AA1661" s="183"/>
      <c r="AB1661" s="183"/>
      <c r="AC1661" s="88"/>
      <c r="AD1661" s="88"/>
    </row>
    <row r="1662" spans="1:37" ht="15.45" customHeight="1" x14ac:dyDescent="0.25">
      <c r="A1662" s="29" t="s">
        <v>887</v>
      </c>
      <c r="B1662" s="28" t="s">
        <v>5144</v>
      </c>
      <c r="C1662" s="37" t="s">
        <v>1212</v>
      </c>
      <c r="E1662" s="37" t="s">
        <v>2832</v>
      </c>
      <c r="F1662" s="24" t="s">
        <v>2138</v>
      </c>
      <c r="J1662" s="219"/>
      <c r="N1662" s="151"/>
      <c r="O1662" s="151"/>
      <c r="P1662" s="37" t="s">
        <v>1811</v>
      </c>
      <c r="S1662" s="10" t="s">
        <v>2433</v>
      </c>
      <c r="U1662" s="21">
        <v>1</v>
      </c>
      <c r="V1662" s="21">
        <v>1</v>
      </c>
      <c r="W1662" s="73">
        <f t="shared" si="78"/>
        <v>49</v>
      </c>
      <c r="X1662" s="80">
        <f t="shared" si="79"/>
        <v>2647</v>
      </c>
      <c r="Y1662" s="82" t="s">
        <v>3584</v>
      </c>
      <c r="AA1662" s="183"/>
      <c r="AB1662" s="183"/>
      <c r="AC1662" s="88"/>
      <c r="AD1662" s="88"/>
    </row>
    <row r="1663" spans="1:37" ht="15.45" customHeight="1" x14ac:dyDescent="0.25">
      <c r="A1663" s="31" t="s">
        <v>1821</v>
      </c>
      <c r="B1663" s="28" t="s">
        <v>518</v>
      </c>
      <c r="C1663" s="37" t="s">
        <v>1212</v>
      </c>
      <c r="E1663" s="37" t="s">
        <v>2832</v>
      </c>
      <c r="F1663" s="24" t="s">
        <v>2138</v>
      </c>
      <c r="H1663" s="39"/>
      <c r="J1663" s="219"/>
      <c r="L1663" s="103"/>
      <c r="M1663" s="103"/>
      <c r="N1663" s="151"/>
      <c r="O1663" s="151"/>
      <c r="P1663" s="37" t="s">
        <v>2299</v>
      </c>
      <c r="S1663" s="10" t="s">
        <v>2433</v>
      </c>
      <c r="T1663" s="11"/>
      <c r="U1663" s="21">
        <v>1</v>
      </c>
      <c r="V1663" s="21">
        <v>1</v>
      </c>
      <c r="W1663" s="73">
        <f t="shared" si="78"/>
        <v>50</v>
      </c>
      <c r="X1663" s="80">
        <f t="shared" si="79"/>
        <v>2648</v>
      </c>
      <c r="Y1663" s="82" t="s">
        <v>3584</v>
      </c>
      <c r="AA1663" s="184"/>
      <c r="AB1663" s="184"/>
      <c r="AC1663" s="88"/>
      <c r="AD1663" s="88"/>
      <c r="AF1663" s="11"/>
      <c r="AG1663" s="11"/>
      <c r="AH1663" s="11"/>
      <c r="AI1663" s="11"/>
      <c r="AJ1663" s="11"/>
      <c r="AK1663" s="11"/>
    </row>
    <row r="1664" spans="1:37" ht="15.45" customHeight="1" x14ac:dyDescent="0.25">
      <c r="A1664" s="29" t="s">
        <v>6759</v>
      </c>
      <c r="B1664" s="28" t="s">
        <v>7188</v>
      </c>
      <c r="C1664" s="37" t="s">
        <v>1212</v>
      </c>
      <c r="E1664" s="37" t="s">
        <v>2832</v>
      </c>
      <c r="F1664" s="24" t="s">
        <v>2138</v>
      </c>
      <c r="J1664" s="219" t="s">
        <v>3693</v>
      </c>
      <c r="K1664" s="10" t="s">
        <v>3762</v>
      </c>
      <c r="N1664" s="151"/>
      <c r="O1664" s="151"/>
      <c r="P1664" s="37" t="s">
        <v>1811</v>
      </c>
      <c r="S1664" s="10" t="s">
        <v>2433</v>
      </c>
      <c r="U1664" s="21">
        <v>1</v>
      </c>
      <c r="V1664" s="21">
        <v>1</v>
      </c>
      <c r="W1664" s="73">
        <f t="shared" si="78"/>
        <v>51</v>
      </c>
      <c r="X1664" s="80">
        <f t="shared" si="79"/>
        <v>2649</v>
      </c>
      <c r="Y1664" s="82" t="s">
        <v>3584</v>
      </c>
      <c r="AA1664" s="183"/>
      <c r="AB1664" s="183"/>
      <c r="AC1664" s="88"/>
      <c r="AD1664" s="88"/>
    </row>
    <row r="1665" spans="1:34" ht="15.45" customHeight="1" x14ac:dyDescent="0.25">
      <c r="A1665" s="29" t="s">
        <v>6758</v>
      </c>
      <c r="B1665" s="28" t="s">
        <v>1823</v>
      </c>
      <c r="C1665" s="37" t="s">
        <v>1212</v>
      </c>
      <c r="E1665" s="37" t="s">
        <v>2832</v>
      </c>
      <c r="F1665" s="24" t="s">
        <v>2139</v>
      </c>
      <c r="J1665" s="219"/>
      <c r="N1665" s="151"/>
      <c r="O1665" s="151" t="s">
        <v>1858</v>
      </c>
      <c r="P1665" s="37" t="s">
        <v>1463</v>
      </c>
      <c r="S1665" s="10" t="s">
        <v>2433</v>
      </c>
      <c r="U1665" s="21">
        <v>1</v>
      </c>
      <c r="V1665" s="21">
        <v>1</v>
      </c>
      <c r="W1665" s="73">
        <f t="shared" si="78"/>
        <v>52</v>
      </c>
      <c r="X1665" s="80">
        <f t="shared" si="79"/>
        <v>2650</v>
      </c>
      <c r="Y1665" s="82" t="s">
        <v>3584</v>
      </c>
      <c r="AA1665" s="183"/>
      <c r="AB1665" s="183"/>
      <c r="AC1665" s="88"/>
      <c r="AD1665" s="88"/>
    </row>
    <row r="1666" spans="1:34" ht="15.45" customHeight="1" x14ac:dyDescent="0.25">
      <c r="A1666" s="29" t="s">
        <v>6757</v>
      </c>
      <c r="B1666" s="28" t="s">
        <v>727</v>
      </c>
      <c r="C1666" s="37" t="s">
        <v>1212</v>
      </c>
      <c r="E1666" s="37" t="s">
        <v>2832</v>
      </c>
      <c r="F1666" s="24" t="s">
        <v>2139</v>
      </c>
      <c r="J1666" s="219" t="s">
        <v>3690</v>
      </c>
      <c r="K1666" s="10" t="s">
        <v>3685</v>
      </c>
      <c r="N1666" s="151"/>
      <c r="O1666" s="151"/>
      <c r="P1666" s="37" t="s">
        <v>1463</v>
      </c>
      <c r="S1666" s="10" t="s">
        <v>2433</v>
      </c>
      <c r="U1666" s="21">
        <v>4</v>
      </c>
      <c r="V1666" s="21">
        <v>4</v>
      </c>
      <c r="W1666" s="73">
        <f t="shared" si="78"/>
        <v>56</v>
      </c>
      <c r="X1666" s="80">
        <f t="shared" si="79"/>
        <v>2654</v>
      </c>
      <c r="Y1666" s="82" t="s">
        <v>3584</v>
      </c>
      <c r="AA1666" s="183"/>
      <c r="AB1666" s="183"/>
      <c r="AC1666" s="88"/>
      <c r="AD1666" s="88"/>
    </row>
    <row r="1667" spans="1:34" ht="15.45" customHeight="1" x14ac:dyDescent="0.25">
      <c r="A1667" s="29" t="s">
        <v>706</v>
      </c>
      <c r="B1667" s="28" t="s">
        <v>603</v>
      </c>
      <c r="C1667" s="37" t="s">
        <v>1212</v>
      </c>
      <c r="E1667" s="37" t="s">
        <v>2832</v>
      </c>
      <c r="F1667" s="24" t="s">
        <v>2139</v>
      </c>
      <c r="J1667" s="219" t="s">
        <v>3693</v>
      </c>
      <c r="K1667" s="10" t="s">
        <v>3762</v>
      </c>
      <c r="N1667" s="151"/>
      <c r="O1667" s="151"/>
      <c r="P1667" s="37" t="s">
        <v>1463</v>
      </c>
      <c r="S1667" s="10" t="s">
        <v>2433</v>
      </c>
      <c r="U1667" s="21">
        <v>2</v>
      </c>
      <c r="V1667" s="21">
        <v>2</v>
      </c>
      <c r="W1667" s="73">
        <f t="shared" si="78"/>
        <v>58</v>
      </c>
      <c r="X1667" s="80">
        <f t="shared" si="79"/>
        <v>2656</v>
      </c>
      <c r="Y1667" s="82" t="s">
        <v>3584</v>
      </c>
      <c r="AA1667" s="183"/>
      <c r="AB1667" s="183"/>
      <c r="AC1667" s="88"/>
      <c r="AD1667" s="88"/>
    </row>
    <row r="1668" spans="1:34" ht="15.45" customHeight="1" x14ac:dyDescent="0.25">
      <c r="A1668" s="29" t="s">
        <v>439</v>
      </c>
      <c r="B1668" s="28" t="s">
        <v>605</v>
      </c>
      <c r="C1668" s="37" t="s">
        <v>1212</v>
      </c>
      <c r="E1668" s="37" t="s">
        <v>2832</v>
      </c>
      <c r="F1668" s="24" t="s">
        <v>2139</v>
      </c>
      <c r="J1668" s="219" t="s">
        <v>3691</v>
      </c>
      <c r="K1668" s="10" t="s">
        <v>3717</v>
      </c>
      <c r="N1668" s="151"/>
      <c r="O1668" s="151"/>
      <c r="P1668" s="37" t="s">
        <v>1463</v>
      </c>
      <c r="S1668" s="10" t="s">
        <v>2433</v>
      </c>
      <c r="U1668" s="21">
        <v>2</v>
      </c>
      <c r="V1668" s="21">
        <v>2</v>
      </c>
      <c r="W1668" s="73">
        <f t="shared" si="78"/>
        <v>60</v>
      </c>
      <c r="X1668" s="80">
        <f t="shared" si="79"/>
        <v>2658</v>
      </c>
      <c r="Y1668" s="82" t="s">
        <v>3584</v>
      </c>
      <c r="AA1668" s="183"/>
      <c r="AB1668" s="183"/>
      <c r="AC1668" s="88"/>
      <c r="AD1668" s="88"/>
    </row>
    <row r="1669" spans="1:34" ht="15.45" customHeight="1" x14ac:dyDescent="0.25">
      <c r="A1669" s="29" t="s">
        <v>604</v>
      </c>
      <c r="B1669" s="28" t="s">
        <v>625</v>
      </c>
      <c r="C1669" s="37" t="s">
        <v>1212</v>
      </c>
      <c r="E1669" s="37" t="s">
        <v>2832</v>
      </c>
      <c r="F1669" s="24" t="s">
        <v>2139</v>
      </c>
      <c r="J1669" s="219" t="s">
        <v>3690</v>
      </c>
      <c r="K1669" s="10" t="s">
        <v>3685</v>
      </c>
      <c r="N1669" s="151"/>
      <c r="O1669" s="151"/>
      <c r="P1669" s="37" t="s">
        <v>1463</v>
      </c>
      <c r="S1669" s="10" t="s">
        <v>2433</v>
      </c>
      <c r="U1669" s="21">
        <v>3</v>
      </c>
      <c r="V1669" s="21">
        <v>3</v>
      </c>
      <c r="W1669" s="73">
        <f t="shared" si="78"/>
        <v>63</v>
      </c>
      <c r="X1669" s="80">
        <f t="shared" si="79"/>
        <v>2661</v>
      </c>
      <c r="Y1669" s="82" t="s">
        <v>3584</v>
      </c>
      <c r="AA1669" s="183"/>
      <c r="AB1669" s="183"/>
      <c r="AC1669" s="88"/>
      <c r="AD1669" s="88"/>
    </row>
    <row r="1670" spans="1:34" ht="15.45" customHeight="1" x14ac:dyDescent="0.25">
      <c r="A1670" s="29" t="s">
        <v>725</v>
      </c>
      <c r="B1670" s="28" t="s">
        <v>726</v>
      </c>
      <c r="C1670" s="37" t="s">
        <v>1212</v>
      </c>
      <c r="E1670" s="37" t="s">
        <v>2832</v>
      </c>
      <c r="F1670" s="24" t="s">
        <v>2139</v>
      </c>
      <c r="J1670" s="219" t="s">
        <v>3746</v>
      </c>
      <c r="K1670" s="10" t="s">
        <v>3747</v>
      </c>
      <c r="N1670" s="151"/>
      <c r="O1670" s="151"/>
      <c r="P1670" s="37" t="s">
        <v>1733</v>
      </c>
      <c r="S1670" s="10" t="s">
        <v>2433</v>
      </c>
      <c r="U1670" s="21">
        <v>1</v>
      </c>
      <c r="V1670" s="21">
        <v>1</v>
      </c>
      <c r="W1670" s="73">
        <f t="shared" si="78"/>
        <v>64</v>
      </c>
      <c r="X1670" s="80">
        <f t="shared" si="79"/>
        <v>2662</v>
      </c>
      <c r="Y1670" s="82" t="s">
        <v>3584</v>
      </c>
      <c r="AA1670" s="183"/>
      <c r="AB1670" s="183"/>
      <c r="AC1670" s="88"/>
      <c r="AD1670" s="88"/>
    </row>
    <row r="1671" spans="1:34" ht="15.45" customHeight="1" x14ac:dyDescent="0.25">
      <c r="A1671" s="29" t="s">
        <v>14</v>
      </c>
      <c r="B1671" s="28" t="s">
        <v>15</v>
      </c>
      <c r="C1671" s="37" t="s">
        <v>1212</v>
      </c>
      <c r="E1671" s="37" t="s">
        <v>2832</v>
      </c>
      <c r="F1671" s="24" t="s">
        <v>2118</v>
      </c>
      <c r="H1671" s="38" t="s">
        <v>7242</v>
      </c>
      <c r="J1671" s="219"/>
      <c r="N1671" s="151"/>
      <c r="O1671" s="151"/>
      <c r="P1671" s="37" t="s">
        <v>1811</v>
      </c>
      <c r="S1671" s="10" t="s">
        <v>2433</v>
      </c>
      <c r="U1671" s="21">
        <v>1</v>
      </c>
      <c r="V1671" s="21">
        <v>1</v>
      </c>
      <c r="W1671" s="73">
        <f t="shared" si="78"/>
        <v>65</v>
      </c>
      <c r="X1671" s="80">
        <f t="shared" si="79"/>
        <v>2663</v>
      </c>
      <c r="Y1671" s="82" t="s">
        <v>3584</v>
      </c>
      <c r="AA1671" s="183"/>
      <c r="AB1671" s="183"/>
      <c r="AC1671" s="88"/>
      <c r="AD1671" s="88"/>
      <c r="AH1671" s="10" t="s">
        <v>5222</v>
      </c>
    </row>
    <row r="1672" spans="1:34" ht="15.45" customHeight="1" x14ac:dyDescent="0.25">
      <c r="A1672" s="29" t="s">
        <v>6761</v>
      </c>
      <c r="B1672" s="28" t="s">
        <v>984</v>
      </c>
      <c r="C1672" s="37" t="s">
        <v>1212</v>
      </c>
      <c r="E1672" s="37" t="s">
        <v>2832</v>
      </c>
      <c r="F1672" s="24" t="s">
        <v>2834</v>
      </c>
      <c r="J1672" s="219" t="s">
        <v>3691</v>
      </c>
      <c r="K1672" s="10" t="s">
        <v>3717</v>
      </c>
      <c r="N1672" s="151"/>
      <c r="O1672" s="151"/>
      <c r="P1672" s="37" t="s">
        <v>2015</v>
      </c>
      <c r="S1672" s="10" t="s">
        <v>2433</v>
      </c>
      <c r="U1672" s="21">
        <v>2</v>
      </c>
      <c r="V1672" s="21">
        <v>2</v>
      </c>
      <c r="W1672" s="73">
        <f t="shared" si="78"/>
        <v>67</v>
      </c>
      <c r="X1672" s="80">
        <f t="shared" si="79"/>
        <v>2665</v>
      </c>
      <c r="Y1672" s="82" t="s">
        <v>3584</v>
      </c>
      <c r="AA1672" s="183"/>
      <c r="AB1672" s="183"/>
      <c r="AC1672" s="88"/>
      <c r="AD1672" s="88"/>
    </row>
    <row r="1673" spans="1:34" ht="15.45" customHeight="1" x14ac:dyDescent="0.25">
      <c r="A1673" s="29" t="s">
        <v>475</v>
      </c>
      <c r="B1673" s="28" t="s">
        <v>1438</v>
      </c>
      <c r="C1673" s="37" t="s">
        <v>1212</v>
      </c>
      <c r="E1673" s="37" t="s">
        <v>2832</v>
      </c>
      <c r="F1673" s="24" t="s">
        <v>2834</v>
      </c>
      <c r="J1673" s="219" t="s">
        <v>4110</v>
      </c>
      <c r="K1673" s="10" t="s">
        <v>5148</v>
      </c>
      <c r="N1673" s="151"/>
      <c r="O1673" s="151"/>
      <c r="P1673" s="37" t="s">
        <v>2016</v>
      </c>
      <c r="S1673" s="10" t="s">
        <v>2433</v>
      </c>
      <c r="U1673" s="21">
        <v>1</v>
      </c>
      <c r="V1673" s="21">
        <v>1</v>
      </c>
      <c r="W1673" s="73">
        <f t="shared" si="78"/>
        <v>68</v>
      </c>
      <c r="X1673" s="80">
        <f t="shared" si="79"/>
        <v>2666</v>
      </c>
      <c r="Y1673" s="82" t="s">
        <v>3584</v>
      </c>
      <c r="AA1673" s="183"/>
      <c r="AB1673" s="183"/>
      <c r="AC1673" s="88"/>
      <c r="AD1673" s="88"/>
    </row>
    <row r="1674" spans="1:34" ht="15.45" customHeight="1" x14ac:dyDescent="0.25">
      <c r="A1674" s="29" t="s">
        <v>582</v>
      </c>
      <c r="B1674" s="28" t="s">
        <v>476</v>
      </c>
      <c r="C1674" s="37" t="s">
        <v>1212</v>
      </c>
      <c r="E1674" s="37" t="s">
        <v>2832</v>
      </c>
      <c r="F1674" s="24" t="s">
        <v>2836</v>
      </c>
      <c r="J1674" s="219"/>
      <c r="N1674" s="151"/>
      <c r="O1674" s="151"/>
      <c r="P1674" s="37" t="s">
        <v>2016</v>
      </c>
      <c r="S1674" s="10" t="s">
        <v>2433</v>
      </c>
      <c r="U1674" s="21">
        <v>1</v>
      </c>
      <c r="V1674" s="21">
        <v>1</v>
      </c>
      <c r="W1674" s="73">
        <f t="shared" si="78"/>
        <v>69</v>
      </c>
      <c r="X1674" s="80">
        <f t="shared" si="79"/>
        <v>2667</v>
      </c>
      <c r="Y1674" s="82" t="s">
        <v>3584</v>
      </c>
      <c r="AA1674" s="183"/>
      <c r="AB1674" s="183"/>
      <c r="AC1674" s="88"/>
      <c r="AD1674" s="88"/>
    </row>
    <row r="1675" spans="1:34" ht="15.45" customHeight="1" x14ac:dyDescent="0.25">
      <c r="A1675" s="29" t="s">
        <v>3212</v>
      </c>
      <c r="B1675" s="28" t="s">
        <v>1365</v>
      </c>
      <c r="C1675" s="37" t="s">
        <v>1212</v>
      </c>
      <c r="E1675" s="37" t="s">
        <v>2832</v>
      </c>
      <c r="F1675" s="24" t="s">
        <v>2835</v>
      </c>
      <c r="H1675" s="38" t="s">
        <v>3213</v>
      </c>
      <c r="J1675" s="219" t="s">
        <v>3691</v>
      </c>
      <c r="K1675" s="10" t="s">
        <v>3717</v>
      </c>
      <c r="N1675" s="151"/>
      <c r="O1675" s="151"/>
      <c r="P1675" s="37" t="s">
        <v>1978</v>
      </c>
      <c r="S1675" s="10" t="s">
        <v>2433</v>
      </c>
      <c r="U1675" s="21">
        <v>1</v>
      </c>
      <c r="V1675" s="21">
        <v>1</v>
      </c>
      <c r="W1675" s="73">
        <f t="shared" si="78"/>
        <v>70</v>
      </c>
      <c r="X1675" s="80">
        <f t="shared" si="79"/>
        <v>2668</v>
      </c>
      <c r="Y1675" s="82" t="s">
        <v>3584</v>
      </c>
      <c r="AA1675" s="183"/>
      <c r="AB1675" s="183"/>
      <c r="AC1675" s="88"/>
      <c r="AD1675" s="88"/>
    </row>
    <row r="1676" spans="1:34" ht="15.45" customHeight="1" x14ac:dyDescent="0.25">
      <c r="A1676" s="29" t="s">
        <v>3732</v>
      </c>
      <c r="B1676" s="28" t="s">
        <v>3731</v>
      </c>
      <c r="C1676" s="37" t="s">
        <v>1212</v>
      </c>
      <c r="E1676" s="37" t="s">
        <v>2832</v>
      </c>
      <c r="F1676" s="24" t="s">
        <v>2149</v>
      </c>
      <c r="J1676" s="219" t="s">
        <v>3691</v>
      </c>
      <c r="K1676" s="10" t="s">
        <v>3717</v>
      </c>
      <c r="N1676" s="151"/>
      <c r="O1676" s="151"/>
      <c r="P1676" s="37" t="s">
        <v>1603</v>
      </c>
      <c r="S1676" s="10" t="s">
        <v>2433</v>
      </c>
      <c r="U1676" s="21">
        <v>1</v>
      </c>
      <c r="V1676" s="21">
        <v>1</v>
      </c>
      <c r="W1676" s="73">
        <f t="shared" si="78"/>
        <v>71</v>
      </c>
      <c r="X1676" s="80">
        <f t="shared" si="79"/>
        <v>2669</v>
      </c>
      <c r="Y1676" s="82" t="s">
        <v>3584</v>
      </c>
      <c r="AA1676" s="183"/>
      <c r="AB1676" s="183"/>
      <c r="AC1676" s="88"/>
      <c r="AD1676" s="88"/>
    </row>
    <row r="1677" spans="1:34" ht="15.45" customHeight="1" x14ac:dyDescent="0.25">
      <c r="A1677" s="29" t="s">
        <v>4144</v>
      </c>
      <c r="B1677" s="28" t="s">
        <v>5131</v>
      </c>
      <c r="C1677" s="37" t="s">
        <v>1212</v>
      </c>
      <c r="E1677" s="37" t="s">
        <v>2832</v>
      </c>
      <c r="F1677" s="24" t="s">
        <v>2140</v>
      </c>
      <c r="H1677" s="38" t="s">
        <v>5133</v>
      </c>
      <c r="J1677" s="219" t="s">
        <v>5132</v>
      </c>
      <c r="K1677" s="10" t="s">
        <v>5130</v>
      </c>
      <c r="N1677" s="151"/>
      <c r="O1677" s="151"/>
      <c r="P1677" s="37" t="s">
        <v>2018</v>
      </c>
      <c r="S1677" s="10" t="s">
        <v>2433</v>
      </c>
      <c r="U1677" s="21">
        <v>1</v>
      </c>
      <c r="V1677" s="21">
        <v>2</v>
      </c>
      <c r="W1677" s="73">
        <f t="shared" si="78"/>
        <v>73</v>
      </c>
      <c r="X1677" s="80">
        <f t="shared" si="79"/>
        <v>2671</v>
      </c>
      <c r="Y1677" s="82" t="s">
        <v>3584</v>
      </c>
      <c r="AA1677" s="183"/>
      <c r="AB1677" s="183"/>
      <c r="AC1677" s="88"/>
      <c r="AD1677" s="88"/>
      <c r="AE1677" s="24" t="s">
        <v>4145</v>
      </c>
    </row>
    <row r="1678" spans="1:34" ht="15.45" customHeight="1" x14ac:dyDescent="0.25">
      <c r="A1678" s="29" t="s">
        <v>6726</v>
      </c>
      <c r="B1678" s="28" t="s">
        <v>1745</v>
      </c>
      <c r="C1678" s="37" t="s">
        <v>1212</v>
      </c>
      <c r="E1678" s="37" t="s">
        <v>2832</v>
      </c>
      <c r="F1678" s="24" t="s">
        <v>6756</v>
      </c>
      <c r="J1678" s="219" t="s">
        <v>3690</v>
      </c>
      <c r="K1678" s="10" t="s">
        <v>3685</v>
      </c>
      <c r="N1678" s="151"/>
      <c r="O1678" s="151"/>
      <c r="P1678" s="37" t="s">
        <v>1811</v>
      </c>
      <c r="S1678" s="10" t="s">
        <v>2433</v>
      </c>
      <c r="U1678" s="21">
        <v>2</v>
      </c>
      <c r="V1678" s="21">
        <v>2</v>
      </c>
      <c r="W1678" s="73">
        <f t="shared" si="78"/>
        <v>75</v>
      </c>
      <c r="X1678" s="80">
        <f t="shared" si="79"/>
        <v>2673</v>
      </c>
      <c r="Y1678" s="82" t="s">
        <v>3584</v>
      </c>
      <c r="AA1678" s="183"/>
      <c r="AB1678" s="183"/>
      <c r="AC1678" s="88"/>
      <c r="AD1678" s="88"/>
    </row>
    <row r="1679" spans="1:34" ht="15.45" customHeight="1" x14ac:dyDescent="0.25">
      <c r="A1679" s="29" t="s">
        <v>5019</v>
      </c>
      <c r="B1679" s="28" t="s">
        <v>5020</v>
      </c>
      <c r="C1679" s="37" t="s">
        <v>1212</v>
      </c>
      <c r="E1679" s="37" t="s">
        <v>2832</v>
      </c>
      <c r="F1679" s="24" t="s">
        <v>2835</v>
      </c>
      <c r="H1679" s="38" t="s">
        <v>5266</v>
      </c>
      <c r="J1679" s="219"/>
      <c r="N1679" s="151"/>
      <c r="O1679" s="151"/>
      <c r="P1679" s="37" t="s">
        <v>2019</v>
      </c>
      <c r="S1679" s="10" t="s">
        <v>2433</v>
      </c>
      <c r="U1679" s="21">
        <v>1</v>
      </c>
      <c r="V1679" s="21">
        <v>1</v>
      </c>
      <c r="W1679" s="73">
        <f t="shared" si="78"/>
        <v>76</v>
      </c>
      <c r="X1679" s="80">
        <f t="shared" si="79"/>
        <v>2674</v>
      </c>
      <c r="Y1679" s="82" t="s">
        <v>3584</v>
      </c>
      <c r="AA1679" s="183"/>
      <c r="AB1679" s="183"/>
      <c r="AC1679" s="88"/>
      <c r="AD1679" s="88"/>
    </row>
    <row r="1680" spans="1:34" ht="15.45" customHeight="1" x14ac:dyDescent="0.25">
      <c r="A1680" s="29" t="s">
        <v>1549</v>
      </c>
      <c r="B1680" s="28" t="s">
        <v>2157</v>
      </c>
      <c r="C1680" s="37" t="s">
        <v>1212</v>
      </c>
      <c r="E1680" s="37" t="s">
        <v>2832</v>
      </c>
      <c r="F1680" s="24" t="s">
        <v>5259</v>
      </c>
      <c r="H1680" s="38" t="s">
        <v>5261</v>
      </c>
      <c r="J1680" s="219" t="s">
        <v>3746</v>
      </c>
      <c r="K1680" s="10" t="s">
        <v>3747</v>
      </c>
      <c r="L1680" s="102" t="s">
        <v>5264</v>
      </c>
      <c r="N1680" s="151"/>
      <c r="O1680" s="151"/>
      <c r="P1680" s="37" t="s">
        <v>2036</v>
      </c>
      <c r="S1680" s="10" t="s">
        <v>2433</v>
      </c>
      <c r="U1680" s="21">
        <v>1</v>
      </c>
      <c r="V1680" s="21">
        <v>1</v>
      </c>
      <c r="W1680" s="73">
        <f t="shared" ref="W1680:W1681" si="80">W1679+V1680</f>
        <v>77</v>
      </c>
      <c r="X1680" s="80">
        <f t="shared" si="79"/>
        <v>2675</v>
      </c>
      <c r="Y1680" s="82" t="s">
        <v>3584</v>
      </c>
      <c r="AA1680" s="183"/>
      <c r="AB1680" s="183"/>
      <c r="AC1680" s="88"/>
      <c r="AD1680" s="88"/>
    </row>
    <row r="1681" spans="1:37" ht="15.45" customHeight="1" x14ac:dyDescent="0.25">
      <c r="A1681" s="29" t="s">
        <v>3756</v>
      </c>
      <c r="B1681" s="28" t="s">
        <v>2164</v>
      </c>
      <c r="C1681" s="37" t="s">
        <v>1212</v>
      </c>
      <c r="E1681" s="37" t="s">
        <v>2932</v>
      </c>
      <c r="J1681" s="219" t="s">
        <v>3749</v>
      </c>
      <c r="K1681" s="10" t="s">
        <v>3750</v>
      </c>
      <c r="N1681" s="151"/>
      <c r="O1681" s="151"/>
      <c r="P1681" s="37" t="s">
        <v>1463</v>
      </c>
      <c r="S1681" s="10" t="s">
        <v>2980</v>
      </c>
      <c r="T1681" s="10" t="s">
        <v>3757</v>
      </c>
      <c r="U1681" s="22">
        <v>1</v>
      </c>
      <c r="V1681" s="22">
        <v>1</v>
      </c>
      <c r="W1681" s="73">
        <f t="shared" si="80"/>
        <v>78</v>
      </c>
      <c r="X1681" s="80">
        <f t="shared" si="79"/>
        <v>2676</v>
      </c>
      <c r="Y1681" s="82" t="s">
        <v>3584</v>
      </c>
      <c r="Z1681" s="26"/>
      <c r="AA1681" s="183"/>
      <c r="AB1681" s="183">
        <v>43194</v>
      </c>
      <c r="AC1681" s="84" t="s">
        <v>2885</v>
      </c>
      <c r="AD1681" s="88"/>
    </row>
    <row r="1682" spans="1:37" s="51" customFormat="1" ht="15.45" customHeight="1" x14ac:dyDescent="0.25">
      <c r="A1682" s="193" t="s">
        <v>2686</v>
      </c>
      <c r="B1682" s="50"/>
      <c r="C1682" s="49"/>
      <c r="D1682" s="49"/>
      <c r="E1682" s="49"/>
      <c r="F1682" s="50"/>
      <c r="G1682" s="50"/>
      <c r="H1682" s="55"/>
      <c r="I1682" s="110"/>
      <c r="J1682" s="223"/>
      <c r="K1682" s="56"/>
      <c r="L1682" s="100"/>
      <c r="M1682" s="100"/>
      <c r="N1682" s="152"/>
      <c r="O1682" s="152"/>
      <c r="P1682" s="49"/>
      <c r="Q1682" s="49"/>
      <c r="R1682" s="49"/>
      <c r="S1682" s="56"/>
      <c r="T1682" s="56"/>
      <c r="U1682" s="48"/>
      <c r="V1682" s="48"/>
      <c r="W1682" s="74"/>
      <c r="X1682" s="81"/>
      <c r="Y1682" s="132"/>
      <c r="Z1682" s="135"/>
      <c r="AA1682" s="185"/>
      <c r="AB1682" s="185"/>
      <c r="AC1682" s="141"/>
      <c r="AD1682" s="141"/>
      <c r="AE1682" s="83"/>
      <c r="AF1682" s="56"/>
      <c r="AG1682" s="56"/>
      <c r="AH1682" s="56"/>
      <c r="AI1682" s="56"/>
      <c r="AJ1682" s="56"/>
      <c r="AK1682" s="56"/>
    </row>
    <row r="1683" spans="1:37" ht="15.45" customHeight="1" x14ac:dyDescent="0.25">
      <c r="A1683" s="29" t="s">
        <v>7237</v>
      </c>
      <c r="B1683" s="28" t="s">
        <v>414</v>
      </c>
      <c r="C1683" s="37" t="s">
        <v>2688</v>
      </c>
      <c r="E1683" s="37" t="s">
        <v>2832</v>
      </c>
      <c r="F1683" s="24" t="s">
        <v>2681</v>
      </c>
      <c r="H1683" s="38" t="s">
        <v>4601</v>
      </c>
      <c r="J1683" s="219"/>
      <c r="N1683" s="151"/>
      <c r="O1683" s="151"/>
      <c r="S1683" s="10" t="s">
        <v>2390</v>
      </c>
      <c r="U1683" s="21">
        <v>1</v>
      </c>
      <c r="V1683" s="21">
        <v>1</v>
      </c>
      <c r="W1683" s="73">
        <f>V1683</f>
        <v>1</v>
      </c>
      <c r="X1683" s="80">
        <f>V1683+X1681</f>
        <v>2677</v>
      </c>
      <c r="Y1683" s="82" t="s">
        <v>3584</v>
      </c>
      <c r="AA1683" s="183"/>
      <c r="AB1683" s="183"/>
      <c r="AC1683" s="88"/>
      <c r="AD1683" s="88"/>
    </row>
    <row r="1684" spans="1:37" ht="15.45" customHeight="1" x14ac:dyDescent="0.25">
      <c r="A1684" s="29" t="s">
        <v>7236</v>
      </c>
      <c r="B1684" s="28" t="s">
        <v>414</v>
      </c>
      <c r="C1684" s="37" t="s">
        <v>2688</v>
      </c>
      <c r="E1684" s="37" t="s">
        <v>2832</v>
      </c>
      <c r="F1684" s="24" t="s">
        <v>2681</v>
      </c>
      <c r="H1684" s="38" t="s">
        <v>7240</v>
      </c>
      <c r="J1684" s="219"/>
      <c r="N1684" s="151"/>
      <c r="O1684" s="151"/>
      <c r="P1684" s="37" t="s">
        <v>1463</v>
      </c>
      <c r="S1684" s="10" t="s">
        <v>3412</v>
      </c>
      <c r="U1684" s="21">
        <v>1</v>
      </c>
      <c r="V1684" s="21">
        <v>1</v>
      </c>
      <c r="W1684" s="73">
        <f>W1683+V1684</f>
        <v>2</v>
      </c>
      <c r="X1684" s="80">
        <f>V1684+X1683</f>
        <v>2678</v>
      </c>
      <c r="Y1684" s="82" t="s">
        <v>3591</v>
      </c>
      <c r="Z1684" s="24" t="s">
        <v>7238</v>
      </c>
      <c r="AA1684" s="183"/>
      <c r="AB1684" s="183">
        <v>45562</v>
      </c>
      <c r="AC1684" s="84" t="s">
        <v>2885</v>
      </c>
      <c r="AD1684" s="88"/>
    </row>
    <row r="1685" spans="1:37" ht="15.45" customHeight="1" x14ac:dyDescent="0.25">
      <c r="A1685" s="29" t="s">
        <v>167</v>
      </c>
      <c r="B1685" s="28" t="s">
        <v>296</v>
      </c>
      <c r="C1685" s="37" t="s">
        <v>2688</v>
      </c>
      <c r="E1685" s="37" t="s">
        <v>2832</v>
      </c>
      <c r="F1685" s="24" t="s">
        <v>2681</v>
      </c>
      <c r="H1685" s="38" t="s">
        <v>5243</v>
      </c>
      <c r="J1685" s="219"/>
      <c r="N1685" s="151"/>
      <c r="O1685" s="151"/>
      <c r="S1685" s="10" t="s">
        <v>2390</v>
      </c>
      <c r="U1685" s="22">
        <v>1</v>
      </c>
      <c r="V1685" s="22">
        <v>1</v>
      </c>
      <c r="W1685" s="73">
        <f>W1684+V1685</f>
        <v>3</v>
      </c>
      <c r="X1685" s="80">
        <f>V1685+X1684</f>
        <v>2679</v>
      </c>
      <c r="Y1685" s="82" t="s">
        <v>3592</v>
      </c>
      <c r="Z1685" s="26" t="s">
        <v>5242</v>
      </c>
      <c r="AA1685" s="183"/>
      <c r="AB1685" s="183"/>
      <c r="AC1685" s="88"/>
      <c r="AD1685" s="88"/>
      <c r="AI1685" s="10" t="s">
        <v>2815</v>
      </c>
    </row>
    <row r="1686" spans="1:37" ht="15.45" customHeight="1" x14ac:dyDescent="0.25">
      <c r="A1686" s="29" t="s">
        <v>4327</v>
      </c>
      <c r="B1686" s="28" t="s">
        <v>4327</v>
      </c>
      <c r="C1686" s="37" t="s">
        <v>2688</v>
      </c>
      <c r="E1686" s="37" t="s">
        <v>2926</v>
      </c>
      <c r="F1686" s="24" t="s">
        <v>2681</v>
      </c>
      <c r="H1686" s="38" t="s">
        <v>4328</v>
      </c>
      <c r="J1686" s="219"/>
      <c r="N1686" s="151"/>
      <c r="O1686" s="151"/>
      <c r="P1686" s="37" t="s">
        <v>1463</v>
      </c>
      <c r="S1686" s="10" t="s">
        <v>3412</v>
      </c>
      <c r="U1686" s="22">
        <v>1</v>
      </c>
      <c r="V1686" s="22">
        <v>1</v>
      </c>
      <c r="W1686" s="73">
        <f t="shared" ref="W1686:W1714" si="81">W1685+V1686</f>
        <v>4</v>
      </c>
      <c r="X1686" s="80">
        <f t="shared" ref="X1686:X1714" si="82">V1686+X1685</f>
        <v>2680</v>
      </c>
      <c r="Y1686" s="82" t="s">
        <v>3591</v>
      </c>
      <c r="Z1686" s="26" t="s">
        <v>2911</v>
      </c>
      <c r="AA1686" s="183"/>
      <c r="AB1686" s="183">
        <v>43363</v>
      </c>
      <c r="AC1686" s="84" t="s">
        <v>2885</v>
      </c>
      <c r="AD1686" s="88"/>
    </row>
    <row r="1687" spans="1:37" ht="15.45" customHeight="1" x14ac:dyDescent="0.25">
      <c r="A1687" s="29" t="s">
        <v>7186</v>
      </c>
      <c r="B1687" s="28" t="s">
        <v>7186</v>
      </c>
      <c r="C1687" s="37" t="s">
        <v>2688</v>
      </c>
      <c r="E1687" s="37" t="s">
        <v>2926</v>
      </c>
      <c r="F1687" s="24" t="s">
        <v>2681</v>
      </c>
      <c r="H1687" s="38" t="s">
        <v>7187</v>
      </c>
      <c r="J1687" s="219"/>
      <c r="N1687" s="151"/>
      <c r="O1687" s="151"/>
      <c r="P1687" s="37" t="s">
        <v>1463</v>
      </c>
      <c r="S1687" s="10" t="s">
        <v>3412</v>
      </c>
      <c r="U1687" s="22">
        <v>1</v>
      </c>
      <c r="V1687" s="22">
        <v>1</v>
      </c>
      <c r="W1687" s="73">
        <f t="shared" si="81"/>
        <v>5</v>
      </c>
      <c r="X1687" s="80">
        <f t="shared" si="82"/>
        <v>2681</v>
      </c>
      <c r="Y1687" s="82" t="s">
        <v>3591</v>
      </c>
      <c r="Z1687" s="26" t="s">
        <v>2885</v>
      </c>
      <c r="AA1687" s="183"/>
      <c r="AB1687" s="183">
        <v>45097</v>
      </c>
      <c r="AC1687" s="84" t="s">
        <v>2885</v>
      </c>
      <c r="AD1687" s="88"/>
    </row>
    <row r="1688" spans="1:37" ht="15.45" customHeight="1" x14ac:dyDescent="0.25">
      <c r="A1688" s="29" t="s">
        <v>2720</v>
      </c>
      <c r="B1688" s="28" t="s">
        <v>2727</v>
      </c>
      <c r="C1688" s="37" t="s">
        <v>2688</v>
      </c>
      <c r="E1688" s="37" t="s">
        <v>2832</v>
      </c>
      <c r="F1688" s="24" t="s">
        <v>2681</v>
      </c>
      <c r="H1688" s="38" t="s">
        <v>2744</v>
      </c>
      <c r="P1688" s="37" t="s">
        <v>204</v>
      </c>
      <c r="S1688" s="10" t="s">
        <v>2390</v>
      </c>
      <c r="U1688" s="22">
        <v>1</v>
      </c>
      <c r="V1688" s="22">
        <v>7</v>
      </c>
      <c r="W1688" s="73">
        <f t="shared" si="81"/>
        <v>12</v>
      </c>
      <c r="X1688" s="80">
        <f t="shared" si="82"/>
        <v>2688</v>
      </c>
      <c r="Y1688" s="82" t="s">
        <v>3591</v>
      </c>
      <c r="Z1688" s="24" t="s">
        <v>2965</v>
      </c>
    </row>
    <row r="1689" spans="1:37" ht="15.45" customHeight="1" x14ac:dyDescent="0.25">
      <c r="A1689" s="29" t="s">
        <v>2721</v>
      </c>
      <c r="B1689" s="28" t="s">
        <v>2727</v>
      </c>
      <c r="C1689" s="37" t="s">
        <v>2688</v>
      </c>
      <c r="E1689" s="37" t="s">
        <v>2832</v>
      </c>
      <c r="F1689" s="24" t="s">
        <v>2681</v>
      </c>
      <c r="H1689" s="38" t="s">
        <v>2744</v>
      </c>
      <c r="P1689" s="37" t="s">
        <v>204</v>
      </c>
      <c r="S1689" s="10" t="s">
        <v>2390</v>
      </c>
      <c r="U1689" s="22">
        <v>1</v>
      </c>
      <c r="V1689" s="22">
        <v>8</v>
      </c>
      <c r="W1689" s="73">
        <f t="shared" si="81"/>
        <v>20</v>
      </c>
      <c r="X1689" s="80">
        <f t="shared" si="82"/>
        <v>2696</v>
      </c>
      <c r="Y1689" s="82" t="s">
        <v>3591</v>
      </c>
      <c r="Z1689" s="24" t="s">
        <v>2965</v>
      </c>
    </row>
    <row r="1690" spans="1:37" ht="15.45" customHeight="1" x14ac:dyDescent="0.25">
      <c r="A1690" s="29" t="s">
        <v>2722</v>
      </c>
      <c r="B1690" s="28" t="s">
        <v>2727</v>
      </c>
      <c r="C1690" s="37" t="s">
        <v>2688</v>
      </c>
      <c r="E1690" s="37" t="s">
        <v>2832</v>
      </c>
      <c r="F1690" s="24" t="s">
        <v>2681</v>
      </c>
      <c r="H1690" s="38" t="s">
        <v>2744</v>
      </c>
      <c r="P1690" s="37" t="s">
        <v>204</v>
      </c>
      <c r="S1690" s="10" t="s">
        <v>2390</v>
      </c>
      <c r="U1690" s="22">
        <v>1</v>
      </c>
      <c r="V1690" s="22">
        <v>4</v>
      </c>
      <c r="W1690" s="73">
        <f t="shared" si="81"/>
        <v>24</v>
      </c>
      <c r="X1690" s="80">
        <f t="shared" si="82"/>
        <v>2700</v>
      </c>
      <c r="Y1690" s="82" t="s">
        <v>3591</v>
      </c>
      <c r="Z1690" s="24" t="s">
        <v>2965</v>
      </c>
    </row>
    <row r="1691" spans="1:37" ht="15.45" customHeight="1" x14ac:dyDescent="0.25">
      <c r="A1691" s="29" t="s">
        <v>2723</v>
      </c>
      <c r="B1691" s="28" t="s">
        <v>2727</v>
      </c>
      <c r="C1691" s="37" t="s">
        <v>2688</v>
      </c>
      <c r="E1691" s="37" t="s">
        <v>2832</v>
      </c>
      <c r="F1691" s="24" t="s">
        <v>2681</v>
      </c>
      <c r="H1691" s="38" t="s">
        <v>2744</v>
      </c>
      <c r="P1691" s="37" t="s">
        <v>204</v>
      </c>
      <c r="S1691" s="10" t="s">
        <v>2390</v>
      </c>
      <c r="U1691" s="22">
        <v>1</v>
      </c>
      <c r="V1691" s="22">
        <v>6</v>
      </c>
      <c r="W1691" s="73">
        <f t="shared" si="81"/>
        <v>30</v>
      </c>
      <c r="X1691" s="80">
        <f t="shared" si="82"/>
        <v>2706</v>
      </c>
      <c r="Y1691" s="82" t="s">
        <v>3591</v>
      </c>
      <c r="Z1691" s="24" t="s">
        <v>2965</v>
      </c>
    </row>
    <row r="1692" spans="1:37" ht="15.45" customHeight="1" x14ac:dyDescent="0.25">
      <c r="A1692" s="29" t="s">
        <v>2724</v>
      </c>
      <c r="B1692" s="28" t="s">
        <v>2727</v>
      </c>
      <c r="C1692" s="37" t="s">
        <v>2688</v>
      </c>
      <c r="E1692" s="37" t="s">
        <v>2832</v>
      </c>
      <c r="F1692" s="24" t="s">
        <v>2681</v>
      </c>
      <c r="H1692" s="38" t="s">
        <v>2744</v>
      </c>
      <c r="P1692" s="37" t="s">
        <v>204</v>
      </c>
      <c r="S1692" s="10" t="s">
        <v>2390</v>
      </c>
      <c r="U1692" s="22">
        <v>1</v>
      </c>
      <c r="V1692" s="22">
        <v>1</v>
      </c>
      <c r="W1692" s="73">
        <f t="shared" si="81"/>
        <v>31</v>
      </c>
      <c r="X1692" s="80">
        <f t="shared" si="82"/>
        <v>2707</v>
      </c>
      <c r="Y1692" s="82" t="s">
        <v>3591</v>
      </c>
      <c r="Z1692" s="24" t="s">
        <v>2965</v>
      </c>
      <c r="AI1692" s="10" t="s">
        <v>2692</v>
      </c>
    </row>
    <row r="1693" spans="1:37" ht="15.45" customHeight="1" x14ac:dyDescent="0.25">
      <c r="A1693" s="29" t="s">
        <v>2725</v>
      </c>
      <c r="B1693" s="28" t="s">
        <v>2727</v>
      </c>
      <c r="C1693" s="37" t="s">
        <v>2688</v>
      </c>
      <c r="E1693" s="37" t="s">
        <v>2832</v>
      </c>
      <c r="F1693" s="24" t="s">
        <v>2681</v>
      </c>
      <c r="H1693" s="38" t="s">
        <v>2744</v>
      </c>
      <c r="P1693" s="37" t="s">
        <v>204</v>
      </c>
      <c r="S1693" s="10" t="s">
        <v>2390</v>
      </c>
      <c r="U1693" s="22">
        <v>1</v>
      </c>
      <c r="V1693" s="22">
        <v>1</v>
      </c>
      <c r="W1693" s="73">
        <f t="shared" si="81"/>
        <v>32</v>
      </c>
      <c r="X1693" s="80">
        <f t="shared" si="82"/>
        <v>2708</v>
      </c>
      <c r="Y1693" s="82" t="s">
        <v>3591</v>
      </c>
      <c r="Z1693" s="24" t="s">
        <v>2965</v>
      </c>
    </row>
    <row r="1694" spans="1:37" ht="15.45" customHeight="1" x14ac:dyDescent="0.25">
      <c r="A1694" s="29" t="s">
        <v>2726</v>
      </c>
      <c r="B1694" s="28" t="s">
        <v>2728</v>
      </c>
      <c r="C1694" s="37" t="s">
        <v>2688</v>
      </c>
      <c r="E1694" s="37" t="s">
        <v>2832</v>
      </c>
      <c r="F1694" s="24" t="s">
        <v>2681</v>
      </c>
      <c r="H1694" s="38" t="s">
        <v>3009</v>
      </c>
      <c r="S1694" s="10" t="s">
        <v>2433</v>
      </c>
      <c r="U1694" s="22">
        <v>1</v>
      </c>
      <c r="V1694" s="22">
        <v>1</v>
      </c>
      <c r="W1694" s="73">
        <f t="shared" si="81"/>
        <v>33</v>
      </c>
      <c r="X1694" s="80">
        <f t="shared" si="82"/>
        <v>2709</v>
      </c>
      <c r="Y1694" s="82" t="s">
        <v>3584</v>
      </c>
      <c r="AB1694" s="177">
        <v>43132</v>
      </c>
      <c r="AC1694" s="84" t="s">
        <v>2885</v>
      </c>
      <c r="AI1694" s="10" t="s">
        <v>2795</v>
      </c>
    </row>
    <row r="1695" spans="1:37" ht="15.45" customHeight="1" x14ac:dyDescent="0.25">
      <c r="A1695" s="29" t="s">
        <v>4658</v>
      </c>
      <c r="B1695" s="28" t="s">
        <v>1103</v>
      </c>
      <c r="C1695" s="37" t="s">
        <v>2688</v>
      </c>
      <c r="E1695" s="37" t="s">
        <v>2832</v>
      </c>
      <c r="F1695" s="24" t="s">
        <v>2681</v>
      </c>
      <c r="P1695" s="37" t="s">
        <v>1463</v>
      </c>
      <c r="S1695" s="10" t="s">
        <v>3412</v>
      </c>
      <c r="U1695" s="22">
        <v>1</v>
      </c>
      <c r="V1695" s="22">
        <v>50</v>
      </c>
      <c r="W1695" s="73">
        <f t="shared" si="81"/>
        <v>83</v>
      </c>
      <c r="X1695" s="80">
        <f t="shared" si="82"/>
        <v>2759</v>
      </c>
      <c r="Y1695" s="82" t="s">
        <v>3591</v>
      </c>
      <c r="Z1695" s="24" t="s">
        <v>2911</v>
      </c>
      <c r="AB1695" s="177">
        <v>43363</v>
      </c>
      <c r="AC1695" s="84" t="s">
        <v>2885</v>
      </c>
    </row>
    <row r="1696" spans="1:37" ht="15.45" customHeight="1" x14ac:dyDescent="0.25">
      <c r="A1696" s="29" t="s">
        <v>4659</v>
      </c>
      <c r="B1696" s="28" t="s">
        <v>4516</v>
      </c>
      <c r="C1696" s="37" t="s">
        <v>2688</v>
      </c>
      <c r="E1696" s="37" t="s">
        <v>2926</v>
      </c>
      <c r="F1696" s="24" t="s">
        <v>2681</v>
      </c>
      <c r="H1696" s="38" t="s">
        <v>4517</v>
      </c>
      <c r="P1696" s="37" t="s">
        <v>1463</v>
      </c>
      <c r="S1696" s="10" t="s">
        <v>3412</v>
      </c>
      <c r="U1696" s="22">
        <v>1</v>
      </c>
      <c r="V1696" s="22">
        <v>1</v>
      </c>
      <c r="W1696" s="73">
        <f t="shared" si="81"/>
        <v>84</v>
      </c>
      <c r="X1696" s="80">
        <f t="shared" si="82"/>
        <v>2760</v>
      </c>
      <c r="Y1696" s="82" t="s">
        <v>3591</v>
      </c>
      <c r="Z1696" s="24" t="s">
        <v>2553</v>
      </c>
      <c r="AB1696" s="177">
        <v>43454</v>
      </c>
      <c r="AC1696" s="84" t="s">
        <v>2885</v>
      </c>
    </row>
    <row r="1697" spans="1:37" ht="15.45" customHeight="1" x14ac:dyDescent="0.25">
      <c r="A1697" s="29" t="s">
        <v>2805</v>
      </c>
      <c r="B1697" s="28" t="s">
        <v>2690</v>
      </c>
      <c r="C1697" s="37" t="s">
        <v>2688</v>
      </c>
      <c r="E1697" s="37" t="s">
        <v>2832</v>
      </c>
      <c r="F1697" s="24" t="s">
        <v>2681</v>
      </c>
      <c r="H1697" s="38" t="s">
        <v>6022</v>
      </c>
      <c r="J1697" s="214" t="s">
        <v>5279</v>
      </c>
      <c r="P1697" s="37" t="s">
        <v>1463</v>
      </c>
      <c r="S1697" s="10" t="s">
        <v>2512</v>
      </c>
      <c r="U1697" s="22">
        <v>1</v>
      </c>
      <c r="V1697" s="22">
        <v>1</v>
      </c>
      <c r="W1697" s="73">
        <f t="shared" si="81"/>
        <v>85</v>
      </c>
      <c r="X1697" s="80">
        <f t="shared" si="82"/>
        <v>2761</v>
      </c>
      <c r="Y1697" s="82" t="s">
        <v>3591</v>
      </c>
      <c r="Z1697" s="24" t="s">
        <v>2885</v>
      </c>
      <c r="AB1697" s="177">
        <v>43161</v>
      </c>
      <c r="AC1697" s="84" t="s">
        <v>2885</v>
      </c>
    </row>
    <row r="1698" spans="1:37" ht="17.100000000000001" customHeight="1" x14ac:dyDescent="0.25">
      <c r="A1698" s="29" t="s">
        <v>2919</v>
      </c>
      <c r="B1698" s="28" t="s">
        <v>2690</v>
      </c>
      <c r="C1698" s="37" t="s">
        <v>2688</v>
      </c>
      <c r="E1698" s="37" t="s">
        <v>2832</v>
      </c>
      <c r="F1698" s="24" t="s">
        <v>2679</v>
      </c>
      <c r="H1698" s="38" t="s">
        <v>2920</v>
      </c>
      <c r="J1698" s="219"/>
      <c r="N1698" s="151"/>
      <c r="O1698" s="151"/>
      <c r="S1698" s="10" t="s">
        <v>2390</v>
      </c>
      <c r="T1698" s="10" t="s">
        <v>2691</v>
      </c>
      <c r="U1698" s="22">
        <v>1</v>
      </c>
      <c r="V1698" s="22">
        <v>8</v>
      </c>
      <c r="W1698" s="73">
        <f t="shared" si="81"/>
        <v>93</v>
      </c>
      <c r="X1698" s="80">
        <f t="shared" si="82"/>
        <v>2769</v>
      </c>
      <c r="Y1698" s="82" t="s">
        <v>3584</v>
      </c>
      <c r="AA1698" s="183"/>
      <c r="AB1698" s="183"/>
      <c r="AC1698" s="88"/>
      <c r="AD1698" s="88"/>
      <c r="AI1698" s="10" t="s">
        <v>2689</v>
      </c>
    </row>
    <row r="1699" spans="1:37" ht="17.100000000000001" customHeight="1" x14ac:dyDescent="0.25">
      <c r="A1699" s="29" t="s">
        <v>2806</v>
      </c>
      <c r="B1699" s="28" t="s">
        <v>2690</v>
      </c>
      <c r="C1699" s="37" t="s">
        <v>2688</v>
      </c>
      <c r="E1699" s="37" t="s">
        <v>2832</v>
      </c>
      <c r="F1699" s="24" t="s">
        <v>2681</v>
      </c>
      <c r="H1699" s="38" t="s">
        <v>6464</v>
      </c>
      <c r="J1699" s="219"/>
      <c r="N1699" s="151"/>
      <c r="O1699" s="151"/>
      <c r="P1699" s="37" t="s">
        <v>1463</v>
      </c>
      <c r="S1699" s="10" t="s">
        <v>2512</v>
      </c>
      <c r="T1699" s="10" t="s">
        <v>2918</v>
      </c>
      <c r="U1699" s="22">
        <v>1</v>
      </c>
      <c r="V1699" s="22">
        <v>1</v>
      </c>
      <c r="W1699" s="73">
        <f t="shared" si="81"/>
        <v>94</v>
      </c>
      <c r="X1699" s="80">
        <f t="shared" si="82"/>
        <v>2770</v>
      </c>
      <c r="Y1699" s="82" t="s">
        <v>3591</v>
      </c>
      <c r="Z1699" s="26" t="s">
        <v>2808</v>
      </c>
      <c r="AA1699" s="183"/>
      <c r="AB1699" s="183">
        <v>43132</v>
      </c>
      <c r="AC1699" s="84" t="s">
        <v>2885</v>
      </c>
      <c r="AD1699" s="88"/>
      <c r="AI1699" s="10" t="s">
        <v>2807</v>
      </c>
    </row>
    <row r="1700" spans="1:37" ht="17.100000000000001" customHeight="1" x14ac:dyDescent="0.25">
      <c r="A1700" s="31" t="s">
        <v>3214</v>
      </c>
      <c r="B1700" s="28" t="s">
        <v>1509</v>
      </c>
      <c r="C1700" s="37" t="s">
        <v>2688</v>
      </c>
      <c r="E1700" s="37" t="s">
        <v>2832</v>
      </c>
      <c r="F1700" s="24" t="s">
        <v>2679</v>
      </c>
      <c r="H1700" s="38" t="s">
        <v>6477</v>
      </c>
      <c r="L1700" s="103"/>
      <c r="M1700" s="103"/>
      <c r="S1700" s="10" t="s">
        <v>3412</v>
      </c>
      <c r="T1700" s="11"/>
      <c r="U1700" s="21">
        <v>2</v>
      </c>
      <c r="V1700" s="21">
        <v>2</v>
      </c>
      <c r="W1700" s="73">
        <f t="shared" si="81"/>
        <v>96</v>
      </c>
      <c r="X1700" s="80">
        <f t="shared" si="82"/>
        <v>2772</v>
      </c>
      <c r="Y1700" s="82" t="s">
        <v>3584</v>
      </c>
      <c r="AF1700" s="11"/>
      <c r="AG1700" s="11"/>
      <c r="AH1700" s="11"/>
      <c r="AI1700" s="11"/>
      <c r="AJ1700" s="11"/>
      <c r="AK1700" s="11"/>
    </row>
    <row r="1701" spans="1:37" ht="17.100000000000001" customHeight="1" x14ac:dyDescent="0.25">
      <c r="A1701" s="31" t="s">
        <v>6462</v>
      </c>
      <c r="B1701" s="28" t="s">
        <v>1509</v>
      </c>
      <c r="C1701" s="37" t="s">
        <v>2688</v>
      </c>
      <c r="E1701" s="37" t="s">
        <v>2832</v>
      </c>
      <c r="F1701" s="24" t="s">
        <v>2131</v>
      </c>
      <c r="H1701" s="38" t="s">
        <v>6478</v>
      </c>
      <c r="J1701" s="214" t="s">
        <v>6463</v>
      </c>
      <c r="L1701" s="103"/>
      <c r="M1701" s="103"/>
      <c r="S1701" s="10" t="s">
        <v>3436</v>
      </c>
      <c r="T1701" s="11"/>
      <c r="U1701" s="21">
        <v>1</v>
      </c>
      <c r="V1701" s="21">
        <v>1</v>
      </c>
      <c r="W1701" s="73">
        <f t="shared" si="81"/>
        <v>97</v>
      </c>
      <c r="X1701" s="80">
        <f t="shared" si="82"/>
        <v>2773</v>
      </c>
      <c r="Y1701" s="82" t="s">
        <v>3591</v>
      </c>
      <c r="Z1701" s="24" t="s">
        <v>6495</v>
      </c>
      <c r="AA1701" s="177">
        <v>44606</v>
      </c>
      <c r="AB1701" s="177">
        <v>44606</v>
      </c>
      <c r="AC1701" s="84" t="s">
        <v>2885</v>
      </c>
      <c r="AF1701" s="11"/>
      <c r="AG1701" s="11"/>
      <c r="AH1701" s="11"/>
      <c r="AI1701" s="11"/>
      <c r="AJ1701" s="11"/>
      <c r="AK1701" s="11"/>
    </row>
    <row r="1702" spans="1:37" ht="17.100000000000001" customHeight="1" x14ac:dyDescent="0.25">
      <c r="A1702" s="31" t="s">
        <v>4881</v>
      </c>
      <c r="B1702" s="28" t="s">
        <v>384</v>
      </c>
      <c r="C1702" s="37" t="s">
        <v>2688</v>
      </c>
      <c r="E1702" s="37" t="s">
        <v>2832</v>
      </c>
      <c r="F1702" s="24" t="s">
        <v>2679</v>
      </c>
      <c r="H1702" s="38" t="s">
        <v>4892</v>
      </c>
      <c r="J1702" s="214" t="s">
        <v>5279</v>
      </c>
      <c r="L1702" s="103"/>
      <c r="M1702" s="103"/>
      <c r="O1702" s="37" t="s">
        <v>6023</v>
      </c>
      <c r="P1702" s="37" t="s">
        <v>1463</v>
      </c>
      <c r="S1702" s="11" t="s">
        <v>2390</v>
      </c>
      <c r="T1702" s="11"/>
      <c r="U1702" s="21">
        <v>1</v>
      </c>
      <c r="V1702" s="21">
        <v>1</v>
      </c>
      <c r="W1702" s="73">
        <f t="shared" si="81"/>
        <v>98</v>
      </c>
      <c r="X1702" s="80">
        <f t="shared" si="82"/>
        <v>2774</v>
      </c>
      <c r="Y1702" s="82" t="s">
        <v>3591</v>
      </c>
      <c r="Z1702" s="24" t="s">
        <v>2885</v>
      </c>
      <c r="AB1702" s="177">
        <v>43621</v>
      </c>
      <c r="AC1702" s="84" t="s">
        <v>2885</v>
      </c>
      <c r="AF1702" s="11"/>
      <c r="AG1702" s="11"/>
      <c r="AH1702" s="11"/>
      <c r="AI1702" s="11"/>
      <c r="AJ1702" s="11"/>
      <c r="AK1702" s="11"/>
    </row>
    <row r="1703" spans="1:37" ht="17.100000000000001" customHeight="1" x14ac:dyDescent="0.25">
      <c r="A1703" s="165" t="s">
        <v>6024</v>
      </c>
      <c r="B1703" s="28" t="s">
        <v>1820</v>
      </c>
      <c r="C1703" s="37" t="s">
        <v>2688</v>
      </c>
      <c r="E1703" s="37" t="s">
        <v>2832</v>
      </c>
      <c r="F1703" s="24" t="s">
        <v>2679</v>
      </c>
      <c r="J1703" s="214" t="s">
        <v>5279</v>
      </c>
      <c r="L1703" s="103"/>
      <c r="M1703" s="103"/>
      <c r="O1703" s="37" t="s">
        <v>6023</v>
      </c>
      <c r="P1703" s="37" t="s">
        <v>1463</v>
      </c>
      <c r="S1703" s="10" t="s">
        <v>2980</v>
      </c>
      <c r="T1703" s="11" t="s">
        <v>4891</v>
      </c>
      <c r="U1703" s="21">
        <v>4</v>
      </c>
      <c r="V1703" s="21">
        <v>4</v>
      </c>
      <c r="W1703" s="73">
        <f t="shared" si="81"/>
        <v>102</v>
      </c>
      <c r="X1703" s="80">
        <f t="shared" si="82"/>
        <v>2778</v>
      </c>
      <c r="Y1703" s="82" t="s">
        <v>3591</v>
      </c>
      <c r="Z1703" s="24" t="s">
        <v>2885</v>
      </c>
      <c r="AB1703" s="177">
        <v>43621</v>
      </c>
      <c r="AC1703" s="84" t="s">
        <v>2885</v>
      </c>
      <c r="AF1703" s="11"/>
      <c r="AG1703" s="11"/>
      <c r="AH1703" s="11"/>
      <c r="AI1703" s="11"/>
      <c r="AJ1703" s="11"/>
      <c r="AK1703" s="11"/>
    </row>
    <row r="1704" spans="1:37" ht="17.100000000000001" customHeight="1" x14ac:dyDescent="0.25">
      <c r="A1704" s="31" t="s">
        <v>4884</v>
      </c>
      <c r="B1704" s="28" t="s">
        <v>4879</v>
      </c>
      <c r="C1704" s="37" t="s">
        <v>2688</v>
      </c>
      <c r="E1704" s="37" t="s">
        <v>2832</v>
      </c>
      <c r="F1704" s="24" t="s">
        <v>2679</v>
      </c>
      <c r="H1704" s="39"/>
      <c r="J1704" s="214" t="s">
        <v>5279</v>
      </c>
      <c r="L1704" s="103"/>
      <c r="M1704" s="103"/>
      <c r="P1704" s="37" t="s">
        <v>1463</v>
      </c>
      <c r="S1704" s="11" t="s">
        <v>2390</v>
      </c>
      <c r="T1704" s="11"/>
      <c r="U1704" s="21">
        <v>2</v>
      </c>
      <c r="V1704" s="21">
        <v>2</v>
      </c>
      <c r="W1704" s="73">
        <f t="shared" si="81"/>
        <v>104</v>
      </c>
      <c r="X1704" s="80">
        <f t="shared" si="82"/>
        <v>2780</v>
      </c>
      <c r="Y1704" s="82" t="s">
        <v>3591</v>
      </c>
      <c r="Z1704" s="24" t="s">
        <v>2885</v>
      </c>
      <c r="AB1704" s="177">
        <v>43621</v>
      </c>
      <c r="AC1704" s="84" t="s">
        <v>2885</v>
      </c>
      <c r="AF1704" s="11"/>
      <c r="AG1704" s="11"/>
      <c r="AH1704" s="11"/>
      <c r="AI1704" s="11"/>
      <c r="AJ1704" s="11"/>
      <c r="AK1704" s="11"/>
    </row>
    <row r="1705" spans="1:37" ht="17.100000000000001" customHeight="1" x14ac:dyDescent="0.25">
      <c r="A1705" s="31" t="s">
        <v>4883</v>
      </c>
      <c r="B1705" s="28" t="s">
        <v>4880</v>
      </c>
      <c r="C1705" s="37" t="s">
        <v>2688</v>
      </c>
      <c r="E1705" s="37" t="s">
        <v>2832</v>
      </c>
      <c r="F1705" s="24" t="s">
        <v>2679</v>
      </c>
      <c r="H1705" s="39"/>
      <c r="J1705" s="214" t="s">
        <v>5279</v>
      </c>
      <c r="L1705" s="103"/>
      <c r="M1705" s="103"/>
      <c r="P1705" s="37" t="s">
        <v>1463</v>
      </c>
      <c r="S1705" s="11" t="s">
        <v>2390</v>
      </c>
      <c r="T1705" s="11" t="s">
        <v>4890</v>
      </c>
      <c r="U1705" s="21">
        <v>3</v>
      </c>
      <c r="V1705" s="21">
        <v>3</v>
      </c>
      <c r="W1705" s="73">
        <f t="shared" si="81"/>
        <v>107</v>
      </c>
      <c r="X1705" s="80">
        <f t="shared" si="82"/>
        <v>2783</v>
      </c>
      <c r="Y1705" s="82" t="s">
        <v>3591</v>
      </c>
      <c r="Z1705" s="24" t="s">
        <v>2885</v>
      </c>
      <c r="AB1705" s="177">
        <v>43621</v>
      </c>
      <c r="AC1705" s="84" t="s">
        <v>2885</v>
      </c>
      <c r="AF1705" s="11"/>
      <c r="AG1705" s="11"/>
      <c r="AH1705" s="11"/>
      <c r="AI1705" s="11"/>
      <c r="AJ1705" s="11"/>
      <c r="AK1705" s="11"/>
    </row>
    <row r="1706" spans="1:37" ht="17.100000000000001" customHeight="1" x14ac:dyDescent="0.25">
      <c r="A1706" s="165" t="s">
        <v>4885</v>
      </c>
      <c r="B1706" s="28" t="s">
        <v>4886</v>
      </c>
      <c r="C1706" s="37" t="s">
        <v>2688</v>
      </c>
      <c r="E1706" s="37" t="s">
        <v>2832</v>
      </c>
      <c r="F1706" s="24" t="s">
        <v>2679</v>
      </c>
      <c r="H1706" s="39"/>
      <c r="J1706" s="214" t="s">
        <v>5279</v>
      </c>
      <c r="L1706" s="103"/>
      <c r="M1706" s="103"/>
      <c r="P1706" s="37" t="s">
        <v>1463</v>
      </c>
      <c r="S1706" s="11" t="s">
        <v>2390</v>
      </c>
      <c r="T1706" s="11"/>
      <c r="U1706" s="21">
        <v>0</v>
      </c>
      <c r="V1706" s="21">
        <v>0</v>
      </c>
      <c r="W1706" s="73">
        <f t="shared" si="81"/>
        <v>107</v>
      </c>
      <c r="X1706" s="80">
        <f t="shared" si="82"/>
        <v>2783</v>
      </c>
      <c r="Y1706" s="82" t="s">
        <v>3591</v>
      </c>
      <c r="Z1706" s="24" t="s">
        <v>2885</v>
      </c>
      <c r="AB1706" s="177">
        <v>43621</v>
      </c>
      <c r="AC1706" s="84" t="s">
        <v>2885</v>
      </c>
      <c r="AF1706" s="11"/>
      <c r="AG1706" s="11"/>
      <c r="AH1706" s="11"/>
      <c r="AI1706" s="11"/>
      <c r="AJ1706" s="11"/>
      <c r="AK1706" s="11"/>
    </row>
    <row r="1707" spans="1:37" ht="17.100000000000001" customHeight="1" x14ac:dyDescent="0.25">
      <c r="A1707" s="165" t="s">
        <v>4887</v>
      </c>
      <c r="B1707" s="28" t="s">
        <v>640</v>
      </c>
      <c r="C1707" s="37" t="s">
        <v>2688</v>
      </c>
      <c r="E1707" s="37" t="s">
        <v>2832</v>
      </c>
      <c r="F1707" s="24" t="s">
        <v>2679</v>
      </c>
      <c r="H1707" s="39" t="s">
        <v>4888</v>
      </c>
      <c r="J1707" s="214" t="s">
        <v>5279</v>
      </c>
      <c r="L1707" s="103"/>
      <c r="M1707" s="103"/>
      <c r="P1707" s="37" t="s">
        <v>1463</v>
      </c>
      <c r="S1707" s="11" t="s">
        <v>2390</v>
      </c>
      <c r="T1707" s="11"/>
      <c r="U1707" s="21">
        <v>2</v>
      </c>
      <c r="V1707" s="21">
        <v>2</v>
      </c>
      <c r="W1707" s="73">
        <f t="shared" si="81"/>
        <v>109</v>
      </c>
      <c r="X1707" s="80">
        <f t="shared" si="82"/>
        <v>2785</v>
      </c>
      <c r="Y1707" s="82" t="s">
        <v>3591</v>
      </c>
      <c r="Z1707" s="24" t="s">
        <v>2885</v>
      </c>
      <c r="AB1707" s="177">
        <v>43621</v>
      </c>
      <c r="AC1707" s="84" t="s">
        <v>2885</v>
      </c>
      <c r="AF1707" s="11"/>
      <c r="AG1707" s="11"/>
      <c r="AH1707" s="11"/>
      <c r="AI1707" s="11"/>
      <c r="AJ1707" s="11"/>
      <c r="AK1707" s="11"/>
    </row>
    <row r="1708" spans="1:37" ht="17.100000000000001" customHeight="1" x14ac:dyDescent="0.25">
      <c r="A1708" s="165" t="s">
        <v>4887</v>
      </c>
      <c r="B1708" s="28" t="s">
        <v>640</v>
      </c>
      <c r="C1708" s="37" t="s">
        <v>2688</v>
      </c>
      <c r="E1708" s="37" t="s">
        <v>2832</v>
      </c>
      <c r="F1708" s="24" t="s">
        <v>2679</v>
      </c>
      <c r="H1708" s="39" t="s">
        <v>4889</v>
      </c>
      <c r="J1708" s="214" t="s">
        <v>5279</v>
      </c>
      <c r="L1708" s="103"/>
      <c r="M1708" s="103"/>
      <c r="P1708" s="37" t="s">
        <v>1463</v>
      </c>
      <c r="S1708" s="11" t="s">
        <v>2390</v>
      </c>
      <c r="T1708" s="11" t="s">
        <v>4893</v>
      </c>
      <c r="U1708" s="21">
        <v>3</v>
      </c>
      <c r="V1708" s="21">
        <v>3</v>
      </c>
      <c r="W1708" s="73">
        <f t="shared" si="81"/>
        <v>112</v>
      </c>
      <c r="X1708" s="80">
        <f t="shared" si="82"/>
        <v>2788</v>
      </c>
      <c r="Y1708" s="82" t="s">
        <v>3591</v>
      </c>
      <c r="Z1708" s="24" t="s">
        <v>2885</v>
      </c>
      <c r="AB1708" s="177">
        <v>43621</v>
      </c>
      <c r="AC1708" s="84" t="s">
        <v>2885</v>
      </c>
      <c r="AF1708" s="11"/>
      <c r="AG1708" s="11"/>
      <c r="AH1708" s="11"/>
      <c r="AI1708" s="11"/>
      <c r="AJ1708" s="11"/>
      <c r="AK1708" s="11"/>
    </row>
    <row r="1709" spans="1:37" ht="17.100000000000001" customHeight="1" x14ac:dyDescent="0.25">
      <c r="A1709" s="165" t="s">
        <v>6021</v>
      </c>
      <c r="B1709" s="28" t="s">
        <v>4882</v>
      </c>
      <c r="C1709" s="37" t="s">
        <v>2688</v>
      </c>
      <c r="E1709" s="37" t="s">
        <v>2832</v>
      </c>
      <c r="F1709" s="24" t="s">
        <v>2679</v>
      </c>
      <c r="H1709" s="39"/>
      <c r="J1709" s="214" t="s">
        <v>5279</v>
      </c>
      <c r="L1709" s="103"/>
      <c r="M1709" s="103"/>
      <c r="P1709" s="37" t="s">
        <v>1463</v>
      </c>
      <c r="S1709" s="11" t="s">
        <v>2390</v>
      </c>
      <c r="T1709" s="11"/>
      <c r="U1709" s="21">
        <v>2</v>
      </c>
      <c r="V1709" s="21">
        <v>2</v>
      </c>
      <c r="W1709" s="73">
        <f t="shared" si="81"/>
        <v>114</v>
      </c>
      <c r="X1709" s="80">
        <f t="shared" si="82"/>
        <v>2790</v>
      </c>
      <c r="Y1709" s="82" t="s">
        <v>3591</v>
      </c>
      <c r="Z1709" s="24" t="s">
        <v>2885</v>
      </c>
      <c r="AB1709" s="177">
        <v>43621</v>
      </c>
      <c r="AC1709" s="84" t="s">
        <v>2885</v>
      </c>
      <c r="AF1709" s="11"/>
      <c r="AG1709" s="11"/>
      <c r="AH1709" s="11"/>
      <c r="AI1709" s="11"/>
      <c r="AJ1709" s="11"/>
      <c r="AK1709" s="11"/>
    </row>
    <row r="1710" spans="1:37" ht="15.45" customHeight="1" x14ac:dyDescent="0.25">
      <c r="A1710" s="29" t="s">
        <v>5089</v>
      </c>
      <c r="B1710" s="28" t="s">
        <v>412</v>
      </c>
      <c r="C1710" s="37" t="s">
        <v>2688</v>
      </c>
      <c r="E1710" s="37" t="s">
        <v>2832</v>
      </c>
      <c r="F1710" s="24" t="s">
        <v>2679</v>
      </c>
      <c r="H1710" s="38" t="s">
        <v>2744</v>
      </c>
      <c r="P1710" s="37" t="s">
        <v>1603</v>
      </c>
      <c r="U1710" s="22">
        <v>1</v>
      </c>
      <c r="V1710" s="22">
        <v>6</v>
      </c>
      <c r="W1710" s="73">
        <f t="shared" si="81"/>
        <v>120</v>
      </c>
      <c r="X1710" s="80">
        <f t="shared" si="82"/>
        <v>2796</v>
      </c>
      <c r="Y1710" s="82" t="s">
        <v>3592</v>
      </c>
      <c r="Z1710" s="24" t="s">
        <v>2884</v>
      </c>
    </row>
    <row r="1711" spans="1:37" ht="15.45" customHeight="1" x14ac:dyDescent="0.25">
      <c r="A1711" s="29" t="s">
        <v>3355</v>
      </c>
      <c r="B1711" s="28" t="s">
        <v>3356</v>
      </c>
      <c r="C1711" s="37" t="s">
        <v>2688</v>
      </c>
      <c r="E1711" s="37" t="s">
        <v>2832</v>
      </c>
      <c r="F1711" s="24" t="s">
        <v>2681</v>
      </c>
      <c r="H1711" s="38" t="s">
        <v>2744</v>
      </c>
      <c r="P1711" s="37" t="s">
        <v>1603</v>
      </c>
      <c r="T1711" s="10" t="s">
        <v>3010</v>
      </c>
      <c r="U1711" s="22">
        <v>1</v>
      </c>
      <c r="V1711" s="22">
        <v>2</v>
      </c>
      <c r="W1711" s="73">
        <f t="shared" si="81"/>
        <v>122</v>
      </c>
      <c r="X1711" s="80">
        <f t="shared" si="82"/>
        <v>2798</v>
      </c>
      <c r="Y1711" s="82" t="s">
        <v>3592</v>
      </c>
      <c r="Z1711" s="24" t="s">
        <v>2884</v>
      </c>
    </row>
    <row r="1712" spans="1:37" ht="15.45" customHeight="1" x14ac:dyDescent="0.25">
      <c r="A1712" s="194" t="s">
        <v>3016</v>
      </c>
      <c r="B1712" s="28" t="s">
        <v>3011</v>
      </c>
      <c r="C1712" s="37" t="s">
        <v>6465</v>
      </c>
      <c r="E1712" s="37" t="s">
        <v>2832</v>
      </c>
      <c r="F1712" s="24" t="s">
        <v>2681</v>
      </c>
      <c r="H1712" s="44" t="s">
        <v>7126</v>
      </c>
      <c r="I1712" s="117" t="s">
        <v>7127</v>
      </c>
      <c r="J1712" s="219"/>
      <c r="N1712" s="151"/>
      <c r="O1712" s="151"/>
      <c r="S1712" s="18"/>
      <c r="T1712" s="18"/>
      <c r="U1712" s="21">
        <v>1</v>
      </c>
      <c r="V1712" s="21">
        <v>2</v>
      </c>
      <c r="W1712" s="73">
        <f t="shared" si="81"/>
        <v>124</v>
      </c>
      <c r="X1712" s="80">
        <f t="shared" si="82"/>
        <v>2800</v>
      </c>
      <c r="Y1712" s="82" t="s">
        <v>3584</v>
      </c>
      <c r="AA1712" s="183"/>
      <c r="AB1712" s="183"/>
      <c r="AC1712" s="88"/>
      <c r="AD1712" s="88"/>
      <c r="AF1712" s="18"/>
      <c r="AG1712" s="18"/>
      <c r="AH1712" s="18"/>
      <c r="AI1712" s="18"/>
      <c r="AJ1712" s="18"/>
      <c r="AK1712" s="18"/>
    </row>
    <row r="1713" spans="1:37" ht="15.45" customHeight="1" x14ac:dyDescent="0.25">
      <c r="A1713" s="194" t="s">
        <v>3014</v>
      </c>
      <c r="B1713" s="28" t="s">
        <v>3011</v>
      </c>
      <c r="C1713" s="37" t="s">
        <v>6465</v>
      </c>
      <c r="E1713" s="37" t="s">
        <v>2832</v>
      </c>
      <c r="F1713" s="24" t="s">
        <v>2681</v>
      </c>
      <c r="H1713" s="44" t="s">
        <v>7128</v>
      </c>
      <c r="I1713" s="117"/>
      <c r="J1713" s="219"/>
      <c r="N1713" s="151"/>
      <c r="O1713" s="151"/>
      <c r="S1713" s="18"/>
      <c r="T1713" s="18"/>
      <c r="U1713" s="21">
        <v>1</v>
      </c>
      <c r="V1713" s="21">
        <v>2</v>
      </c>
      <c r="W1713" s="73">
        <f t="shared" si="81"/>
        <v>126</v>
      </c>
      <c r="X1713" s="80">
        <f t="shared" si="82"/>
        <v>2802</v>
      </c>
      <c r="Y1713" s="82" t="s">
        <v>3584</v>
      </c>
      <c r="AA1713" s="183"/>
      <c r="AB1713" s="183"/>
      <c r="AC1713" s="88"/>
      <c r="AD1713" s="88"/>
      <c r="AF1713" s="18"/>
      <c r="AG1713" s="18"/>
      <c r="AH1713" s="18"/>
      <c r="AI1713" s="18"/>
      <c r="AJ1713" s="18"/>
      <c r="AK1713" s="18"/>
    </row>
    <row r="1714" spans="1:37" ht="15.45" customHeight="1" x14ac:dyDescent="0.25">
      <c r="A1714" s="194" t="s">
        <v>3015</v>
      </c>
      <c r="B1714" s="28" t="s">
        <v>698</v>
      </c>
      <c r="C1714" s="37" t="s">
        <v>6465</v>
      </c>
      <c r="E1714" s="37" t="s">
        <v>2832</v>
      </c>
      <c r="F1714" s="24" t="s">
        <v>2681</v>
      </c>
      <c r="H1714" s="44" t="s">
        <v>3013</v>
      </c>
      <c r="I1714" s="124" t="s">
        <v>3012</v>
      </c>
      <c r="J1714" s="219"/>
      <c r="N1714" s="151"/>
      <c r="O1714" s="151"/>
      <c r="S1714" s="18"/>
      <c r="T1714" s="18"/>
      <c r="U1714" s="21">
        <v>1</v>
      </c>
      <c r="V1714" s="21">
        <v>2</v>
      </c>
      <c r="W1714" s="73">
        <f t="shared" si="81"/>
        <v>128</v>
      </c>
      <c r="X1714" s="80">
        <f t="shared" si="82"/>
        <v>2804</v>
      </c>
      <c r="Y1714" s="82" t="s">
        <v>3584</v>
      </c>
      <c r="AA1714" s="183"/>
      <c r="AB1714" s="183"/>
      <c r="AC1714" s="88"/>
      <c r="AD1714" s="88"/>
      <c r="AF1714" s="18"/>
      <c r="AG1714" s="18"/>
      <c r="AH1714" s="18"/>
      <c r="AI1714" s="18"/>
      <c r="AJ1714" s="18"/>
      <c r="AK1714" s="18"/>
    </row>
    <row r="1715" spans="1:37" s="51" customFormat="1" ht="15.45" customHeight="1" x14ac:dyDescent="0.25">
      <c r="A1715" s="193" t="s">
        <v>2687</v>
      </c>
      <c r="B1715" s="50"/>
      <c r="C1715" s="49"/>
      <c r="D1715" s="49"/>
      <c r="E1715" s="49"/>
      <c r="F1715" s="50"/>
      <c r="G1715" s="50"/>
      <c r="H1715" s="55"/>
      <c r="I1715" s="110"/>
      <c r="J1715" s="223"/>
      <c r="K1715" s="56"/>
      <c r="L1715" s="100"/>
      <c r="M1715" s="100"/>
      <c r="N1715" s="152"/>
      <c r="O1715" s="152"/>
      <c r="P1715" s="49"/>
      <c r="Q1715" s="49"/>
      <c r="R1715" s="49"/>
      <c r="S1715" s="56"/>
      <c r="T1715" s="56"/>
      <c r="U1715" s="48"/>
      <c r="V1715" s="48"/>
      <c r="W1715" s="74"/>
      <c r="X1715" s="81"/>
      <c r="Y1715" s="132"/>
      <c r="Z1715" s="135"/>
      <c r="AA1715" s="185"/>
      <c r="AB1715" s="185"/>
      <c r="AC1715" s="141"/>
      <c r="AD1715" s="141"/>
      <c r="AE1715" s="83"/>
      <c r="AF1715" s="56"/>
      <c r="AG1715" s="56"/>
      <c r="AH1715" s="56"/>
      <c r="AI1715" s="56"/>
      <c r="AJ1715" s="56"/>
      <c r="AK1715" s="56"/>
    </row>
    <row r="1716" spans="1:37" ht="15.45" customHeight="1" x14ac:dyDescent="0.25">
      <c r="A1716" s="29" t="s">
        <v>3767</v>
      </c>
      <c r="C1716" s="37" t="s">
        <v>2150</v>
      </c>
      <c r="E1716" s="37" t="s">
        <v>2830</v>
      </c>
      <c r="F1716" s="24" t="s">
        <v>2247</v>
      </c>
      <c r="H1716" s="38" t="s">
        <v>3768</v>
      </c>
      <c r="J1716" s="219"/>
      <c r="N1716" s="151"/>
      <c r="O1716" s="151"/>
      <c r="U1716" s="22">
        <v>1</v>
      </c>
      <c r="V1716" s="22">
        <v>12</v>
      </c>
      <c r="W1716" s="73">
        <v>12</v>
      </c>
      <c r="X1716" s="80">
        <f>V1716+X1714</f>
        <v>2816</v>
      </c>
      <c r="Y1716" s="82" t="s">
        <v>3592</v>
      </c>
      <c r="Z1716" s="26" t="s">
        <v>2884</v>
      </c>
      <c r="AA1716" s="183"/>
      <c r="AB1716" s="183"/>
      <c r="AC1716" s="88"/>
      <c r="AD1716" s="88"/>
    </row>
    <row r="1717" spans="1:37" ht="15.45" customHeight="1" x14ac:dyDescent="0.25">
      <c r="A1717" s="29" t="s">
        <v>3766</v>
      </c>
      <c r="C1717" s="37" t="s">
        <v>2150</v>
      </c>
      <c r="E1717" s="37" t="s">
        <v>2830</v>
      </c>
      <c r="F1717" s="24" t="s">
        <v>2247</v>
      </c>
      <c r="H1717" s="38" t="s">
        <v>3769</v>
      </c>
      <c r="J1717" s="219"/>
      <c r="N1717" s="151"/>
      <c r="O1717" s="151"/>
      <c r="U1717" s="22">
        <v>1</v>
      </c>
      <c r="V1717" s="22">
        <v>1</v>
      </c>
      <c r="W1717" s="73">
        <f>W1716+V1717</f>
        <v>13</v>
      </c>
      <c r="X1717" s="80">
        <f>V1717+X1716</f>
        <v>2817</v>
      </c>
      <c r="Y1717" s="82" t="s">
        <v>3592</v>
      </c>
      <c r="Z1717" s="26" t="s">
        <v>2884</v>
      </c>
      <c r="AA1717" s="183"/>
      <c r="AB1717" s="183"/>
      <c r="AC1717" s="88"/>
      <c r="AD1717" s="88"/>
    </row>
    <row r="1718" spans="1:37" ht="15.45" customHeight="1" x14ac:dyDescent="0.25">
      <c r="A1718" s="29" t="s">
        <v>5236</v>
      </c>
      <c r="B1718" s="24" t="s">
        <v>5235</v>
      </c>
      <c r="C1718" s="37" t="s">
        <v>2150</v>
      </c>
      <c r="E1718" s="37" t="s">
        <v>2830</v>
      </c>
      <c r="F1718" s="24" t="s">
        <v>2120</v>
      </c>
      <c r="H1718" s="38" t="s">
        <v>5237</v>
      </c>
      <c r="J1718" s="219" t="s">
        <v>4629</v>
      </c>
      <c r="N1718" s="151"/>
      <c r="O1718" s="151"/>
      <c r="P1718" s="37" t="s">
        <v>1463</v>
      </c>
      <c r="S1718" s="10" t="s">
        <v>3436</v>
      </c>
      <c r="U1718" s="22">
        <v>1</v>
      </c>
      <c r="V1718" s="22">
        <v>1</v>
      </c>
      <c r="W1718" s="73">
        <f>W1717+V1718</f>
        <v>14</v>
      </c>
      <c r="X1718" s="80">
        <f>V1718+X1717</f>
        <v>2818</v>
      </c>
      <c r="Y1718" s="82" t="s">
        <v>2907</v>
      </c>
      <c r="Z1718" s="26"/>
      <c r="AA1718" s="183"/>
      <c r="AB1718" s="183">
        <v>43782</v>
      </c>
      <c r="AC1718" s="84" t="s">
        <v>2885</v>
      </c>
      <c r="AD1718" s="88"/>
    </row>
    <row r="1719" spans="1:37" s="51" customFormat="1" ht="15.45" customHeight="1" x14ac:dyDescent="0.25">
      <c r="A1719" s="192" t="s">
        <v>5267</v>
      </c>
      <c r="B1719" s="50"/>
      <c r="C1719" s="49"/>
      <c r="D1719" s="49"/>
      <c r="E1719" s="49"/>
      <c r="F1719" s="50"/>
      <c r="G1719" s="50"/>
      <c r="H1719" s="196" t="s">
        <v>3770</v>
      </c>
      <c r="I1719" s="197"/>
      <c r="J1719" s="212"/>
      <c r="K1719" s="56"/>
      <c r="L1719" s="100"/>
      <c r="M1719" s="100"/>
      <c r="N1719" s="49"/>
      <c r="O1719" s="49"/>
      <c r="P1719" s="49"/>
      <c r="Q1719" s="49"/>
      <c r="R1719" s="49"/>
      <c r="S1719" s="128"/>
      <c r="T1719" s="128"/>
      <c r="U1719" s="53"/>
      <c r="V1719" s="53"/>
      <c r="W1719" s="74"/>
      <c r="X1719" s="81"/>
      <c r="Y1719" s="132"/>
      <c r="Z1719" s="50"/>
      <c r="AA1719" s="173"/>
      <c r="AB1719" s="173"/>
      <c r="AC1719" s="137"/>
      <c r="AD1719" s="137"/>
      <c r="AE1719" s="83"/>
      <c r="AF1719" s="128"/>
      <c r="AG1719" s="128"/>
      <c r="AH1719" s="128"/>
      <c r="AI1719" s="128"/>
      <c r="AJ1719" s="128"/>
      <c r="AK1719" s="128"/>
    </row>
    <row r="1720" spans="1:37" ht="15.45" customHeight="1" x14ac:dyDescent="0.25">
      <c r="A1720" s="156" t="s">
        <v>6332</v>
      </c>
      <c r="B1720" s="28" t="s">
        <v>6330</v>
      </c>
      <c r="C1720" s="37" t="s">
        <v>756</v>
      </c>
      <c r="D1720" s="37" t="s">
        <v>6334</v>
      </c>
      <c r="E1720" s="37" t="s">
        <v>2830</v>
      </c>
      <c r="F1720" s="24" t="s">
        <v>1195</v>
      </c>
      <c r="H1720" s="168"/>
      <c r="I1720" s="167"/>
      <c r="J1720" s="214" t="s">
        <v>3690</v>
      </c>
      <c r="K1720" s="10" t="s">
        <v>3685</v>
      </c>
      <c r="N1720" s="37" t="s">
        <v>3772</v>
      </c>
      <c r="S1720" s="37"/>
      <c r="T1720" s="37"/>
      <c r="U1720" s="22">
        <v>1</v>
      </c>
      <c r="V1720" s="22">
        <v>1</v>
      </c>
      <c r="W1720" s="73">
        <v>1</v>
      </c>
      <c r="X1720" s="80">
        <f>V1720+X1718</f>
        <v>2819</v>
      </c>
      <c r="Y1720" s="82" t="s">
        <v>3584</v>
      </c>
      <c r="AF1720" s="19"/>
      <c r="AG1720" s="19"/>
      <c r="AH1720" s="19"/>
      <c r="AI1720" s="19"/>
      <c r="AJ1720" s="19"/>
      <c r="AK1720" s="19"/>
    </row>
    <row r="1721" spans="1:37" ht="15.45" customHeight="1" x14ac:dyDescent="0.25">
      <c r="A1721" s="156" t="s">
        <v>6331</v>
      </c>
      <c r="B1721" s="28"/>
      <c r="C1721" s="37" t="s">
        <v>756</v>
      </c>
      <c r="D1721" s="37" t="s">
        <v>6334</v>
      </c>
      <c r="E1721" s="37" t="s">
        <v>2830</v>
      </c>
      <c r="F1721" s="24" t="s">
        <v>1082</v>
      </c>
      <c r="H1721" s="201" t="s">
        <v>6333</v>
      </c>
      <c r="I1721" s="167"/>
      <c r="J1721" s="214" t="s">
        <v>6335</v>
      </c>
      <c r="Q1721" s="37" t="s">
        <v>581</v>
      </c>
      <c r="R1721" s="37" t="s">
        <v>1811</v>
      </c>
      <c r="S1721" s="37"/>
      <c r="T1721" s="37"/>
      <c r="U1721" s="22">
        <v>1</v>
      </c>
      <c r="V1721" s="22">
        <v>1</v>
      </c>
      <c r="W1721" s="73">
        <f>W1720+V1721</f>
        <v>2</v>
      </c>
      <c r="X1721" s="80">
        <f>V1721+X1720</f>
        <v>2820</v>
      </c>
      <c r="Y1721" s="82" t="s">
        <v>3591</v>
      </c>
      <c r="Z1721" s="24" t="s">
        <v>2885</v>
      </c>
      <c r="AB1721" s="177">
        <v>44515</v>
      </c>
      <c r="AC1721" s="84" t="s">
        <v>5308</v>
      </c>
      <c r="AF1721" s="19"/>
      <c r="AG1721" s="19"/>
      <c r="AH1721" s="19"/>
      <c r="AI1721" s="19"/>
      <c r="AJ1721" s="19"/>
      <c r="AK1721" s="19"/>
    </row>
    <row r="1722" spans="1:37" ht="15.45" customHeight="1" x14ac:dyDescent="0.25">
      <c r="A1722" s="156" t="s">
        <v>5740</v>
      </c>
      <c r="B1722" s="28"/>
      <c r="C1722" s="37" t="s">
        <v>756</v>
      </c>
      <c r="E1722" s="37" t="s">
        <v>2830</v>
      </c>
      <c r="F1722" s="24" t="s">
        <v>5225</v>
      </c>
      <c r="H1722" s="168"/>
      <c r="I1722" s="167"/>
      <c r="J1722" s="214" t="s">
        <v>3690</v>
      </c>
      <c r="K1722" s="10" t="s">
        <v>3685</v>
      </c>
      <c r="N1722" s="37" t="s">
        <v>3771</v>
      </c>
      <c r="P1722" s="37" t="s">
        <v>418</v>
      </c>
      <c r="Q1722" s="37" t="s">
        <v>5449</v>
      </c>
      <c r="R1722" s="37" t="s">
        <v>1792</v>
      </c>
      <c r="S1722" s="37"/>
      <c r="T1722" s="37"/>
      <c r="U1722" s="22">
        <v>1</v>
      </c>
      <c r="V1722" s="22">
        <v>1</v>
      </c>
      <c r="W1722" s="73">
        <f t="shared" ref="W1722:W1723" si="83">W1721+V1722</f>
        <v>3</v>
      </c>
      <c r="X1722" s="80">
        <f t="shared" ref="X1722:X1723" si="84">V1722+X1721</f>
        <v>2821</v>
      </c>
      <c r="Y1722" s="82" t="s">
        <v>3584</v>
      </c>
      <c r="AF1722" s="19"/>
      <c r="AG1722" s="19"/>
      <c r="AH1722" s="19"/>
      <c r="AI1722" s="19"/>
      <c r="AJ1722" s="19"/>
      <c r="AK1722" s="19"/>
    </row>
    <row r="1723" spans="1:37" ht="15.45" customHeight="1" x14ac:dyDescent="0.25">
      <c r="A1723" s="156" t="s">
        <v>713</v>
      </c>
      <c r="B1723" s="28"/>
      <c r="C1723" s="37" t="s">
        <v>756</v>
      </c>
      <c r="E1723" s="37" t="s">
        <v>2830</v>
      </c>
      <c r="F1723" s="24" t="s">
        <v>5234</v>
      </c>
      <c r="H1723" s="168"/>
      <c r="I1723" s="167"/>
      <c r="J1723" s="214" t="s">
        <v>3690</v>
      </c>
      <c r="K1723" s="10" t="s">
        <v>3685</v>
      </c>
      <c r="N1723" s="37" t="s">
        <v>3771</v>
      </c>
      <c r="P1723" s="37" t="s">
        <v>419</v>
      </c>
      <c r="Q1723" s="37" t="s">
        <v>1979</v>
      </c>
      <c r="R1723" s="37" t="s">
        <v>1792</v>
      </c>
      <c r="S1723" s="37"/>
      <c r="T1723" s="37"/>
      <c r="U1723" s="22">
        <v>1</v>
      </c>
      <c r="V1723" s="22">
        <v>1</v>
      </c>
      <c r="W1723" s="73">
        <f t="shared" si="83"/>
        <v>4</v>
      </c>
      <c r="X1723" s="80">
        <f t="shared" si="84"/>
        <v>2822</v>
      </c>
      <c r="Y1723" s="82" t="s">
        <v>3584</v>
      </c>
      <c r="AF1723" s="19"/>
      <c r="AG1723" s="19"/>
      <c r="AH1723" s="19"/>
      <c r="AI1723" s="19"/>
      <c r="AJ1723" s="19"/>
      <c r="AK1723" s="19"/>
    </row>
    <row r="1724" spans="1:37" ht="15.45" customHeight="1" x14ac:dyDescent="0.25">
      <c r="A1724" s="156" t="s">
        <v>499</v>
      </c>
      <c r="B1724" s="28"/>
      <c r="C1724" s="37" t="s">
        <v>756</v>
      </c>
      <c r="E1724" s="37" t="s">
        <v>2830</v>
      </c>
      <c r="F1724" s="24" t="s">
        <v>1195</v>
      </c>
      <c r="H1724" s="168"/>
      <c r="I1724" s="167"/>
      <c r="J1724" s="214" t="s">
        <v>3690</v>
      </c>
      <c r="K1724" s="10" t="s">
        <v>3685</v>
      </c>
      <c r="N1724" s="37" t="s">
        <v>3771</v>
      </c>
      <c r="P1724" s="37" t="s">
        <v>420</v>
      </c>
      <c r="Q1724" s="37" t="s">
        <v>3786</v>
      </c>
      <c r="R1724" s="37" t="s">
        <v>1792</v>
      </c>
      <c r="S1724" s="37"/>
      <c r="T1724" s="37"/>
      <c r="U1724" s="22">
        <v>1</v>
      </c>
      <c r="V1724" s="22">
        <v>1</v>
      </c>
      <c r="W1724" s="73">
        <f t="shared" ref="W1724:W1790" si="85">W1723+V1724</f>
        <v>5</v>
      </c>
      <c r="X1724" s="80">
        <f t="shared" ref="X1724:X1790" si="86">V1724+X1723</f>
        <v>2823</v>
      </c>
      <c r="Y1724" s="82" t="s">
        <v>3584</v>
      </c>
      <c r="AF1724" s="19"/>
      <c r="AG1724" s="19"/>
      <c r="AH1724" s="19"/>
      <c r="AI1724" s="19"/>
      <c r="AJ1724" s="19"/>
      <c r="AK1724" s="19"/>
    </row>
    <row r="1725" spans="1:37" ht="15.45" customHeight="1" x14ac:dyDescent="0.25">
      <c r="A1725" s="156" t="s">
        <v>500</v>
      </c>
      <c r="B1725" s="28"/>
      <c r="C1725" s="37" t="s">
        <v>756</v>
      </c>
      <c r="E1725" s="37" t="s">
        <v>2830</v>
      </c>
      <c r="F1725" s="24" t="s">
        <v>1195</v>
      </c>
      <c r="H1725" s="168"/>
      <c r="I1725" s="167"/>
      <c r="J1725" s="214" t="s">
        <v>3690</v>
      </c>
      <c r="K1725" s="10" t="s">
        <v>3685</v>
      </c>
      <c r="N1725" s="37" t="s">
        <v>3771</v>
      </c>
      <c r="P1725" s="37" t="s">
        <v>3784</v>
      </c>
      <c r="Q1725" s="37" t="s">
        <v>3774</v>
      </c>
      <c r="R1725" s="37" t="s">
        <v>1792</v>
      </c>
      <c r="S1725" s="37"/>
      <c r="T1725" s="37"/>
      <c r="U1725" s="22">
        <v>1</v>
      </c>
      <c r="V1725" s="22">
        <v>1</v>
      </c>
      <c r="W1725" s="73">
        <f t="shared" si="85"/>
        <v>6</v>
      </c>
      <c r="X1725" s="80">
        <f t="shared" si="86"/>
        <v>2824</v>
      </c>
      <c r="Y1725" s="82" t="s">
        <v>3584</v>
      </c>
      <c r="AF1725" s="19"/>
      <c r="AG1725" s="19"/>
      <c r="AH1725" s="19"/>
      <c r="AI1725" s="19"/>
      <c r="AJ1725" s="19"/>
      <c r="AK1725" s="19"/>
    </row>
    <row r="1726" spans="1:37" ht="15.45" customHeight="1" x14ac:dyDescent="0.25">
      <c r="A1726" s="156" t="s">
        <v>501</v>
      </c>
      <c r="B1726" s="28"/>
      <c r="C1726" s="37" t="s">
        <v>756</v>
      </c>
      <c r="E1726" s="37" t="s">
        <v>2830</v>
      </c>
      <c r="F1726" s="24" t="s">
        <v>1195</v>
      </c>
      <c r="H1726" s="168"/>
      <c r="I1726" s="167"/>
      <c r="J1726" s="214" t="s">
        <v>3690</v>
      </c>
      <c r="K1726" s="10" t="s">
        <v>3685</v>
      </c>
      <c r="N1726" s="37" t="s">
        <v>3771</v>
      </c>
      <c r="P1726" s="37" t="s">
        <v>3784</v>
      </c>
      <c r="Q1726" s="37" t="s">
        <v>3774</v>
      </c>
      <c r="R1726" s="37" t="s">
        <v>1792</v>
      </c>
      <c r="S1726" s="37"/>
      <c r="T1726" s="37"/>
      <c r="U1726" s="22">
        <v>1</v>
      </c>
      <c r="V1726" s="22">
        <v>1</v>
      </c>
      <c r="W1726" s="73">
        <f t="shared" si="85"/>
        <v>7</v>
      </c>
      <c r="X1726" s="80">
        <f t="shared" si="86"/>
        <v>2825</v>
      </c>
      <c r="Y1726" s="82" t="s">
        <v>3584</v>
      </c>
      <c r="AF1726" s="19"/>
      <c r="AG1726" s="19"/>
      <c r="AH1726" s="19"/>
      <c r="AI1726" s="19"/>
      <c r="AJ1726" s="19"/>
      <c r="AK1726" s="19"/>
    </row>
    <row r="1727" spans="1:37" ht="15.45" customHeight="1" x14ac:dyDescent="0.25">
      <c r="A1727" s="156" t="s">
        <v>654</v>
      </c>
      <c r="B1727" s="28"/>
      <c r="C1727" s="37" t="s">
        <v>756</v>
      </c>
      <c r="E1727" s="37" t="s">
        <v>2830</v>
      </c>
      <c r="F1727" s="24" t="s">
        <v>5234</v>
      </c>
      <c r="H1727" s="168"/>
      <c r="I1727" s="167"/>
      <c r="J1727" s="214" t="s">
        <v>3690</v>
      </c>
      <c r="K1727" s="10" t="s">
        <v>3685</v>
      </c>
      <c r="N1727" s="37" t="s">
        <v>3771</v>
      </c>
      <c r="P1727" s="37" t="s">
        <v>3784</v>
      </c>
      <c r="Q1727" s="37" t="s">
        <v>3774</v>
      </c>
      <c r="R1727" s="37" t="s">
        <v>1792</v>
      </c>
      <c r="S1727" s="37"/>
      <c r="T1727" s="37"/>
      <c r="U1727" s="22">
        <v>2</v>
      </c>
      <c r="V1727" s="22">
        <v>2</v>
      </c>
      <c r="W1727" s="73">
        <f t="shared" si="85"/>
        <v>9</v>
      </c>
      <c r="X1727" s="80">
        <f t="shared" si="86"/>
        <v>2827</v>
      </c>
      <c r="Y1727" s="82" t="s">
        <v>3584</v>
      </c>
      <c r="AF1727" s="19"/>
      <c r="AG1727" s="19"/>
      <c r="AH1727" s="19"/>
      <c r="AI1727" s="19"/>
      <c r="AJ1727" s="19"/>
      <c r="AK1727" s="19"/>
    </row>
    <row r="1728" spans="1:37" ht="15.45" customHeight="1" x14ac:dyDescent="0.25">
      <c r="A1728" s="156" t="s">
        <v>5232</v>
      </c>
      <c r="B1728" s="28"/>
      <c r="C1728" s="37" t="s">
        <v>756</v>
      </c>
      <c r="E1728" s="37" t="s">
        <v>2830</v>
      </c>
      <c r="F1728" s="24" t="s">
        <v>5233</v>
      </c>
      <c r="H1728" s="168"/>
      <c r="I1728" s="167"/>
      <c r="J1728" s="214" t="s">
        <v>3690</v>
      </c>
      <c r="K1728" s="10" t="s">
        <v>3685</v>
      </c>
      <c r="N1728" s="37" t="s">
        <v>3771</v>
      </c>
      <c r="O1728" s="37" t="s">
        <v>5451</v>
      </c>
      <c r="P1728" s="37" t="s">
        <v>5450</v>
      </c>
      <c r="Q1728" s="37" t="s">
        <v>4307</v>
      </c>
      <c r="R1728" s="37" t="s">
        <v>1792</v>
      </c>
      <c r="S1728" s="37"/>
      <c r="T1728" s="37"/>
      <c r="U1728" s="22">
        <v>1</v>
      </c>
      <c r="V1728" s="22">
        <v>1</v>
      </c>
      <c r="W1728" s="73">
        <f t="shared" si="85"/>
        <v>10</v>
      </c>
      <c r="X1728" s="80">
        <f t="shared" si="86"/>
        <v>2828</v>
      </c>
      <c r="Y1728" s="82" t="s">
        <v>3584</v>
      </c>
      <c r="AF1728" s="19"/>
      <c r="AG1728" s="19"/>
      <c r="AH1728" s="19"/>
      <c r="AI1728" s="19"/>
      <c r="AJ1728" s="19"/>
      <c r="AK1728" s="19"/>
    </row>
    <row r="1729" spans="1:37" ht="15.45" customHeight="1" x14ac:dyDescent="0.25">
      <c r="A1729" s="156" t="s">
        <v>873</v>
      </c>
      <c r="B1729" s="28"/>
      <c r="C1729" s="37" t="s">
        <v>756</v>
      </c>
      <c r="E1729" s="37" t="s">
        <v>2830</v>
      </c>
      <c r="F1729" s="24" t="s">
        <v>1195</v>
      </c>
      <c r="H1729" s="168"/>
      <c r="I1729" s="167"/>
      <c r="J1729" s="214" t="s">
        <v>3690</v>
      </c>
      <c r="K1729" s="10" t="s">
        <v>3685</v>
      </c>
      <c r="N1729" s="37" t="s">
        <v>3771</v>
      </c>
      <c r="O1729" s="37" t="s">
        <v>5452</v>
      </c>
      <c r="P1729" s="37" t="s">
        <v>4166</v>
      </c>
      <c r="Q1729" s="37" t="s">
        <v>1979</v>
      </c>
      <c r="R1729" s="37" t="s">
        <v>1792</v>
      </c>
      <c r="S1729" s="37"/>
      <c r="T1729" s="37"/>
      <c r="U1729" s="22">
        <v>2</v>
      </c>
      <c r="V1729" s="22">
        <v>2</v>
      </c>
      <c r="W1729" s="73">
        <f t="shared" si="85"/>
        <v>12</v>
      </c>
      <c r="X1729" s="80">
        <f t="shared" si="86"/>
        <v>2830</v>
      </c>
      <c r="Y1729" s="82" t="s">
        <v>3584</v>
      </c>
      <c r="AF1729" s="19"/>
      <c r="AG1729" s="19"/>
      <c r="AH1729" s="19"/>
      <c r="AI1729" s="19"/>
      <c r="AJ1729" s="19"/>
      <c r="AK1729" s="19"/>
    </row>
    <row r="1730" spans="1:37" ht="15.45" customHeight="1" x14ac:dyDescent="0.25">
      <c r="A1730" s="156" t="s">
        <v>796</v>
      </c>
      <c r="B1730" s="28"/>
      <c r="C1730" s="37" t="s">
        <v>756</v>
      </c>
      <c r="E1730" s="37" t="s">
        <v>2830</v>
      </c>
      <c r="F1730" s="24" t="s">
        <v>1195</v>
      </c>
      <c r="H1730" s="168"/>
      <c r="I1730" s="167"/>
      <c r="J1730" s="214" t="s">
        <v>3690</v>
      </c>
      <c r="K1730" s="10" t="s">
        <v>3685</v>
      </c>
      <c r="N1730" s="37" t="s">
        <v>3771</v>
      </c>
      <c r="O1730" s="37" t="s">
        <v>254</v>
      </c>
      <c r="P1730" s="37" t="s">
        <v>5466</v>
      </c>
      <c r="Q1730" s="37" t="s">
        <v>1979</v>
      </c>
      <c r="R1730" s="37" t="s">
        <v>1792</v>
      </c>
      <c r="S1730" s="37"/>
      <c r="T1730" s="37"/>
      <c r="U1730" s="22">
        <v>1</v>
      </c>
      <c r="V1730" s="22">
        <v>1</v>
      </c>
      <c r="W1730" s="73">
        <f t="shared" si="85"/>
        <v>13</v>
      </c>
      <c r="X1730" s="80">
        <f t="shared" si="86"/>
        <v>2831</v>
      </c>
      <c r="Y1730" s="82" t="s">
        <v>3584</v>
      </c>
      <c r="AF1730" s="19"/>
      <c r="AG1730" s="19"/>
      <c r="AH1730" s="19"/>
      <c r="AI1730" s="19"/>
      <c r="AJ1730" s="19"/>
      <c r="AK1730" s="19"/>
    </row>
    <row r="1731" spans="1:37" ht="15.45" customHeight="1" x14ac:dyDescent="0.25">
      <c r="A1731" s="156" t="s">
        <v>797</v>
      </c>
      <c r="B1731" s="28" t="s">
        <v>5090</v>
      </c>
      <c r="C1731" s="37" t="s">
        <v>756</v>
      </c>
      <c r="E1731" s="37" t="s">
        <v>2830</v>
      </c>
      <c r="F1731" s="24" t="s">
        <v>1195</v>
      </c>
      <c r="H1731" s="168"/>
      <c r="I1731" s="167"/>
      <c r="J1731" s="214" t="s">
        <v>3690</v>
      </c>
      <c r="K1731" s="10" t="s">
        <v>3685</v>
      </c>
      <c r="N1731" s="37" t="s">
        <v>3771</v>
      </c>
      <c r="P1731" s="37" t="s">
        <v>418</v>
      </c>
      <c r="Q1731" s="37" t="s">
        <v>5449</v>
      </c>
      <c r="R1731" s="37" t="s">
        <v>1792</v>
      </c>
      <c r="S1731" s="37"/>
      <c r="T1731" s="37"/>
      <c r="U1731" s="22">
        <v>1</v>
      </c>
      <c r="V1731" s="22">
        <v>1</v>
      </c>
      <c r="W1731" s="73">
        <f t="shared" si="85"/>
        <v>14</v>
      </c>
      <c r="X1731" s="80">
        <f t="shared" si="86"/>
        <v>2832</v>
      </c>
      <c r="Y1731" s="82" t="s">
        <v>3584</v>
      </c>
      <c r="AF1731" s="19"/>
      <c r="AG1731" s="19"/>
      <c r="AH1731" s="19"/>
      <c r="AI1731" s="19"/>
      <c r="AJ1731" s="19"/>
      <c r="AK1731" s="19"/>
    </row>
    <row r="1732" spans="1:37" ht="15.45" customHeight="1" x14ac:dyDescent="0.25">
      <c r="A1732" s="156" t="s">
        <v>802</v>
      </c>
      <c r="B1732" s="28" t="s">
        <v>5090</v>
      </c>
      <c r="C1732" s="37" t="s">
        <v>756</v>
      </c>
      <c r="E1732" s="37" t="s">
        <v>2830</v>
      </c>
      <c r="F1732" s="24" t="s">
        <v>1195</v>
      </c>
      <c r="H1732" s="168"/>
      <c r="I1732" s="167"/>
      <c r="J1732" s="214" t="s">
        <v>3690</v>
      </c>
      <c r="K1732" s="10" t="s">
        <v>3685</v>
      </c>
      <c r="N1732" s="37" t="s">
        <v>3771</v>
      </c>
      <c r="P1732" s="37" t="s">
        <v>418</v>
      </c>
      <c r="Q1732" s="37" t="s">
        <v>5449</v>
      </c>
      <c r="R1732" s="37" t="s">
        <v>1792</v>
      </c>
      <c r="S1732" s="37"/>
      <c r="T1732" s="37"/>
      <c r="U1732" s="22">
        <v>1</v>
      </c>
      <c r="V1732" s="22">
        <v>1</v>
      </c>
      <c r="W1732" s="73">
        <f t="shared" si="85"/>
        <v>15</v>
      </c>
      <c r="X1732" s="80">
        <f t="shared" si="86"/>
        <v>2833</v>
      </c>
      <c r="Y1732" s="82" t="s">
        <v>3584</v>
      </c>
      <c r="AF1732" s="19"/>
      <c r="AG1732" s="19"/>
      <c r="AH1732" s="19"/>
      <c r="AI1732" s="19"/>
      <c r="AJ1732" s="19"/>
      <c r="AK1732" s="19"/>
    </row>
    <row r="1733" spans="1:37" ht="15.45" customHeight="1" x14ac:dyDescent="0.25">
      <c r="A1733" s="156" t="s">
        <v>3357</v>
      </c>
      <c r="B1733" s="28" t="s">
        <v>5090</v>
      </c>
      <c r="C1733" s="37" t="s">
        <v>756</v>
      </c>
      <c r="E1733" s="37" t="s">
        <v>2830</v>
      </c>
      <c r="F1733" s="24" t="s">
        <v>1195</v>
      </c>
      <c r="H1733" s="168"/>
      <c r="I1733" s="167"/>
      <c r="Q1733" s="37" t="s">
        <v>581</v>
      </c>
      <c r="R1733" s="37" t="s">
        <v>1811</v>
      </c>
      <c r="S1733" s="37"/>
      <c r="T1733" s="37"/>
      <c r="U1733" s="22">
        <v>1</v>
      </c>
      <c r="V1733" s="22">
        <v>2</v>
      </c>
      <c r="W1733" s="73">
        <f t="shared" si="85"/>
        <v>17</v>
      </c>
      <c r="X1733" s="80">
        <f t="shared" si="86"/>
        <v>2835</v>
      </c>
      <c r="Y1733" s="82" t="s">
        <v>3592</v>
      </c>
      <c r="Z1733" s="24" t="s">
        <v>2884</v>
      </c>
      <c r="AF1733" s="19"/>
      <c r="AG1733" s="19"/>
      <c r="AH1733" s="19"/>
      <c r="AI1733" s="19"/>
      <c r="AJ1733" s="19"/>
      <c r="AK1733" s="19"/>
    </row>
    <row r="1734" spans="1:37" ht="15.45" customHeight="1" x14ac:dyDescent="0.25">
      <c r="A1734" s="156" t="s">
        <v>256</v>
      </c>
      <c r="B1734" s="28" t="s">
        <v>5090</v>
      </c>
      <c r="C1734" s="37" t="s">
        <v>756</v>
      </c>
      <c r="E1734" s="37" t="s">
        <v>2830</v>
      </c>
      <c r="F1734" s="24" t="s">
        <v>1195</v>
      </c>
      <c r="H1734" s="168"/>
      <c r="I1734" s="167"/>
      <c r="Q1734" s="37" t="s">
        <v>581</v>
      </c>
      <c r="R1734" s="37" t="s">
        <v>1811</v>
      </c>
      <c r="S1734" s="37"/>
      <c r="T1734" s="37"/>
      <c r="U1734" s="22">
        <v>1</v>
      </c>
      <c r="V1734" s="22">
        <v>1</v>
      </c>
      <c r="W1734" s="73">
        <f t="shared" si="85"/>
        <v>18</v>
      </c>
      <c r="X1734" s="80">
        <f t="shared" si="86"/>
        <v>2836</v>
      </c>
      <c r="Y1734" s="82" t="s">
        <v>3592</v>
      </c>
      <c r="Z1734" s="24" t="s">
        <v>2884</v>
      </c>
      <c r="AF1734" s="19"/>
      <c r="AG1734" s="19"/>
      <c r="AH1734" s="19"/>
      <c r="AI1734" s="19"/>
      <c r="AJ1734" s="19"/>
      <c r="AK1734" s="19"/>
    </row>
    <row r="1735" spans="1:37" ht="15.45" customHeight="1" x14ac:dyDescent="0.25">
      <c r="A1735" s="156" t="s">
        <v>3358</v>
      </c>
      <c r="B1735" s="28" t="s">
        <v>5090</v>
      </c>
      <c r="C1735" s="37" t="s">
        <v>756</v>
      </c>
      <c r="E1735" s="37" t="s">
        <v>2830</v>
      </c>
      <c r="F1735" s="24" t="s">
        <v>5229</v>
      </c>
      <c r="H1735" s="168" t="s">
        <v>5091</v>
      </c>
      <c r="I1735" s="167"/>
      <c r="Q1735" s="37" t="s">
        <v>581</v>
      </c>
      <c r="R1735" s="37" t="s">
        <v>1811</v>
      </c>
      <c r="S1735" s="37"/>
      <c r="T1735" s="37"/>
      <c r="U1735" s="22">
        <v>1</v>
      </c>
      <c r="V1735" s="22">
        <v>1</v>
      </c>
      <c r="W1735" s="73">
        <f t="shared" si="85"/>
        <v>19</v>
      </c>
      <c r="X1735" s="80">
        <f t="shared" si="86"/>
        <v>2837</v>
      </c>
      <c r="Y1735" s="82" t="s">
        <v>3592</v>
      </c>
      <c r="Z1735" s="24" t="s">
        <v>2888</v>
      </c>
      <c r="AF1735" s="19"/>
      <c r="AG1735" s="19"/>
      <c r="AH1735" s="19"/>
      <c r="AI1735" s="19"/>
      <c r="AJ1735" s="19"/>
      <c r="AK1735" s="19"/>
    </row>
    <row r="1736" spans="1:37" ht="15.45" customHeight="1" x14ac:dyDescent="0.25">
      <c r="A1736" s="156" t="s">
        <v>3358</v>
      </c>
      <c r="B1736" s="28" t="s">
        <v>5090</v>
      </c>
      <c r="C1736" s="37" t="s">
        <v>756</v>
      </c>
      <c r="E1736" s="37" t="s">
        <v>2830</v>
      </c>
      <c r="F1736" s="24" t="s">
        <v>1082</v>
      </c>
      <c r="H1736" s="168" t="s">
        <v>5092</v>
      </c>
      <c r="I1736" s="167"/>
      <c r="Q1736" s="37" t="s">
        <v>581</v>
      </c>
      <c r="R1736" s="37" t="s">
        <v>1811</v>
      </c>
      <c r="S1736" s="37"/>
      <c r="T1736" s="37"/>
      <c r="U1736" s="22">
        <v>1</v>
      </c>
      <c r="V1736" s="22">
        <v>1</v>
      </c>
      <c r="W1736" s="73">
        <f t="shared" si="85"/>
        <v>20</v>
      </c>
      <c r="X1736" s="80">
        <f t="shared" si="86"/>
        <v>2838</v>
      </c>
      <c r="Y1736" s="82" t="s">
        <v>3591</v>
      </c>
      <c r="Z1736" s="24" t="s">
        <v>4515</v>
      </c>
      <c r="AB1736" s="177">
        <v>43865</v>
      </c>
      <c r="AC1736" s="84" t="s">
        <v>2885</v>
      </c>
      <c r="AF1736" s="19"/>
      <c r="AG1736" s="19"/>
      <c r="AH1736" s="19"/>
      <c r="AI1736" s="19"/>
      <c r="AJ1736" s="19"/>
      <c r="AK1736" s="19"/>
    </row>
    <row r="1737" spans="1:37" ht="15.45" customHeight="1" x14ac:dyDescent="0.25">
      <c r="A1737" s="156" t="s">
        <v>806</v>
      </c>
      <c r="B1737" s="28" t="s">
        <v>5090</v>
      </c>
      <c r="C1737" s="37" t="s">
        <v>756</v>
      </c>
      <c r="E1737" s="37" t="s">
        <v>2830</v>
      </c>
      <c r="F1737" s="24" t="s">
        <v>1195</v>
      </c>
      <c r="H1737" s="168" t="s">
        <v>7132</v>
      </c>
      <c r="I1737" s="167"/>
      <c r="J1737" s="214" t="s">
        <v>3690</v>
      </c>
      <c r="K1737" s="10" t="s">
        <v>3685</v>
      </c>
      <c r="N1737" s="124" t="s">
        <v>3771</v>
      </c>
      <c r="O1737" s="124"/>
      <c r="P1737" s="37" t="s">
        <v>418</v>
      </c>
      <c r="Q1737" s="37" t="s">
        <v>5449</v>
      </c>
      <c r="R1737" s="37" t="s">
        <v>1792</v>
      </c>
      <c r="S1737" s="37"/>
      <c r="T1737" s="37"/>
      <c r="U1737" s="22">
        <v>1</v>
      </c>
      <c r="V1737" s="22">
        <v>1</v>
      </c>
      <c r="W1737" s="73">
        <f t="shared" si="85"/>
        <v>21</v>
      </c>
      <c r="X1737" s="80">
        <f t="shared" si="86"/>
        <v>2839</v>
      </c>
      <c r="Y1737" s="82" t="s">
        <v>3584</v>
      </c>
      <c r="AF1737" s="19"/>
      <c r="AG1737" s="19"/>
      <c r="AH1737" s="19"/>
      <c r="AI1737" s="19"/>
      <c r="AJ1737" s="19"/>
      <c r="AK1737" s="19"/>
    </row>
    <row r="1738" spans="1:37" ht="15.45" customHeight="1" x14ac:dyDescent="0.25">
      <c r="A1738" s="156" t="s">
        <v>5861</v>
      </c>
      <c r="B1738" s="28" t="s">
        <v>5090</v>
      </c>
      <c r="C1738" s="37" t="s">
        <v>756</v>
      </c>
      <c r="E1738" s="37" t="s">
        <v>2830</v>
      </c>
      <c r="F1738" s="24" t="s">
        <v>1082</v>
      </c>
      <c r="H1738" s="201" t="s">
        <v>6328</v>
      </c>
      <c r="I1738" s="167"/>
      <c r="J1738" s="214" t="s">
        <v>5636</v>
      </c>
      <c r="N1738" s="124"/>
      <c r="O1738" s="124" t="s">
        <v>5862</v>
      </c>
      <c r="P1738" s="37" t="s">
        <v>5361</v>
      </c>
      <c r="Q1738" s="37" t="s">
        <v>3506</v>
      </c>
      <c r="S1738" s="37"/>
      <c r="T1738" s="37"/>
      <c r="U1738" s="22">
        <v>1</v>
      </c>
      <c r="V1738" s="22">
        <v>1</v>
      </c>
      <c r="W1738" s="73">
        <f t="shared" si="85"/>
        <v>22</v>
      </c>
      <c r="X1738" s="80">
        <f t="shared" si="86"/>
        <v>2840</v>
      </c>
      <c r="Y1738" s="82" t="s">
        <v>3591</v>
      </c>
      <c r="Z1738" s="24" t="s">
        <v>5863</v>
      </c>
      <c r="AB1738" s="177">
        <v>44398</v>
      </c>
      <c r="AC1738" s="84" t="s">
        <v>2885</v>
      </c>
      <c r="AF1738" s="19"/>
      <c r="AG1738" s="19"/>
      <c r="AH1738" s="19"/>
      <c r="AI1738" s="19"/>
      <c r="AJ1738" s="19"/>
      <c r="AK1738" s="19"/>
    </row>
    <row r="1739" spans="1:37" ht="15.45" customHeight="1" x14ac:dyDescent="0.25">
      <c r="A1739" s="156" t="s">
        <v>6326</v>
      </c>
      <c r="B1739" s="28" t="s">
        <v>5090</v>
      </c>
      <c r="C1739" s="37" t="s">
        <v>756</v>
      </c>
      <c r="E1739" s="37" t="s">
        <v>2830</v>
      </c>
      <c r="F1739" s="24" t="s">
        <v>6327</v>
      </c>
      <c r="H1739" s="201" t="s">
        <v>6329</v>
      </c>
      <c r="I1739" s="167"/>
      <c r="J1739" s="214" t="s">
        <v>5327</v>
      </c>
      <c r="N1739" s="124"/>
      <c r="O1739" s="124"/>
      <c r="P1739" s="37" t="s">
        <v>5361</v>
      </c>
      <c r="Q1739" s="37" t="s">
        <v>3506</v>
      </c>
      <c r="S1739" s="37"/>
      <c r="T1739" s="37"/>
      <c r="U1739" s="22">
        <v>1</v>
      </c>
      <c r="V1739" s="22">
        <v>1</v>
      </c>
      <c r="W1739" s="73">
        <f t="shared" si="85"/>
        <v>23</v>
      </c>
      <c r="X1739" s="80">
        <f t="shared" si="86"/>
        <v>2841</v>
      </c>
      <c r="Y1739" s="82" t="s">
        <v>3591</v>
      </c>
      <c r="Z1739" s="24" t="s">
        <v>2885</v>
      </c>
      <c r="AB1739" s="177">
        <v>44398</v>
      </c>
      <c r="AC1739" s="84" t="s">
        <v>2885</v>
      </c>
      <c r="AF1739" s="19"/>
      <c r="AG1739" s="19"/>
      <c r="AH1739" s="19"/>
      <c r="AI1739" s="19"/>
      <c r="AJ1739" s="19"/>
      <c r="AK1739" s="19"/>
    </row>
    <row r="1740" spans="1:37" ht="15.45" customHeight="1" x14ac:dyDescent="0.25">
      <c r="A1740" s="156" t="s">
        <v>5829</v>
      </c>
      <c r="B1740" s="28"/>
      <c r="C1740" s="37" t="s">
        <v>756</v>
      </c>
      <c r="E1740" s="37" t="s">
        <v>2830</v>
      </c>
      <c r="F1740" s="24" t="s">
        <v>5225</v>
      </c>
      <c r="H1740" s="168"/>
      <c r="I1740" s="167"/>
      <c r="O1740" s="37" t="s">
        <v>5485</v>
      </c>
      <c r="P1740" s="37" t="s">
        <v>1485</v>
      </c>
      <c r="Q1740" s="37" t="s">
        <v>3506</v>
      </c>
      <c r="R1740" s="37" t="s">
        <v>1792</v>
      </c>
      <c r="S1740" s="37"/>
      <c r="T1740" s="37"/>
      <c r="U1740" s="22">
        <v>1</v>
      </c>
      <c r="V1740" s="22">
        <v>1</v>
      </c>
      <c r="W1740" s="73">
        <f t="shared" si="85"/>
        <v>24</v>
      </c>
      <c r="X1740" s="80">
        <f t="shared" si="86"/>
        <v>2842</v>
      </c>
      <c r="Y1740" s="82" t="s">
        <v>3592</v>
      </c>
      <c r="Z1740" s="24" t="s">
        <v>430</v>
      </c>
      <c r="AF1740" s="19"/>
      <c r="AG1740" s="19"/>
      <c r="AH1740" s="19"/>
      <c r="AI1740" s="19"/>
      <c r="AJ1740" s="19"/>
      <c r="AK1740" s="19"/>
    </row>
    <row r="1741" spans="1:37" ht="15.45" customHeight="1" x14ac:dyDescent="0.25">
      <c r="A1741" s="206" t="s">
        <v>5829</v>
      </c>
      <c r="B1741" s="28"/>
      <c r="C1741" s="37" t="s">
        <v>756</v>
      </c>
      <c r="E1741" s="37" t="s">
        <v>2830</v>
      </c>
      <c r="F1741" s="24" t="s">
        <v>5225</v>
      </c>
      <c r="H1741" s="168" t="s">
        <v>5834</v>
      </c>
      <c r="I1741" s="167"/>
      <c r="J1741" s="214" t="s">
        <v>5327</v>
      </c>
      <c r="P1741" s="37" t="s">
        <v>5361</v>
      </c>
      <c r="Q1741" s="37" t="s">
        <v>3506</v>
      </c>
      <c r="R1741" s="37" t="s">
        <v>1792</v>
      </c>
      <c r="S1741" s="37"/>
      <c r="T1741" s="37"/>
      <c r="U1741" s="22">
        <v>1</v>
      </c>
      <c r="V1741" s="22">
        <v>1</v>
      </c>
      <c r="W1741" s="73">
        <f t="shared" si="85"/>
        <v>25</v>
      </c>
      <c r="X1741" s="80">
        <f t="shared" si="86"/>
        <v>2843</v>
      </c>
      <c r="Y1741" s="82" t="s">
        <v>3591</v>
      </c>
      <c r="Z1741" s="24" t="s">
        <v>2885</v>
      </c>
      <c r="AB1741" s="177">
        <v>44383</v>
      </c>
      <c r="AC1741" s="84" t="s">
        <v>5308</v>
      </c>
      <c r="AF1741" s="19"/>
      <c r="AG1741" s="19"/>
      <c r="AH1741" s="19"/>
      <c r="AI1741" s="19"/>
      <c r="AJ1741" s="19"/>
      <c r="AK1741" s="19"/>
    </row>
    <row r="1742" spans="1:37" ht="15.45" customHeight="1" x14ac:dyDescent="0.25">
      <c r="A1742" s="156" t="s">
        <v>874</v>
      </c>
      <c r="B1742" s="28"/>
      <c r="C1742" s="37" t="s">
        <v>756</v>
      </c>
      <c r="E1742" s="37" t="s">
        <v>2830</v>
      </c>
      <c r="F1742" s="24" t="s">
        <v>1195</v>
      </c>
      <c r="H1742" s="168"/>
      <c r="I1742" s="167"/>
      <c r="J1742" s="214" t="s">
        <v>3690</v>
      </c>
      <c r="K1742" s="10" t="s">
        <v>3685</v>
      </c>
      <c r="N1742" s="37" t="s">
        <v>3771</v>
      </c>
      <c r="P1742" s="37" t="s">
        <v>418</v>
      </c>
      <c r="Q1742" s="37" t="s">
        <v>5449</v>
      </c>
      <c r="R1742" s="37" t="s">
        <v>1792</v>
      </c>
      <c r="S1742" s="37"/>
      <c r="T1742" s="37"/>
      <c r="U1742" s="22">
        <v>4</v>
      </c>
      <c r="V1742" s="22">
        <v>4</v>
      </c>
      <c r="W1742" s="73">
        <f t="shared" si="85"/>
        <v>29</v>
      </c>
      <c r="X1742" s="80">
        <f t="shared" si="86"/>
        <v>2847</v>
      </c>
      <c r="Y1742" s="82" t="s">
        <v>3584</v>
      </c>
      <c r="AF1742" s="19"/>
      <c r="AG1742" s="19"/>
      <c r="AH1742" s="19"/>
      <c r="AI1742" s="19"/>
      <c r="AJ1742" s="19"/>
      <c r="AK1742" s="19"/>
    </row>
    <row r="1743" spans="1:37" ht="15.45" customHeight="1" x14ac:dyDescent="0.25">
      <c r="A1743" s="156" t="s">
        <v>807</v>
      </c>
      <c r="B1743" s="28"/>
      <c r="C1743" s="37" t="s">
        <v>756</v>
      </c>
      <c r="E1743" s="37" t="s">
        <v>2830</v>
      </c>
      <c r="F1743" s="24" t="s">
        <v>1195</v>
      </c>
      <c r="H1743" s="168"/>
      <c r="I1743" s="167"/>
      <c r="J1743" s="214" t="s">
        <v>3690</v>
      </c>
      <c r="K1743" s="10" t="s">
        <v>3685</v>
      </c>
      <c r="N1743" s="37" t="s">
        <v>3771</v>
      </c>
      <c r="P1743" s="37" t="s">
        <v>255</v>
      </c>
      <c r="Q1743" s="37" t="s">
        <v>5449</v>
      </c>
      <c r="R1743" s="37" t="s">
        <v>1792</v>
      </c>
      <c r="S1743" s="37"/>
      <c r="T1743" s="37"/>
      <c r="U1743" s="22">
        <v>1</v>
      </c>
      <c r="V1743" s="22">
        <v>1</v>
      </c>
      <c r="W1743" s="73">
        <f t="shared" si="85"/>
        <v>30</v>
      </c>
      <c r="X1743" s="80">
        <f t="shared" si="86"/>
        <v>2848</v>
      </c>
      <c r="Y1743" s="82" t="s">
        <v>3584</v>
      </c>
      <c r="AF1743" s="19"/>
      <c r="AG1743" s="19"/>
      <c r="AH1743" s="19"/>
      <c r="AI1743" s="19"/>
      <c r="AJ1743" s="19"/>
      <c r="AK1743" s="19"/>
    </row>
    <row r="1744" spans="1:37" ht="15.45" customHeight="1" x14ac:dyDescent="0.25">
      <c r="A1744" s="156" t="s">
        <v>808</v>
      </c>
      <c r="B1744" s="28"/>
      <c r="C1744" s="37" t="s">
        <v>756</v>
      </c>
      <c r="E1744" s="37" t="s">
        <v>2830</v>
      </c>
      <c r="F1744" s="24" t="s">
        <v>5229</v>
      </c>
      <c r="H1744" s="168"/>
      <c r="I1744" s="167"/>
      <c r="J1744" s="214" t="s">
        <v>3690</v>
      </c>
      <c r="K1744" s="10" t="s">
        <v>3685</v>
      </c>
      <c r="N1744" s="37" t="s">
        <v>3771</v>
      </c>
      <c r="P1744" s="37" t="s">
        <v>255</v>
      </c>
      <c r="Q1744" s="37" t="s">
        <v>5449</v>
      </c>
      <c r="R1744" s="37" t="s">
        <v>1792</v>
      </c>
      <c r="S1744" s="37"/>
      <c r="T1744" s="37"/>
      <c r="U1744" s="22">
        <v>1</v>
      </c>
      <c r="V1744" s="22">
        <v>1</v>
      </c>
      <c r="W1744" s="73">
        <f t="shared" si="85"/>
        <v>31</v>
      </c>
      <c r="X1744" s="80">
        <f t="shared" si="86"/>
        <v>2849</v>
      </c>
      <c r="Y1744" s="82" t="s">
        <v>3584</v>
      </c>
      <c r="AF1744" s="19"/>
      <c r="AG1744" s="19"/>
      <c r="AH1744" s="19"/>
      <c r="AI1744" s="19"/>
      <c r="AJ1744" s="19"/>
      <c r="AK1744" s="19"/>
    </row>
    <row r="1745" spans="1:37" ht="15.45" customHeight="1" x14ac:dyDescent="0.25">
      <c r="A1745" s="156" t="s">
        <v>803</v>
      </c>
      <c r="B1745" s="28"/>
      <c r="C1745" s="37" t="s">
        <v>756</v>
      </c>
      <c r="E1745" s="37" t="s">
        <v>2830</v>
      </c>
      <c r="F1745" s="24" t="s">
        <v>1195</v>
      </c>
      <c r="H1745" s="168"/>
      <c r="I1745" s="167"/>
      <c r="J1745" s="214" t="s">
        <v>3690</v>
      </c>
      <c r="K1745" s="10" t="s">
        <v>3685</v>
      </c>
      <c r="N1745" s="37" t="s">
        <v>3771</v>
      </c>
      <c r="P1745" s="37" t="s">
        <v>255</v>
      </c>
      <c r="Q1745" s="37" t="s">
        <v>5449</v>
      </c>
      <c r="R1745" s="37" t="s">
        <v>1792</v>
      </c>
      <c r="S1745" s="37"/>
      <c r="T1745" s="37"/>
      <c r="U1745" s="22">
        <v>1</v>
      </c>
      <c r="V1745" s="22">
        <v>1</v>
      </c>
      <c r="W1745" s="73">
        <f t="shared" si="85"/>
        <v>32</v>
      </c>
      <c r="X1745" s="80">
        <f t="shared" si="86"/>
        <v>2850</v>
      </c>
      <c r="Y1745" s="82" t="s">
        <v>3584</v>
      </c>
      <c r="AF1745" s="19"/>
      <c r="AG1745" s="19"/>
      <c r="AH1745" s="19"/>
      <c r="AI1745" s="19"/>
      <c r="AJ1745" s="19"/>
      <c r="AK1745" s="19"/>
    </row>
    <row r="1746" spans="1:37" ht="15.45" customHeight="1" x14ac:dyDescent="0.25">
      <c r="A1746" s="156" t="s">
        <v>801</v>
      </c>
      <c r="B1746" s="28"/>
      <c r="C1746" s="37" t="s">
        <v>756</v>
      </c>
      <c r="E1746" s="37" t="s">
        <v>2830</v>
      </c>
      <c r="F1746" s="24" t="s">
        <v>1195</v>
      </c>
      <c r="H1746" s="168"/>
      <c r="I1746" s="167"/>
      <c r="J1746" s="214" t="s">
        <v>3690</v>
      </c>
      <c r="K1746" s="10" t="s">
        <v>3685</v>
      </c>
      <c r="N1746" s="37" t="s">
        <v>3771</v>
      </c>
      <c r="P1746" s="37" t="s">
        <v>255</v>
      </c>
      <c r="Q1746" s="37" t="s">
        <v>5449</v>
      </c>
      <c r="R1746" s="37" t="s">
        <v>1792</v>
      </c>
      <c r="S1746" s="37"/>
      <c r="T1746" s="37"/>
      <c r="U1746" s="22">
        <v>1</v>
      </c>
      <c r="V1746" s="22">
        <v>1</v>
      </c>
      <c r="W1746" s="73">
        <f t="shared" si="85"/>
        <v>33</v>
      </c>
      <c r="X1746" s="80">
        <f t="shared" si="86"/>
        <v>2851</v>
      </c>
      <c r="Y1746" s="82" t="s">
        <v>3584</v>
      </c>
      <c r="AF1746" s="19"/>
      <c r="AG1746" s="19"/>
      <c r="AH1746" s="19"/>
      <c r="AI1746" s="19"/>
      <c r="AJ1746" s="19"/>
      <c r="AK1746" s="19"/>
    </row>
    <row r="1747" spans="1:37" ht="15.45" customHeight="1" x14ac:dyDescent="0.25">
      <c r="A1747" s="156" t="s">
        <v>1049</v>
      </c>
      <c r="B1747" s="28"/>
      <c r="C1747" s="37" t="s">
        <v>756</v>
      </c>
      <c r="E1747" s="37" t="s">
        <v>2830</v>
      </c>
      <c r="F1747" s="24" t="s">
        <v>1195</v>
      </c>
      <c r="H1747" s="168"/>
      <c r="I1747" s="167"/>
      <c r="J1747" s="214" t="s">
        <v>3690</v>
      </c>
      <c r="K1747" s="10" t="s">
        <v>3685</v>
      </c>
      <c r="N1747" s="37" t="s">
        <v>3771</v>
      </c>
      <c r="O1747" s="37" t="s">
        <v>5455</v>
      </c>
      <c r="P1747" s="37" t="s">
        <v>5453</v>
      </c>
      <c r="Q1747" s="37" t="s">
        <v>5344</v>
      </c>
      <c r="R1747" s="37" t="s">
        <v>3663</v>
      </c>
      <c r="S1747" s="37"/>
      <c r="T1747" s="37"/>
      <c r="U1747" s="22">
        <v>1</v>
      </c>
      <c r="V1747" s="22">
        <v>1</v>
      </c>
      <c r="W1747" s="73">
        <f t="shared" si="85"/>
        <v>34</v>
      </c>
      <c r="X1747" s="80">
        <f t="shared" si="86"/>
        <v>2852</v>
      </c>
      <c r="Y1747" s="82" t="s">
        <v>3584</v>
      </c>
      <c r="AF1747" s="19"/>
      <c r="AG1747" s="19"/>
      <c r="AH1747" s="19"/>
      <c r="AI1747" s="19"/>
      <c r="AJ1747" s="19"/>
      <c r="AK1747" s="19"/>
    </row>
    <row r="1748" spans="1:37" ht="15.45" customHeight="1" x14ac:dyDescent="0.25">
      <c r="A1748" s="156" t="s">
        <v>3359</v>
      </c>
      <c r="B1748" s="28"/>
      <c r="C1748" s="37" t="s">
        <v>756</v>
      </c>
      <c r="E1748" s="37" t="s">
        <v>2830</v>
      </c>
      <c r="F1748" s="24" t="s">
        <v>1195</v>
      </c>
      <c r="H1748" s="168"/>
      <c r="I1748" s="167" t="s">
        <v>3360</v>
      </c>
      <c r="J1748" s="214" t="s">
        <v>3690</v>
      </c>
      <c r="K1748" s="10" t="s">
        <v>3685</v>
      </c>
      <c r="N1748" s="37" t="s">
        <v>3772</v>
      </c>
      <c r="S1748" s="37"/>
      <c r="T1748" s="37"/>
      <c r="U1748" s="22">
        <v>10</v>
      </c>
      <c r="V1748" s="22">
        <v>10</v>
      </c>
      <c r="W1748" s="73">
        <f t="shared" si="85"/>
        <v>44</v>
      </c>
      <c r="X1748" s="80">
        <f t="shared" si="86"/>
        <v>2862</v>
      </c>
      <c r="Y1748" s="82" t="s">
        <v>3584</v>
      </c>
      <c r="AF1748" s="19"/>
      <c r="AG1748" s="19"/>
      <c r="AH1748" s="19"/>
      <c r="AI1748" s="19"/>
      <c r="AJ1748" s="19"/>
      <c r="AK1748" s="19"/>
    </row>
    <row r="1749" spans="1:37" ht="15.45" customHeight="1" x14ac:dyDescent="0.25">
      <c r="A1749" s="156" t="s">
        <v>733</v>
      </c>
      <c r="B1749" s="28"/>
      <c r="C1749" s="37" t="s">
        <v>756</v>
      </c>
      <c r="E1749" s="37" t="s">
        <v>2830</v>
      </c>
      <c r="F1749" s="24" t="s">
        <v>1195</v>
      </c>
      <c r="H1749" s="168"/>
      <c r="I1749" s="167"/>
      <c r="J1749" s="214" t="s">
        <v>3690</v>
      </c>
      <c r="K1749" s="10" t="s">
        <v>3685</v>
      </c>
      <c r="N1749" s="37" t="s">
        <v>3771</v>
      </c>
      <c r="P1749" s="37" t="s">
        <v>5456</v>
      </c>
      <c r="Q1749" s="37" t="s">
        <v>5344</v>
      </c>
      <c r="R1749" s="37" t="s">
        <v>3663</v>
      </c>
      <c r="S1749" s="37"/>
      <c r="T1749" s="37"/>
      <c r="U1749" s="22">
        <v>1</v>
      </c>
      <c r="V1749" s="22">
        <v>1</v>
      </c>
      <c r="W1749" s="73">
        <f t="shared" si="85"/>
        <v>45</v>
      </c>
      <c r="X1749" s="80">
        <f t="shared" si="86"/>
        <v>2863</v>
      </c>
      <c r="Y1749" s="82" t="s">
        <v>3584</v>
      </c>
      <c r="AF1749" s="19"/>
      <c r="AG1749" s="19"/>
      <c r="AH1749" s="19"/>
      <c r="AI1749" s="19"/>
      <c r="AJ1749" s="19"/>
      <c r="AK1749" s="19"/>
    </row>
    <row r="1750" spans="1:37" ht="15.45" customHeight="1" x14ac:dyDescent="0.25">
      <c r="A1750" s="156" t="s">
        <v>321</v>
      </c>
      <c r="B1750" s="28"/>
      <c r="C1750" s="37" t="s">
        <v>756</v>
      </c>
      <c r="E1750" s="37" t="s">
        <v>2830</v>
      </c>
      <c r="F1750" s="24" t="s">
        <v>1195</v>
      </c>
      <c r="H1750" s="168"/>
      <c r="I1750" s="167"/>
      <c r="Q1750" s="37" t="s">
        <v>581</v>
      </c>
      <c r="R1750" s="37" t="s">
        <v>1811</v>
      </c>
      <c r="S1750" s="37"/>
      <c r="T1750" s="37"/>
      <c r="U1750" s="22">
        <v>1</v>
      </c>
      <c r="V1750" s="22">
        <v>1</v>
      </c>
      <c r="W1750" s="73">
        <f t="shared" si="85"/>
        <v>46</v>
      </c>
      <c r="X1750" s="80">
        <f t="shared" si="86"/>
        <v>2864</v>
      </c>
      <c r="Y1750" s="82" t="s">
        <v>3592</v>
      </c>
      <c r="Z1750" s="24" t="s">
        <v>2884</v>
      </c>
      <c r="AF1750" s="19"/>
      <c r="AG1750" s="19"/>
      <c r="AH1750" s="19"/>
      <c r="AI1750" s="19"/>
      <c r="AJ1750" s="19"/>
      <c r="AK1750" s="19"/>
    </row>
    <row r="1751" spans="1:37" ht="15.45" customHeight="1" x14ac:dyDescent="0.25">
      <c r="A1751" s="156" t="s">
        <v>3361</v>
      </c>
      <c r="B1751" s="28"/>
      <c r="C1751" s="37" t="s">
        <v>756</v>
      </c>
      <c r="E1751" s="37" t="s">
        <v>2830</v>
      </c>
      <c r="F1751" s="24" t="s">
        <v>5228</v>
      </c>
      <c r="H1751" s="168" t="s">
        <v>3798</v>
      </c>
      <c r="I1751" s="167"/>
      <c r="Q1751" s="37" t="s">
        <v>581</v>
      </c>
      <c r="R1751" s="37" t="s">
        <v>1811</v>
      </c>
      <c r="S1751" s="37"/>
      <c r="T1751" s="37"/>
      <c r="U1751" s="22">
        <v>1</v>
      </c>
      <c r="V1751" s="22">
        <v>1</v>
      </c>
      <c r="W1751" s="73">
        <f t="shared" si="85"/>
        <v>47</v>
      </c>
      <c r="X1751" s="80">
        <f t="shared" si="86"/>
        <v>2865</v>
      </c>
      <c r="Y1751" s="82" t="s">
        <v>3592</v>
      </c>
      <c r="Z1751" s="24" t="s">
        <v>2884</v>
      </c>
      <c r="AF1751" s="19"/>
      <c r="AG1751" s="19"/>
      <c r="AH1751" s="19"/>
      <c r="AI1751" s="19"/>
      <c r="AJ1751" s="19"/>
      <c r="AK1751" s="19"/>
    </row>
    <row r="1752" spans="1:37" ht="15.45" customHeight="1" x14ac:dyDescent="0.25">
      <c r="A1752" s="156" t="s">
        <v>3215</v>
      </c>
      <c r="B1752" s="28"/>
      <c r="C1752" s="37" t="s">
        <v>756</v>
      </c>
      <c r="E1752" s="37" t="s">
        <v>2830</v>
      </c>
      <c r="F1752" s="24" t="s">
        <v>1195</v>
      </c>
      <c r="H1752" s="168" t="s">
        <v>3797</v>
      </c>
      <c r="I1752" s="167"/>
      <c r="Q1752" s="37" t="s">
        <v>581</v>
      </c>
      <c r="R1752" s="37" t="s">
        <v>1811</v>
      </c>
      <c r="S1752" s="37"/>
      <c r="T1752" s="37"/>
      <c r="U1752" s="22">
        <v>1</v>
      </c>
      <c r="V1752" s="22">
        <v>1</v>
      </c>
      <c r="W1752" s="73">
        <f t="shared" si="85"/>
        <v>48</v>
      </c>
      <c r="X1752" s="80">
        <f t="shared" si="86"/>
        <v>2866</v>
      </c>
      <c r="Y1752" s="82" t="s">
        <v>3592</v>
      </c>
      <c r="Z1752" s="24" t="s">
        <v>2888</v>
      </c>
      <c r="AF1752" s="19"/>
      <c r="AG1752" s="19"/>
      <c r="AH1752" s="19"/>
      <c r="AI1752" s="19"/>
      <c r="AJ1752" s="19"/>
      <c r="AK1752" s="19"/>
    </row>
    <row r="1753" spans="1:37" ht="15.45" customHeight="1" x14ac:dyDescent="0.25">
      <c r="A1753" s="156" t="s">
        <v>734</v>
      </c>
      <c r="B1753" s="28"/>
      <c r="C1753" s="37" t="s">
        <v>756</v>
      </c>
      <c r="E1753" s="37" t="s">
        <v>2830</v>
      </c>
      <c r="F1753" s="24" t="s">
        <v>758</v>
      </c>
      <c r="H1753" s="168"/>
      <c r="I1753" s="167"/>
      <c r="J1753" s="214" t="s">
        <v>3690</v>
      </c>
      <c r="K1753" s="10" t="s">
        <v>3685</v>
      </c>
      <c r="N1753" s="37" t="s">
        <v>3771</v>
      </c>
      <c r="P1753" s="37" t="s">
        <v>322</v>
      </c>
      <c r="Q1753" s="37" t="s">
        <v>3774</v>
      </c>
      <c r="R1753" s="37" t="s">
        <v>1792</v>
      </c>
      <c r="S1753" s="37"/>
      <c r="T1753" s="37"/>
      <c r="U1753" s="22">
        <v>1</v>
      </c>
      <c r="V1753" s="22">
        <v>1</v>
      </c>
      <c r="W1753" s="73">
        <f t="shared" si="85"/>
        <v>49</v>
      </c>
      <c r="X1753" s="80">
        <f t="shared" si="86"/>
        <v>2867</v>
      </c>
      <c r="Y1753" s="82" t="s">
        <v>3584</v>
      </c>
      <c r="AF1753" s="19"/>
      <c r="AG1753" s="19"/>
      <c r="AH1753" s="19"/>
      <c r="AI1753" s="19"/>
      <c r="AJ1753" s="19"/>
      <c r="AK1753" s="19"/>
    </row>
    <row r="1754" spans="1:37" ht="15.45" customHeight="1" x14ac:dyDescent="0.25">
      <c r="A1754" s="156" t="s">
        <v>760</v>
      </c>
      <c r="B1754" s="28"/>
      <c r="C1754" s="37" t="s">
        <v>756</v>
      </c>
      <c r="E1754" s="37" t="s">
        <v>2830</v>
      </c>
      <c r="F1754" s="24" t="s">
        <v>758</v>
      </c>
      <c r="H1754" s="168"/>
      <c r="I1754" s="167"/>
      <c r="J1754" s="214" t="s">
        <v>3690</v>
      </c>
      <c r="K1754" s="10" t="s">
        <v>3685</v>
      </c>
      <c r="N1754" s="37" t="s">
        <v>3771</v>
      </c>
      <c r="O1754" s="37" t="s">
        <v>5458</v>
      </c>
      <c r="P1754" s="37" t="s">
        <v>5457</v>
      </c>
      <c r="Q1754" s="37" t="s">
        <v>1979</v>
      </c>
      <c r="R1754" s="37" t="s">
        <v>1792</v>
      </c>
      <c r="S1754" s="37"/>
      <c r="T1754" s="37"/>
      <c r="U1754" s="22">
        <v>2</v>
      </c>
      <c r="V1754" s="22">
        <v>2</v>
      </c>
      <c r="W1754" s="73">
        <f t="shared" si="85"/>
        <v>51</v>
      </c>
      <c r="X1754" s="80">
        <f t="shared" si="86"/>
        <v>2869</v>
      </c>
      <c r="Y1754" s="82" t="s">
        <v>3584</v>
      </c>
      <c r="AF1754" s="19"/>
      <c r="AG1754" s="19"/>
      <c r="AH1754" s="19"/>
      <c r="AI1754" s="19"/>
      <c r="AJ1754" s="19"/>
      <c r="AK1754" s="19"/>
    </row>
    <row r="1755" spans="1:37" ht="15.45" customHeight="1" x14ac:dyDescent="0.25">
      <c r="A1755" s="156" t="s">
        <v>940</v>
      </c>
      <c r="B1755" s="28"/>
      <c r="C1755" s="37" t="s">
        <v>756</v>
      </c>
      <c r="E1755" s="37" t="s">
        <v>2830</v>
      </c>
      <c r="F1755" s="24" t="s">
        <v>758</v>
      </c>
      <c r="H1755" s="168" t="s">
        <v>7210</v>
      </c>
      <c r="I1755" s="167"/>
      <c r="J1755" s="214" t="s">
        <v>3690</v>
      </c>
      <c r="K1755" s="10" t="s">
        <v>3685</v>
      </c>
      <c r="N1755" s="37" t="s">
        <v>3771</v>
      </c>
      <c r="O1755" s="37" t="s">
        <v>226</v>
      </c>
      <c r="P1755" s="37" t="s">
        <v>196</v>
      </c>
      <c r="Q1755" s="37" t="s">
        <v>4307</v>
      </c>
      <c r="R1755" s="37" t="s">
        <v>1792</v>
      </c>
      <c r="S1755" s="37"/>
      <c r="T1755" s="37"/>
      <c r="U1755" s="22">
        <v>1</v>
      </c>
      <c r="V1755" s="22">
        <v>1</v>
      </c>
      <c r="W1755" s="73">
        <f t="shared" si="85"/>
        <v>52</v>
      </c>
      <c r="X1755" s="80">
        <f t="shared" si="86"/>
        <v>2870</v>
      </c>
      <c r="Y1755" s="82" t="s">
        <v>3584</v>
      </c>
      <c r="AF1755" s="19"/>
      <c r="AG1755" s="19"/>
      <c r="AH1755" s="19"/>
      <c r="AI1755" s="19"/>
      <c r="AJ1755" s="19"/>
      <c r="AK1755" s="19"/>
    </row>
    <row r="1756" spans="1:37" ht="15.45" customHeight="1" x14ac:dyDescent="0.25">
      <c r="A1756" s="156" t="s">
        <v>3216</v>
      </c>
      <c r="B1756" s="28"/>
      <c r="C1756" s="37" t="s">
        <v>756</v>
      </c>
      <c r="E1756" s="37" t="s">
        <v>2830</v>
      </c>
      <c r="F1756" s="24" t="s">
        <v>5231</v>
      </c>
      <c r="H1756" s="168" t="s">
        <v>3796</v>
      </c>
      <c r="I1756" s="167"/>
      <c r="P1756" s="37" t="s">
        <v>3783</v>
      </c>
      <c r="Q1756" s="37" t="s">
        <v>581</v>
      </c>
      <c r="R1756" s="37" t="s">
        <v>1811</v>
      </c>
      <c r="S1756" s="37"/>
      <c r="T1756" s="37"/>
      <c r="U1756" s="22">
        <v>1</v>
      </c>
      <c r="V1756" s="22">
        <v>1</v>
      </c>
      <c r="W1756" s="73">
        <f t="shared" si="85"/>
        <v>53</v>
      </c>
      <c r="X1756" s="80">
        <f t="shared" si="86"/>
        <v>2871</v>
      </c>
      <c r="Y1756" s="82" t="s">
        <v>3592</v>
      </c>
      <c r="Z1756" s="24" t="s">
        <v>2888</v>
      </c>
      <c r="AF1756" s="19"/>
      <c r="AG1756" s="19"/>
      <c r="AH1756" s="19"/>
      <c r="AI1756" s="19"/>
      <c r="AJ1756" s="19"/>
      <c r="AK1756" s="19"/>
    </row>
    <row r="1757" spans="1:37" ht="15.45" customHeight="1" x14ac:dyDescent="0.25">
      <c r="A1757" s="156" t="s">
        <v>1155</v>
      </c>
      <c r="B1757" s="28"/>
      <c r="C1757" s="37" t="s">
        <v>756</v>
      </c>
      <c r="E1757" s="37" t="s">
        <v>2830</v>
      </c>
      <c r="F1757" s="24" t="s">
        <v>758</v>
      </c>
      <c r="H1757" s="168"/>
      <c r="I1757" s="167"/>
      <c r="J1757" s="214" t="s">
        <v>3690</v>
      </c>
      <c r="K1757" s="10" t="s">
        <v>3685</v>
      </c>
      <c r="N1757" s="37" t="s">
        <v>3771</v>
      </c>
      <c r="O1757" s="37" t="s">
        <v>5451</v>
      </c>
      <c r="P1757" s="37" t="s">
        <v>5450</v>
      </c>
      <c r="Q1757" s="37" t="s">
        <v>4307</v>
      </c>
      <c r="R1757" s="37" t="s">
        <v>1792</v>
      </c>
      <c r="S1757" s="37"/>
      <c r="T1757" s="37"/>
      <c r="U1757" s="22">
        <v>1</v>
      </c>
      <c r="V1757" s="22">
        <v>1</v>
      </c>
      <c r="W1757" s="73">
        <f t="shared" si="85"/>
        <v>54</v>
      </c>
      <c r="X1757" s="80">
        <f t="shared" si="86"/>
        <v>2872</v>
      </c>
      <c r="Y1757" s="82" t="s">
        <v>3584</v>
      </c>
      <c r="AF1757" s="19"/>
      <c r="AG1757" s="19"/>
      <c r="AH1757" s="19"/>
      <c r="AI1757" s="19"/>
      <c r="AJ1757" s="19"/>
      <c r="AK1757" s="19"/>
    </row>
    <row r="1758" spans="1:37" ht="15.45" customHeight="1" x14ac:dyDescent="0.25">
      <c r="A1758" s="156" t="s">
        <v>1156</v>
      </c>
      <c r="B1758" s="28"/>
      <c r="C1758" s="37" t="s">
        <v>756</v>
      </c>
      <c r="E1758" s="37" t="s">
        <v>2830</v>
      </c>
      <c r="F1758" s="24" t="s">
        <v>758</v>
      </c>
      <c r="H1758" s="168"/>
      <c r="I1758" s="167"/>
      <c r="J1758" s="214" t="s">
        <v>3690</v>
      </c>
      <c r="K1758" s="10" t="s">
        <v>3685</v>
      </c>
      <c r="N1758" s="37" t="s">
        <v>3771</v>
      </c>
      <c r="O1758" s="37" t="s">
        <v>5452</v>
      </c>
      <c r="P1758" s="37" t="s">
        <v>4166</v>
      </c>
      <c r="Q1758" s="37" t="s">
        <v>1979</v>
      </c>
      <c r="R1758" s="37" t="s">
        <v>1792</v>
      </c>
      <c r="S1758" s="37"/>
      <c r="T1758" s="37"/>
      <c r="U1758" s="22">
        <v>1</v>
      </c>
      <c r="V1758" s="22">
        <v>1</v>
      </c>
      <c r="W1758" s="73">
        <f t="shared" si="85"/>
        <v>55</v>
      </c>
      <c r="X1758" s="80">
        <f t="shared" si="86"/>
        <v>2873</v>
      </c>
      <c r="Y1758" s="82" t="s">
        <v>3584</v>
      </c>
      <c r="AF1758" s="19"/>
      <c r="AG1758" s="19"/>
      <c r="AH1758" s="19"/>
      <c r="AI1758" s="19"/>
      <c r="AJ1758" s="19"/>
      <c r="AK1758" s="19"/>
    </row>
    <row r="1759" spans="1:37" ht="15.45" customHeight="1" x14ac:dyDescent="0.25">
      <c r="A1759" s="156" t="s">
        <v>757</v>
      </c>
      <c r="B1759" s="28"/>
      <c r="C1759" s="37" t="s">
        <v>756</v>
      </c>
      <c r="E1759" s="37" t="s">
        <v>2830</v>
      </c>
      <c r="F1759" s="24" t="s">
        <v>758</v>
      </c>
      <c r="H1759" s="168"/>
      <c r="I1759" s="167"/>
      <c r="J1759" s="214" t="s">
        <v>3690</v>
      </c>
      <c r="K1759" s="10" t="s">
        <v>3685</v>
      </c>
      <c r="N1759" s="37" t="s">
        <v>3771</v>
      </c>
      <c r="O1759" s="37" t="s">
        <v>5452</v>
      </c>
      <c r="P1759" s="37" t="s">
        <v>4166</v>
      </c>
      <c r="Q1759" s="37" t="s">
        <v>1979</v>
      </c>
      <c r="R1759" s="37" t="s">
        <v>1792</v>
      </c>
      <c r="S1759" s="37"/>
      <c r="T1759" s="37"/>
      <c r="U1759" s="22">
        <v>3</v>
      </c>
      <c r="V1759" s="22">
        <v>3</v>
      </c>
      <c r="W1759" s="73">
        <f t="shared" si="85"/>
        <v>58</v>
      </c>
      <c r="X1759" s="80">
        <f t="shared" si="86"/>
        <v>2876</v>
      </c>
      <c r="Y1759" s="82" t="s">
        <v>3584</v>
      </c>
      <c r="AF1759" s="19"/>
      <c r="AG1759" s="19"/>
      <c r="AH1759" s="19"/>
      <c r="AI1759" s="19"/>
      <c r="AJ1759" s="19"/>
      <c r="AK1759" s="19"/>
    </row>
    <row r="1760" spans="1:37" ht="15.45" customHeight="1" x14ac:dyDescent="0.25">
      <c r="A1760" s="156" t="s">
        <v>5230</v>
      </c>
      <c r="B1760" s="28"/>
      <c r="C1760" s="37" t="s">
        <v>756</v>
      </c>
      <c r="E1760" s="37" t="s">
        <v>2830</v>
      </c>
      <c r="F1760" s="24" t="s">
        <v>5231</v>
      </c>
      <c r="H1760" s="168"/>
      <c r="I1760" s="167"/>
      <c r="J1760" s="214" t="s">
        <v>3690</v>
      </c>
      <c r="K1760" s="10" t="s">
        <v>3685</v>
      </c>
      <c r="N1760" s="37" t="s">
        <v>3771</v>
      </c>
      <c r="O1760" s="37" t="s">
        <v>5452</v>
      </c>
      <c r="P1760" s="37" t="s">
        <v>4166</v>
      </c>
      <c r="Q1760" s="37" t="s">
        <v>1979</v>
      </c>
      <c r="R1760" s="37" t="s">
        <v>1792</v>
      </c>
      <c r="S1760" s="37"/>
      <c r="T1760" s="37"/>
      <c r="U1760" s="22">
        <v>1</v>
      </c>
      <c r="V1760" s="22">
        <v>1</v>
      </c>
      <c r="W1760" s="73">
        <f t="shared" si="85"/>
        <v>59</v>
      </c>
      <c r="X1760" s="80">
        <f t="shared" si="86"/>
        <v>2877</v>
      </c>
      <c r="Y1760" s="82" t="s">
        <v>3584</v>
      </c>
      <c r="AF1760" s="19"/>
      <c r="AG1760" s="19"/>
      <c r="AH1760" s="19"/>
      <c r="AI1760" s="19"/>
      <c r="AJ1760" s="19"/>
      <c r="AK1760" s="19"/>
    </row>
    <row r="1761" spans="1:37" ht="15.45" customHeight="1" x14ac:dyDescent="0.25">
      <c r="A1761" s="156" t="s">
        <v>822</v>
      </c>
      <c r="B1761" s="28"/>
      <c r="C1761" s="37" t="s">
        <v>756</v>
      </c>
      <c r="E1761" s="37" t="s">
        <v>2830</v>
      </c>
      <c r="F1761" s="24" t="s">
        <v>5231</v>
      </c>
      <c r="H1761" s="168"/>
      <c r="I1761" s="167"/>
      <c r="J1761" s="214" t="s">
        <v>3690</v>
      </c>
      <c r="K1761" s="10" t="s">
        <v>3685</v>
      </c>
      <c r="N1761" s="37" t="s">
        <v>3771</v>
      </c>
      <c r="O1761" s="37" t="s">
        <v>5452</v>
      </c>
      <c r="P1761" s="37" t="s">
        <v>4166</v>
      </c>
      <c r="Q1761" s="37" t="s">
        <v>1979</v>
      </c>
      <c r="R1761" s="37" t="s">
        <v>1792</v>
      </c>
      <c r="S1761" s="37"/>
      <c r="T1761" s="37"/>
      <c r="U1761" s="22">
        <v>2</v>
      </c>
      <c r="V1761" s="22">
        <v>2</v>
      </c>
      <c r="W1761" s="73">
        <f t="shared" si="85"/>
        <v>61</v>
      </c>
      <c r="X1761" s="80">
        <f t="shared" si="86"/>
        <v>2879</v>
      </c>
      <c r="Y1761" s="82" t="s">
        <v>3584</v>
      </c>
      <c r="AF1761" s="19"/>
      <c r="AG1761" s="19"/>
      <c r="AH1761" s="19"/>
      <c r="AI1761" s="19"/>
      <c r="AJ1761" s="19"/>
      <c r="AK1761" s="19"/>
    </row>
    <row r="1762" spans="1:37" ht="15.45" customHeight="1" x14ac:dyDescent="0.25">
      <c r="A1762" s="156" t="s">
        <v>1055</v>
      </c>
      <c r="B1762" s="28"/>
      <c r="C1762" s="37" t="s">
        <v>756</v>
      </c>
      <c r="E1762" s="37" t="s">
        <v>2830</v>
      </c>
      <c r="F1762" s="24" t="s">
        <v>758</v>
      </c>
      <c r="H1762" s="168"/>
      <c r="I1762" s="167"/>
      <c r="J1762" s="214" t="s">
        <v>3690</v>
      </c>
      <c r="K1762" s="10" t="s">
        <v>3685</v>
      </c>
      <c r="N1762" s="37" t="s">
        <v>3771</v>
      </c>
      <c r="P1762" s="37" t="s">
        <v>255</v>
      </c>
      <c r="Q1762" s="37" t="s">
        <v>5449</v>
      </c>
      <c r="R1762" s="37" t="s">
        <v>1792</v>
      </c>
      <c r="S1762" s="37"/>
      <c r="T1762" s="37"/>
      <c r="U1762" s="22">
        <v>1</v>
      </c>
      <c r="V1762" s="22">
        <v>1</v>
      </c>
      <c r="W1762" s="73">
        <f t="shared" si="85"/>
        <v>62</v>
      </c>
      <c r="X1762" s="80">
        <f t="shared" si="86"/>
        <v>2880</v>
      </c>
      <c r="Y1762" s="82" t="s">
        <v>3584</v>
      </c>
      <c r="AF1762" s="19"/>
      <c r="AG1762" s="19"/>
      <c r="AH1762" s="19"/>
      <c r="AI1762" s="19"/>
      <c r="AJ1762" s="19"/>
      <c r="AK1762" s="19"/>
    </row>
    <row r="1763" spans="1:37" ht="15.45" customHeight="1" x14ac:dyDescent="0.25">
      <c r="A1763" s="156" t="s">
        <v>6354</v>
      </c>
      <c r="B1763" s="209" t="s">
        <v>6236</v>
      </c>
      <c r="C1763" s="37" t="s">
        <v>756</v>
      </c>
      <c r="E1763" s="37" t="s">
        <v>2830</v>
      </c>
      <c r="F1763" s="24" t="s">
        <v>5233</v>
      </c>
      <c r="H1763" s="168" t="s">
        <v>6353</v>
      </c>
      <c r="I1763" s="167"/>
      <c r="Q1763" s="37" t="s">
        <v>581</v>
      </c>
      <c r="R1763" s="37" t="s">
        <v>1811</v>
      </c>
      <c r="S1763" s="37"/>
      <c r="T1763" s="37"/>
      <c r="U1763" s="22">
        <v>1</v>
      </c>
      <c r="V1763" s="22">
        <v>1</v>
      </c>
      <c r="W1763" s="73">
        <f t="shared" si="85"/>
        <v>63</v>
      </c>
      <c r="X1763" s="80">
        <f t="shared" si="86"/>
        <v>2881</v>
      </c>
      <c r="Y1763" s="82" t="s">
        <v>3592</v>
      </c>
      <c r="Z1763" s="24" t="s">
        <v>2888</v>
      </c>
      <c r="AF1763" s="19"/>
      <c r="AG1763" s="19"/>
      <c r="AH1763" s="19"/>
      <c r="AI1763" s="19"/>
      <c r="AJ1763" s="19"/>
      <c r="AK1763" s="19"/>
    </row>
    <row r="1764" spans="1:37" ht="15.45" customHeight="1" x14ac:dyDescent="0.25">
      <c r="A1764" s="156" t="s">
        <v>1076</v>
      </c>
      <c r="B1764" s="209" t="s">
        <v>6236</v>
      </c>
      <c r="C1764" s="37" t="s">
        <v>756</v>
      </c>
      <c r="E1764" s="37" t="s">
        <v>2830</v>
      </c>
      <c r="F1764" s="24" t="s">
        <v>5227</v>
      </c>
      <c r="H1764" s="168"/>
      <c r="I1764" s="167"/>
      <c r="J1764" s="214" t="s">
        <v>3690</v>
      </c>
      <c r="K1764" s="10" t="s">
        <v>3685</v>
      </c>
      <c r="N1764" s="37" t="s">
        <v>3771</v>
      </c>
      <c r="P1764" s="37" t="s">
        <v>255</v>
      </c>
      <c r="Q1764" s="37" t="s">
        <v>5449</v>
      </c>
      <c r="R1764" s="37" t="s">
        <v>1792</v>
      </c>
      <c r="S1764" s="37"/>
      <c r="T1764" s="37"/>
      <c r="U1764" s="22">
        <v>1</v>
      </c>
      <c r="V1764" s="22">
        <v>1</v>
      </c>
      <c r="W1764" s="73">
        <f t="shared" si="85"/>
        <v>64</v>
      </c>
      <c r="X1764" s="80">
        <f t="shared" si="86"/>
        <v>2882</v>
      </c>
      <c r="Y1764" s="82" t="s">
        <v>3584</v>
      </c>
      <c r="AF1764" s="19"/>
      <c r="AG1764" s="19"/>
      <c r="AH1764" s="19"/>
      <c r="AI1764" s="19"/>
      <c r="AJ1764" s="19"/>
      <c r="AK1764" s="19"/>
    </row>
    <row r="1765" spans="1:37" ht="15.45" customHeight="1" x14ac:dyDescent="0.25">
      <c r="A1765" s="156" t="s">
        <v>1076</v>
      </c>
      <c r="B1765" s="209" t="s">
        <v>6236</v>
      </c>
      <c r="C1765" s="37" t="s">
        <v>756</v>
      </c>
      <c r="E1765" s="37" t="s">
        <v>2830</v>
      </c>
      <c r="F1765" s="24" t="s">
        <v>758</v>
      </c>
      <c r="H1765" s="168"/>
      <c r="I1765" s="167"/>
      <c r="J1765" s="214" t="s">
        <v>3690</v>
      </c>
      <c r="K1765" s="10" t="s">
        <v>3685</v>
      </c>
      <c r="N1765" s="37" t="s">
        <v>3771</v>
      </c>
      <c r="P1765" s="37" t="s">
        <v>255</v>
      </c>
      <c r="Q1765" s="37" t="s">
        <v>5449</v>
      </c>
      <c r="R1765" s="37" t="s">
        <v>1792</v>
      </c>
      <c r="S1765" s="37"/>
      <c r="T1765" s="37"/>
      <c r="U1765" s="22">
        <v>1</v>
      </c>
      <c r="V1765" s="22">
        <v>1</v>
      </c>
      <c r="W1765" s="73">
        <f t="shared" si="85"/>
        <v>65</v>
      </c>
      <c r="X1765" s="80">
        <f t="shared" si="86"/>
        <v>2883</v>
      </c>
      <c r="Y1765" s="82" t="s">
        <v>3584</v>
      </c>
      <c r="AF1765" s="19"/>
      <c r="AG1765" s="19"/>
      <c r="AH1765" s="19"/>
      <c r="AI1765" s="19"/>
      <c r="AJ1765" s="19"/>
      <c r="AK1765" s="19"/>
    </row>
    <row r="1766" spans="1:37" ht="15.45" customHeight="1" x14ac:dyDescent="0.25">
      <c r="A1766" s="156" t="s">
        <v>1056</v>
      </c>
      <c r="B1766" s="209" t="s">
        <v>6236</v>
      </c>
      <c r="C1766" s="37" t="s">
        <v>756</v>
      </c>
      <c r="E1766" s="37" t="s">
        <v>2830</v>
      </c>
      <c r="F1766" s="24" t="s">
        <v>5226</v>
      </c>
      <c r="H1766" s="168"/>
      <c r="I1766" s="167"/>
      <c r="J1766" s="214" t="s">
        <v>3690</v>
      </c>
      <c r="K1766" s="10" t="s">
        <v>3685</v>
      </c>
      <c r="N1766" s="37" t="s">
        <v>3771</v>
      </c>
      <c r="P1766" s="37" t="s">
        <v>255</v>
      </c>
      <c r="Q1766" s="37" t="s">
        <v>5449</v>
      </c>
      <c r="R1766" s="37" t="s">
        <v>1792</v>
      </c>
      <c r="S1766" s="37"/>
      <c r="T1766" s="37"/>
      <c r="U1766" s="22">
        <v>1</v>
      </c>
      <c r="V1766" s="22">
        <v>1</v>
      </c>
      <c r="W1766" s="73">
        <f t="shared" si="85"/>
        <v>66</v>
      </c>
      <c r="X1766" s="80">
        <f t="shared" si="86"/>
        <v>2884</v>
      </c>
      <c r="Y1766" s="82" t="s">
        <v>3584</v>
      </c>
      <c r="AF1766" s="19"/>
      <c r="AG1766" s="19"/>
      <c r="AH1766" s="19"/>
      <c r="AI1766" s="19"/>
      <c r="AJ1766" s="19"/>
      <c r="AK1766" s="19"/>
    </row>
    <row r="1767" spans="1:37" ht="15.45" customHeight="1" x14ac:dyDescent="0.25">
      <c r="A1767" s="156" t="s">
        <v>3217</v>
      </c>
      <c r="B1767" s="209" t="s">
        <v>6236</v>
      </c>
      <c r="C1767" s="37" t="s">
        <v>756</v>
      </c>
      <c r="E1767" s="37" t="s">
        <v>2830</v>
      </c>
      <c r="F1767" s="24" t="s">
        <v>758</v>
      </c>
      <c r="H1767" s="168" t="s">
        <v>6237</v>
      </c>
      <c r="I1767" s="167"/>
      <c r="Q1767" s="37" t="s">
        <v>581</v>
      </c>
      <c r="S1767" s="37" t="s">
        <v>3412</v>
      </c>
      <c r="T1767" s="37"/>
      <c r="U1767" s="22">
        <v>1</v>
      </c>
      <c r="V1767" s="22">
        <v>1</v>
      </c>
      <c r="W1767" s="73">
        <f t="shared" si="85"/>
        <v>67</v>
      </c>
      <c r="X1767" s="80">
        <f t="shared" si="86"/>
        <v>2885</v>
      </c>
      <c r="Y1767" s="82" t="s">
        <v>3591</v>
      </c>
      <c r="Z1767" s="24" t="s">
        <v>4515</v>
      </c>
      <c r="AB1767" s="177">
        <v>43865</v>
      </c>
      <c r="AC1767" s="84" t="s">
        <v>2885</v>
      </c>
      <c r="AF1767" s="19"/>
      <c r="AG1767" s="19"/>
      <c r="AH1767" s="19"/>
      <c r="AI1767" s="19"/>
      <c r="AJ1767" s="19"/>
      <c r="AK1767" s="19"/>
    </row>
    <row r="1768" spans="1:37" ht="15.45" customHeight="1" x14ac:dyDescent="0.25">
      <c r="A1768" s="156" t="s">
        <v>561</v>
      </c>
      <c r="B1768" s="28"/>
      <c r="C1768" s="37" t="s">
        <v>756</v>
      </c>
      <c r="E1768" s="37" t="s">
        <v>2830</v>
      </c>
      <c r="F1768" s="24" t="s">
        <v>5229</v>
      </c>
      <c r="H1768" s="168"/>
      <c r="I1768" s="167"/>
      <c r="J1768" s="214" t="s">
        <v>3690</v>
      </c>
      <c r="K1768" s="10" t="s">
        <v>3685</v>
      </c>
      <c r="N1768" s="37" t="s">
        <v>3771</v>
      </c>
      <c r="P1768" s="37" t="s">
        <v>255</v>
      </c>
      <c r="Q1768" s="37" t="s">
        <v>5449</v>
      </c>
      <c r="R1768" s="37" t="s">
        <v>1792</v>
      </c>
      <c r="S1768" s="37"/>
      <c r="T1768" s="37"/>
      <c r="U1768" s="22">
        <v>2</v>
      </c>
      <c r="V1768" s="22">
        <v>2</v>
      </c>
      <c r="W1768" s="73">
        <f t="shared" si="85"/>
        <v>69</v>
      </c>
      <c r="X1768" s="80">
        <f t="shared" si="86"/>
        <v>2887</v>
      </c>
      <c r="Y1768" s="82" t="s">
        <v>3584</v>
      </c>
      <c r="AF1768" s="19"/>
      <c r="AG1768" s="19"/>
      <c r="AH1768" s="19"/>
      <c r="AI1768" s="19"/>
      <c r="AJ1768" s="19"/>
      <c r="AK1768" s="19"/>
    </row>
    <row r="1769" spans="1:37" ht="15.45" customHeight="1" x14ac:dyDescent="0.25">
      <c r="A1769" s="156" t="s">
        <v>1057</v>
      </c>
      <c r="B1769" s="28"/>
      <c r="C1769" s="37" t="s">
        <v>756</v>
      </c>
      <c r="E1769" s="37" t="s">
        <v>2830</v>
      </c>
      <c r="F1769" s="24" t="s">
        <v>758</v>
      </c>
      <c r="H1769" s="168"/>
      <c r="I1769" s="167"/>
      <c r="J1769" s="214" t="s">
        <v>3690</v>
      </c>
      <c r="K1769" s="10" t="s">
        <v>3685</v>
      </c>
      <c r="N1769" s="37" t="s">
        <v>3771</v>
      </c>
      <c r="P1769" s="37" t="s">
        <v>255</v>
      </c>
      <c r="Q1769" s="37" t="s">
        <v>5449</v>
      </c>
      <c r="R1769" s="37" t="s">
        <v>1792</v>
      </c>
      <c r="S1769" s="37"/>
      <c r="T1769" s="37"/>
      <c r="U1769" s="22">
        <v>1</v>
      </c>
      <c r="V1769" s="22">
        <v>1</v>
      </c>
      <c r="W1769" s="73">
        <f t="shared" si="85"/>
        <v>70</v>
      </c>
      <c r="X1769" s="80">
        <f t="shared" si="86"/>
        <v>2888</v>
      </c>
      <c r="Y1769" s="82" t="s">
        <v>3584</v>
      </c>
      <c r="AF1769" s="19"/>
      <c r="AG1769" s="19"/>
      <c r="AH1769" s="19"/>
      <c r="AI1769" s="19"/>
      <c r="AJ1769" s="19"/>
      <c r="AK1769" s="19"/>
    </row>
    <row r="1770" spans="1:37" ht="15.45" customHeight="1" x14ac:dyDescent="0.25">
      <c r="A1770" s="156" t="s">
        <v>764</v>
      </c>
      <c r="B1770" s="28"/>
      <c r="C1770" s="37" t="s">
        <v>756</v>
      </c>
      <c r="E1770" s="37" t="s">
        <v>2830</v>
      </c>
      <c r="F1770" s="24" t="s">
        <v>758</v>
      </c>
      <c r="H1770" s="168"/>
      <c r="I1770" s="167"/>
      <c r="J1770" s="214" t="s">
        <v>3690</v>
      </c>
      <c r="K1770" s="10" t="s">
        <v>3685</v>
      </c>
      <c r="N1770" s="37" t="s">
        <v>3771</v>
      </c>
      <c r="O1770" s="37" t="s">
        <v>227</v>
      </c>
      <c r="P1770" s="37" t="s">
        <v>5459</v>
      </c>
      <c r="Q1770" s="37" t="s">
        <v>1979</v>
      </c>
      <c r="R1770" s="37" t="s">
        <v>1792</v>
      </c>
      <c r="S1770" s="37"/>
      <c r="T1770" s="37"/>
      <c r="U1770" s="22">
        <v>3</v>
      </c>
      <c r="V1770" s="22">
        <v>3</v>
      </c>
      <c r="W1770" s="73">
        <f t="shared" si="85"/>
        <v>73</v>
      </c>
      <c r="X1770" s="80">
        <f t="shared" si="86"/>
        <v>2891</v>
      </c>
      <c r="Y1770" s="82" t="s">
        <v>3584</v>
      </c>
      <c r="AF1770" s="19"/>
      <c r="AG1770" s="19"/>
      <c r="AH1770" s="19"/>
      <c r="AI1770" s="19"/>
      <c r="AJ1770" s="19"/>
      <c r="AK1770" s="19"/>
    </row>
    <row r="1771" spans="1:37" ht="15.45" customHeight="1" x14ac:dyDescent="0.25">
      <c r="A1771" s="156" t="s">
        <v>820</v>
      </c>
      <c r="B1771" s="28"/>
      <c r="C1771" s="37" t="s">
        <v>756</v>
      </c>
      <c r="E1771" s="37" t="s">
        <v>2830</v>
      </c>
      <c r="F1771" s="24" t="s">
        <v>758</v>
      </c>
      <c r="H1771" s="168"/>
      <c r="I1771" s="167"/>
      <c r="J1771" s="214" t="s">
        <v>3690</v>
      </c>
      <c r="K1771" s="10" t="s">
        <v>3685</v>
      </c>
      <c r="N1771" s="37" t="s">
        <v>3771</v>
      </c>
      <c r="P1771" s="37" t="s">
        <v>255</v>
      </c>
      <c r="Q1771" s="37" t="s">
        <v>5449</v>
      </c>
      <c r="R1771" s="37" t="s">
        <v>1792</v>
      </c>
      <c r="S1771" s="37"/>
      <c r="T1771" s="37"/>
      <c r="U1771" s="22">
        <v>2</v>
      </c>
      <c r="V1771" s="22">
        <v>2</v>
      </c>
      <c r="W1771" s="73">
        <f t="shared" si="85"/>
        <v>75</v>
      </c>
      <c r="X1771" s="80">
        <f t="shared" si="86"/>
        <v>2893</v>
      </c>
      <c r="Y1771" s="82" t="s">
        <v>3584</v>
      </c>
      <c r="AF1771" s="19"/>
      <c r="AG1771" s="19"/>
      <c r="AH1771" s="19"/>
      <c r="AI1771" s="19"/>
      <c r="AJ1771" s="19"/>
      <c r="AK1771" s="19"/>
    </row>
    <row r="1772" spans="1:37" ht="15.45" customHeight="1" x14ac:dyDescent="0.25">
      <c r="A1772" s="156" t="s">
        <v>659</v>
      </c>
      <c r="B1772" s="28"/>
      <c r="C1772" s="37" t="s">
        <v>756</v>
      </c>
      <c r="E1772" s="37" t="s">
        <v>2830</v>
      </c>
      <c r="F1772" s="24" t="s">
        <v>758</v>
      </c>
      <c r="H1772" s="168"/>
      <c r="I1772" s="167"/>
      <c r="J1772" s="214" t="s">
        <v>3690</v>
      </c>
      <c r="K1772" s="10" t="s">
        <v>3685</v>
      </c>
      <c r="N1772" s="37" t="s">
        <v>3771</v>
      </c>
      <c r="P1772" s="37" t="s">
        <v>255</v>
      </c>
      <c r="Q1772" s="37" t="s">
        <v>5449</v>
      </c>
      <c r="R1772" s="37" t="s">
        <v>1792</v>
      </c>
      <c r="S1772" s="37"/>
      <c r="T1772" s="37"/>
      <c r="U1772" s="22">
        <v>2</v>
      </c>
      <c r="V1772" s="22">
        <v>2</v>
      </c>
      <c r="W1772" s="73">
        <f t="shared" si="85"/>
        <v>77</v>
      </c>
      <c r="X1772" s="80">
        <f t="shared" si="86"/>
        <v>2895</v>
      </c>
      <c r="Y1772" s="82" t="s">
        <v>3584</v>
      </c>
      <c r="AF1772" s="19"/>
      <c r="AG1772" s="19"/>
      <c r="AH1772" s="19"/>
      <c r="AI1772" s="19"/>
      <c r="AJ1772" s="19"/>
      <c r="AK1772" s="19"/>
    </row>
    <row r="1773" spans="1:37" ht="15.45" customHeight="1" x14ac:dyDescent="0.25">
      <c r="A1773" s="156" t="s">
        <v>1058</v>
      </c>
      <c r="B1773" s="28"/>
      <c r="C1773" s="37" t="s">
        <v>756</v>
      </c>
      <c r="E1773" s="37" t="s">
        <v>2830</v>
      </c>
      <c r="F1773" s="24" t="s">
        <v>758</v>
      </c>
      <c r="H1773" s="168"/>
      <c r="I1773" s="167"/>
      <c r="J1773" s="214" t="s">
        <v>3690</v>
      </c>
      <c r="K1773" s="10" t="s">
        <v>3685</v>
      </c>
      <c r="N1773" s="37" t="s">
        <v>3771</v>
      </c>
      <c r="P1773" s="37" t="s">
        <v>255</v>
      </c>
      <c r="Q1773" s="37" t="s">
        <v>5449</v>
      </c>
      <c r="R1773" s="37" t="s">
        <v>1792</v>
      </c>
      <c r="S1773" s="37"/>
      <c r="T1773" s="37"/>
      <c r="U1773" s="22">
        <v>1</v>
      </c>
      <c r="V1773" s="22">
        <v>1</v>
      </c>
      <c r="W1773" s="73">
        <f t="shared" si="85"/>
        <v>78</v>
      </c>
      <c r="X1773" s="80">
        <f t="shared" si="86"/>
        <v>2896</v>
      </c>
      <c r="Y1773" s="82" t="s">
        <v>3584</v>
      </c>
      <c r="AF1773" s="19"/>
      <c r="AG1773" s="19"/>
      <c r="AH1773" s="19"/>
      <c r="AI1773" s="19"/>
      <c r="AJ1773" s="19"/>
      <c r="AK1773" s="19"/>
    </row>
    <row r="1774" spans="1:37" ht="15.45" customHeight="1" x14ac:dyDescent="0.25">
      <c r="A1774" s="156" t="s">
        <v>1162</v>
      </c>
      <c r="B1774" s="28"/>
      <c r="C1774" s="37" t="s">
        <v>756</v>
      </c>
      <c r="E1774" s="37" t="s">
        <v>2830</v>
      </c>
      <c r="F1774" s="24" t="s">
        <v>758</v>
      </c>
      <c r="H1774" s="168"/>
      <c r="I1774" s="167"/>
      <c r="J1774" s="214" t="s">
        <v>3690</v>
      </c>
      <c r="K1774" s="10" t="s">
        <v>3685</v>
      </c>
      <c r="N1774" s="37" t="s">
        <v>3772</v>
      </c>
      <c r="S1774" s="37"/>
      <c r="T1774" s="37"/>
      <c r="U1774" s="22">
        <v>1</v>
      </c>
      <c r="V1774" s="22">
        <v>1</v>
      </c>
      <c r="W1774" s="73">
        <f t="shared" si="85"/>
        <v>79</v>
      </c>
      <c r="X1774" s="80">
        <f t="shared" si="86"/>
        <v>2897</v>
      </c>
      <c r="Y1774" s="82" t="s">
        <v>3584</v>
      </c>
      <c r="AF1774" s="19"/>
      <c r="AG1774" s="19"/>
      <c r="AH1774" s="19"/>
      <c r="AI1774" s="19"/>
      <c r="AJ1774" s="19"/>
      <c r="AK1774" s="19"/>
    </row>
    <row r="1775" spans="1:37" ht="15.45" customHeight="1" x14ac:dyDescent="0.25">
      <c r="A1775" s="156" t="s">
        <v>951</v>
      </c>
      <c r="B1775" s="28"/>
      <c r="C1775" s="37" t="s">
        <v>756</v>
      </c>
      <c r="E1775" s="37" t="s">
        <v>2830</v>
      </c>
      <c r="F1775" s="24" t="s">
        <v>5233</v>
      </c>
      <c r="H1775" s="168"/>
      <c r="I1775" s="167"/>
      <c r="J1775" s="214" t="s">
        <v>3690</v>
      </c>
      <c r="K1775" s="10" t="s">
        <v>3685</v>
      </c>
      <c r="N1775" s="37" t="s">
        <v>3771</v>
      </c>
      <c r="O1775" s="37" t="s">
        <v>314</v>
      </c>
      <c r="P1775" s="37" t="s">
        <v>5460</v>
      </c>
      <c r="Q1775" s="37" t="s">
        <v>1979</v>
      </c>
      <c r="R1775" s="37" t="s">
        <v>1792</v>
      </c>
      <c r="S1775" s="37"/>
      <c r="T1775" s="37"/>
      <c r="U1775" s="22">
        <v>1</v>
      </c>
      <c r="V1775" s="22">
        <v>1</v>
      </c>
      <c r="W1775" s="73">
        <f t="shared" si="85"/>
        <v>80</v>
      </c>
      <c r="X1775" s="80">
        <f t="shared" si="86"/>
        <v>2898</v>
      </c>
      <c r="Y1775" s="82" t="s">
        <v>3584</v>
      </c>
      <c r="AF1775" s="19"/>
      <c r="AG1775" s="19"/>
      <c r="AH1775" s="19"/>
      <c r="AI1775" s="19"/>
      <c r="AJ1775" s="19"/>
      <c r="AK1775" s="19"/>
    </row>
    <row r="1776" spans="1:37" ht="15.45" customHeight="1" x14ac:dyDescent="0.25">
      <c r="A1776" s="156" t="s">
        <v>956</v>
      </c>
      <c r="B1776" s="28"/>
      <c r="C1776" s="37" t="s">
        <v>756</v>
      </c>
      <c r="E1776" s="37" t="s">
        <v>2830</v>
      </c>
      <c r="F1776" s="24" t="s">
        <v>1451</v>
      </c>
      <c r="H1776" s="168"/>
      <c r="I1776" s="167"/>
      <c r="J1776" s="214" t="s">
        <v>3690</v>
      </c>
      <c r="K1776" s="10" t="s">
        <v>3685</v>
      </c>
      <c r="N1776" s="37" t="s">
        <v>3771</v>
      </c>
      <c r="P1776" s="37" t="s">
        <v>5461</v>
      </c>
      <c r="Q1776" s="37" t="s">
        <v>5462</v>
      </c>
      <c r="R1776" s="37" t="s">
        <v>1792</v>
      </c>
      <c r="S1776" s="37"/>
      <c r="T1776" s="37"/>
      <c r="U1776" s="22">
        <v>1</v>
      </c>
      <c r="V1776" s="22">
        <v>1</v>
      </c>
      <c r="W1776" s="73">
        <f t="shared" si="85"/>
        <v>81</v>
      </c>
      <c r="X1776" s="80">
        <f t="shared" si="86"/>
        <v>2899</v>
      </c>
      <c r="Y1776" s="82" t="s">
        <v>3584</v>
      </c>
      <c r="AF1776" s="19"/>
      <c r="AG1776" s="19"/>
      <c r="AH1776" s="19"/>
      <c r="AI1776" s="19"/>
      <c r="AJ1776" s="19"/>
      <c r="AK1776" s="19"/>
    </row>
    <row r="1777" spans="1:37" ht="15.45" customHeight="1" x14ac:dyDescent="0.25">
      <c r="A1777" s="156" t="s">
        <v>981</v>
      </c>
      <c r="B1777" s="28"/>
      <c r="C1777" s="37" t="s">
        <v>756</v>
      </c>
      <c r="E1777" s="37" t="s">
        <v>2830</v>
      </c>
      <c r="F1777" s="24" t="s">
        <v>1451</v>
      </c>
      <c r="H1777" s="168"/>
      <c r="I1777" s="167"/>
      <c r="J1777" s="214" t="s">
        <v>3690</v>
      </c>
      <c r="K1777" s="10" t="s">
        <v>3685</v>
      </c>
      <c r="N1777" s="37" t="s">
        <v>3771</v>
      </c>
      <c r="O1777" s="37" t="s">
        <v>5451</v>
      </c>
      <c r="P1777" s="37" t="s">
        <v>5450</v>
      </c>
      <c r="Q1777" s="37" t="s">
        <v>4307</v>
      </c>
      <c r="R1777" s="37" t="s">
        <v>1792</v>
      </c>
      <c r="S1777" s="37"/>
      <c r="T1777" s="37"/>
      <c r="U1777" s="22">
        <v>2</v>
      </c>
      <c r="V1777" s="22">
        <v>2</v>
      </c>
      <c r="W1777" s="73">
        <f t="shared" si="85"/>
        <v>83</v>
      </c>
      <c r="X1777" s="80">
        <f t="shared" si="86"/>
        <v>2901</v>
      </c>
      <c r="Y1777" s="82" t="s">
        <v>3584</v>
      </c>
      <c r="AF1777" s="19"/>
      <c r="AG1777" s="19"/>
      <c r="AH1777" s="19"/>
      <c r="AI1777" s="19"/>
      <c r="AJ1777" s="19"/>
      <c r="AK1777" s="19"/>
    </row>
    <row r="1778" spans="1:37" ht="15.45" customHeight="1" x14ac:dyDescent="0.25">
      <c r="A1778" s="156" t="s">
        <v>879</v>
      </c>
      <c r="B1778" s="28"/>
      <c r="C1778" s="37" t="s">
        <v>756</v>
      </c>
      <c r="E1778" s="37" t="s">
        <v>2830</v>
      </c>
      <c r="F1778" s="24" t="s">
        <v>1451</v>
      </c>
      <c r="H1778" s="168"/>
      <c r="I1778" s="167"/>
      <c r="J1778" s="214" t="s">
        <v>3690</v>
      </c>
      <c r="K1778" s="10" t="s">
        <v>3685</v>
      </c>
      <c r="N1778" s="37" t="s">
        <v>3771</v>
      </c>
      <c r="O1778" s="37" t="s">
        <v>5451</v>
      </c>
      <c r="P1778" s="37" t="s">
        <v>5450</v>
      </c>
      <c r="Q1778" s="37" t="s">
        <v>4307</v>
      </c>
      <c r="R1778" s="37" t="s">
        <v>1792</v>
      </c>
      <c r="S1778" s="37"/>
      <c r="T1778" s="37"/>
      <c r="U1778" s="22">
        <v>3</v>
      </c>
      <c r="V1778" s="22">
        <v>3</v>
      </c>
      <c r="W1778" s="73">
        <f t="shared" si="85"/>
        <v>86</v>
      </c>
      <c r="X1778" s="80">
        <f t="shared" si="86"/>
        <v>2904</v>
      </c>
      <c r="Y1778" s="82" t="s">
        <v>3584</v>
      </c>
      <c r="AF1778" s="19"/>
      <c r="AG1778" s="19"/>
      <c r="AH1778" s="19"/>
      <c r="AI1778" s="19"/>
      <c r="AJ1778" s="19"/>
      <c r="AK1778" s="19"/>
    </row>
    <row r="1779" spans="1:37" ht="15.45" customHeight="1" x14ac:dyDescent="0.25">
      <c r="A1779" s="156" t="s">
        <v>1449</v>
      </c>
      <c r="B1779" s="28"/>
      <c r="C1779" s="37" t="s">
        <v>756</v>
      </c>
      <c r="E1779" s="37" t="s">
        <v>2830</v>
      </c>
      <c r="F1779" s="24" t="s">
        <v>1451</v>
      </c>
      <c r="H1779" s="168"/>
      <c r="I1779" s="167"/>
      <c r="J1779" s="214" t="s">
        <v>3690</v>
      </c>
      <c r="K1779" s="10" t="s">
        <v>3685</v>
      </c>
      <c r="N1779" s="37" t="s">
        <v>3771</v>
      </c>
      <c r="O1779" s="37" t="s">
        <v>5451</v>
      </c>
      <c r="P1779" s="37" t="s">
        <v>5450</v>
      </c>
      <c r="Q1779" s="37" t="s">
        <v>4307</v>
      </c>
      <c r="R1779" s="37" t="s">
        <v>1792</v>
      </c>
      <c r="S1779" s="37"/>
      <c r="T1779" s="37"/>
      <c r="U1779" s="22">
        <v>2</v>
      </c>
      <c r="V1779" s="22">
        <v>2</v>
      </c>
      <c r="W1779" s="73">
        <f t="shared" si="85"/>
        <v>88</v>
      </c>
      <c r="X1779" s="80">
        <f t="shared" si="86"/>
        <v>2906</v>
      </c>
      <c r="Y1779" s="82" t="s">
        <v>3584</v>
      </c>
      <c r="AF1779" s="19"/>
      <c r="AG1779" s="19"/>
      <c r="AH1779" s="19"/>
      <c r="AI1779" s="19"/>
      <c r="AJ1779" s="19"/>
      <c r="AK1779" s="19"/>
    </row>
    <row r="1780" spans="1:37" ht="15.45" customHeight="1" x14ac:dyDescent="0.25">
      <c r="A1780" s="156" t="s">
        <v>957</v>
      </c>
      <c r="B1780" s="28"/>
      <c r="C1780" s="37" t="s">
        <v>756</v>
      </c>
      <c r="E1780" s="37" t="s">
        <v>2830</v>
      </c>
      <c r="F1780" s="24" t="s">
        <v>1451</v>
      </c>
      <c r="H1780" s="168"/>
      <c r="I1780" s="167"/>
      <c r="J1780" s="214" t="s">
        <v>3690</v>
      </c>
      <c r="K1780" s="10" t="s">
        <v>3685</v>
      </c>
      <c r="N1780" s="37" t="s">
        <v>3771</v>
      </c>
      <c r="P1780" s="37" t="s">
        <v>3784</v>
      </c>
      <c r="Q1780" s="37" t="s">
        <v>3774</v>
      </c>
      <c r="R1780" s="37" t="s">
        <v>1792</v>
      </c>
      <c r="S1780" s="37"/>
      <c r="T1780" s="37"/>
      <c r="U1780" s="22">
        <v>1</v>
      </c>
      <c r="V1780" s="22">
        <v>1</v>
      </c>
      <c r="W1780" s="73">
        <f t="shared" si="85"/>
        <v>89</v>
      </c>
      <c r="X1780" s="80">
        <f t="shared" si="86"/>
        <v>2907</v>
      </c>
      <c r="Y1780" s="82" t="s">
        <v>3584</v>
      </c>
      <c r="AF1780" s="19"/>
      <c r="AG1780" s="19"/>
      <c r="AH1780" s="19"/>
      <c r="AI1780" s="19"/>
      <c r="AJ1780" s="19"/>
      <c r="AK1780" s="19"/>
    </row>
    <row r="1781" spans="1:37" ht="15.45" customHeight="1" x14ac:dyDescent="0.25">
      <c r="A1781" s="156" t="s">
        <v>1450</v>
      </c>
      <c r="B1781" s="28"/>
      <c r="C1781" s="37" t="s">
        <v>756</v>
      </c>
      <c r="E1781" s="37" t="s">
        <v>2830</v>
      </c>
      <c r="F1781" s="24" t="s">
        <v>1451</v>
      </c>
      <c r="H1781" s="168"/>
      <c r="I1781" s="167"/>
      <c r="J1781" s="214" t="s">
        <v>3690</v>
      </c>
      <c r="K1781" s="10" t="s">
        <v>3685</v>
      </c>
      <c r="N1781" s="37" t="s">
        <v>3771</v>
      </c>
      <c r="P1781" s="37" t="s">
        <v>3784</v>
      </c>
      <c r="Q1781" s="37" t="s">
        <v>3774</v>
      </c>
      <c r="R1781" s="37" t="s">
        <v>1792</v>
      </c>
      <c r="S1781" s="37"/>
      <c r="T1781" s="37"/>
      <c r="U1781" s="22">
        <v>2</v>
      </c>
      <c r="V1781" s="22">
        <v>2</v>
      </c>
      <c r="W1781" s="73">
        <f t="shared" si="85"/>
        <v>91</v>
      </c>
      <c r="X1781" s="80">
        <f t="shared" si="86"/>
        <v>2909</v>
      </c>
      <c r="Y1781" s="82" t="s">
        <v>3584</v>
      </c>
      <c r="AF1781" s="19"/>
      <c r="AG1781" s="19"/>
      <c r="AH1781" s="19"/>
      <c r="AI1781" s="19"/>
      <c r="AJ1781" s="19"/>
      <c r="AK1781" s="19"/>
    </row>
    <row r="1782" spans="1:37" ht="15.45" customHeight="1" x14ac:dyDescent="0.25">
      <c r="A1782" s="156" t="s">
        <v>1065</v>
      </c>
      <c r="B1782" s="28"/>
      <c r="C1782" s="37" t="s">
        <v>756</v>
      </c>
      <c r="E1782" s="37" t="s">
        <v>2830</v>
      </c>
      <c r="F1782" s="24" t="s">
        <v>1451</v>
      </c>
      <c r="H1782" s="168"/>
      <c r="I1782" s="167"/>
      <c r="J1782" s="214" t="s">
        <v>3690</v>
      </c>
      <c r="K1782" s="10" t="s">
        <v>3685</v>
      </c>
      <c r="N1782" s="37" t="s">
        <v>3771</v>
      </c>
      <c r="O1782" s="37" t="s">
        <v>5451</v>
      </c>
      <c r="P1782" s="37" t="s">
        <v>5450</v>
      </c>
      <c r="Q1782" s="37" t="s">
        <v>4307</v>
      </c>
      <c r="R1782" s="37" t="s">
        <v>1792</v>
      </c>
      <c r="S1782" s="37"/>
      <c r="T1782" s="37"/>
      <c r="U1782" s="22">
        <v>1</v>
      </c>
      <c r="V1782" s="22">
        <v>1</v>
      </c>
      <c r="W1782" s="73">
        <f t="shared" si="85"/>
        <v>92</v>
      </c>
      <c r="X1782" s="80">
        <f t="shared" si="86"/>
        <v>2910</v>
      </c>
      <c r="Y1782" s="82" t="s">
        <v>3584</v>
      </c>
      <c r="AF1782" s="19"/>
      <c r="AG1782" s="19"/>
      <c r="AH1782" s="19"/>
      <c r="AI1782" s="19"/>
      <c r="AJ1782" s="19"/>
      <c r="AK1782" s="19"/>
    </row>
    <row r="1783" spans="1:37" ht="15.45" customHeight="1" x14ac:dyDescent="0.25">
      <c r="A1783" s="156" t="s">
        <v>5864</v>
      </c>
      <c r="B1783" s="28"/>
      <c r="C1783" s="37" t="s">
        <v>756</v>
      </c>
      <c r="E1783" s="37" t="s">
        <v>2830</v>
      </c>
      <c r="F1783" s="24" t="s">
        <v>1451</v>
      </c>
      <c r="H1783" s="201" t="s">
        <v>5865</v>
      </c>
      <c r="I1783" s="167"/>
      <c r="J1783" s="214" t="s">
        <v>5327</v>
      </c>
      <c r="O1783" s="37" t="s">
        <v>5866</v>
      </c>
      <c r="P1783" s="37" t="s">
        <v>5361</v>
      </c>
      <c r="Q1783" s="37" t="s">
        <v>3506</v>
      </c>
      <c r="R1783" s="37" t="s">
        <v>1792</v>
      </c>
      <c r="S1783" s="37" t="s">
        <v>3412</v>
      </c>
      <c r="T1783" s="37"/>
      <c r="U1783" s="22">
        <v>1</v>
      </c>
      <c r="V1783" s="22">
        <v>1</v>
      </c>
      <c r="W1783" s="73">
        <f t="shared" si="85"/>
        <v>93</v>
      </c>
      <c r="X1783" s="80">
        <f t="shared" si="86"/>
        <v>2911</v>
      </c>
      <c r="Y1783" s="82" t="s">
        <v>3591</v>
      </c>
      <c r="Z1783" s="24" t="s">
        <v>5863</v>
      </c>
      <c r="AB1783" s="177">
        <v>44398</v>
      </c>
      <c r="AC1783" s="84" t="s">
        <v>5308</v>
      </c>
      <c r="AF1783" s="19"/>
      <c r="AG1783" s="19"/>
      <c r="AH1783" s="19"/>
      <c r="AI1783" s="19"/>
      <c r="AJ1783" s="19"/>
      <c r="AK1783" s="19"/>
    </row>
    <row r="1784" spans="1:37" ht="15.45" customHeight="1" x14ac:dyDescent="0.25">
      <c r="A1784" s="156" t="s">
        <v>1066</v>
      </c>
      <c r="B1784" s="28"/>
      <c r="C1784" s="37" t="s">
        <v>756</v>
      </c>
      <c r="E1784" s="37" t="s">
        <v>2830</v>
      </c>
      <c r="F1784" s="24" t="s">
        <v>1451</v>
      </c>
      <c r="H1784" s="168"/>
      <c r="I1784" s="167"/>
      <c r="J1784" s="214" t="s">
        <v>3690</v>
      </c>
      <c r="K1784" s="10" t="s">
        <v>3685</v>
      </c>
      <c r="N1784" s="37" t="s">
        <v>3771</v>
      </c>
      <c r="O1784" s="37" t="s">
        <v>347</v>
      </c>
      <c r="P1784" s="37" t="s">
        <v>5463</v>
      </c>
      <c r="Q1784" s="37" t="s">
        <v>1979</v>
      </c>
      <c r="R1784" s="37" t="s">
        <v>1792</v>
      </c>
      <c r="S1784" s="37"/>
      <c r="T1784" s="37"/>
      <c r="U1784" s="22">
        <v>1</v>
      </c>
      <c r="V1784" s="22">
        <v>1</v>
      </c>
      <c r="W1784" s="73">
        <f t="shared" si="85"/>
        <v>94</v>
      </c>
      <c r="X1784" s="80">
        <f t="shared" si="86"/>
        <v>2912</v>
      </c>
      <c r="Y1784" s="82" t="s">
        <v>3584</v>
      </c>
      <c r="AF1784" s="19"/>
      <c r="AG1784" s="19"/>
      <c r="AH1784" s="19"/>
      <c r="AI1784" s="19"/>
      <c r="AJ1784" s="19"/>
      <c r="AK1784" s="19"/>
    </row>
    <row r="1785" spans="1:37" ht="15.45" customHeight="1" x14ac:dyDescent="0.25">
      <c r="A1785" s="156" t="s">
        <v>868</v>
      </c>
      <c r="B1785" s="28"/>
      <c r="C1785" s="37" t="s">
        <v>756</v>
      </c>
      <c r="E1785" s="37" t="s">
        <v>2830</v>
      </c>
      <c r="F1785" s="24" t="s">
        <v>1451</v>
      </c>
      <c r="H1785" s="168"/>
      <c r="I1785" s="167"/>
      <c r="J1785" s="214" t="s">
        <v>3690</v>
      </c>
      <c r="K1785" s="10" t="s">
        <v>3685</v>
      </c>
      <c r="N1785" s="37" t="s">
        <v>3771</v>
      </c>
      <c r="O1785" s="37" t="s">
        <v>5452</v>
      </c>
      <c r="P1785" s="37" t="s">
        <v>4166</v>
      </c>
      <c r="Q1785" s="37" t="s">
        <v>1979</v>
      </c>
      <c r="R1785" s="37" t="s">
        <v>1792</v>
      </c>
      <c r="S1785" s="37"/>
      <c r="T1785" s="37"/>
      <c r="U1785" s="22">
        <v>1</v>
      </c>
      <c r="V1785" s="22">
        <v>1</v>
      </c>
      <c r="W1785" s="73">
        <f t="shared" si="85"/>
        <v>95</v>
      </c>
      <c r="X1785" s="80">
        <f t="shared" si="86"/>
        <v>2913</v>
      </c>
      <c r="Y1785" s="82" t="s">
        <v>3584</v>
      </c>
      <c r="AF1785" s="19"/>
      <c r="AG1785" s="19"/>
      <c r="AH1785" s="19"/>
      <c r="AI1785" s="19"/>
      <c r="AJ1785" s="19"/>
      <c r="AK1785" s="19"/>
    </row>
    <row r="1786" spans="1:37" ht="15.45" customHeight="1" x14ac:dyDescent="0.25">
      <c r="A1786" s="156" t="s">
        <v>815</v>
      </c>
      <c r="B1786" s="28"/>
      <c r="C1786" s="37" t="s">
        <v>756</v>
      </c>
      <c r="E1786" s="37" t="s">
        <v>2830</v>
      </c>
      <c r="F1786" s="24" t="s">
        <v>1451</v>
      </c>
      <c r="H1786" s="168"/>
      <c r="I1786" s="167"/>
      <c r="J1786" s="214" t="s">
        <v>3690</v>
      </c>
      <c r="K1786" s="10" t="s">
        <v>3685</v>
      </c>
      <c r="N1786" s="37" t="s">
        <v>3771</v>
      </c>
      <c r="O1786" s="37" t="s">
        <v>5452</v>
      </c>
      <c r="P1786" s="37" t="s">
        <v>4166</v>
      </c>
      <c r="Q1786" s="37" t="s">
        <v>1979</v>
      </c>
      <c r="R1786" s="37" t="s">
        <v>1792</v>
      </c>
      <c r="S1786" s="37"/>
      <c r="T1786" s="37"/>
      <c r="U1786" s="22">
        <v>1</v>
      </c>
      <c r="V1786" s="22">
        <v>1</v>
      </c>
      <c r="W1786" s="73">
        <f t="shared" si="85"/>
        <v>96</v>
      </c>
      <c r="X1786" s="80">
        <f t="shared" si="86"/>
        <v>2914</v>
      </c>
      <c r="Y1786" s="82" t="s">
        <v>3584</v>
      </c>
      <c r="AF1786" s="19"/>
      <c r="AG1786" s="19"/>
      <c r="AH1786" s="19"/>
      <c r="AI1786" s="19"/>
      <c r="AJ1786" s="19"/>
      <c r="AK1786" s="19"/>
    </row>
    <row r="1787" spans="1:37" ht="15.45" customHeight="1" x14ac:dyDescent="0.25">
      <c r="A1787" s="156" t="s">
        <v>816</v>
      </c>
      <c r="B1787" s="28"/>
      <c r="C1787" s="37" t="s">
        <v>756</v>
      </c>
      <c r="E1787" s="37" t="s">
        <v>2830</v>
      </c>
      <c r="F1787" s="24" t="s">
        <v>1451</v>
      </c>
      <c r="H1787" s="168"/>
      <c r="I1787" s="167"/>
      <c r="J1787" s="214" t="s">
        <v>3690</v>
      </c>
      <c r="K1787" s="10" t="s">
        <v>3685</v>
      </c>
      <c r="N1787" s="37" t="s">
        <v>3771</v>
      </c>
      <c r="O1787" s="37" t="s">
        <v>5452</v>
      </c>
      <c r="P1787" s="37" t="s">
        <v>4166</v>
      </c>
      <c r="Q1787" s="37" t="s">
        <v>1979</v>
      </c>
      <c r="R1787" s="37" t="s">
        <v>1792</v>
      </c>
      <c r="S1787" s="37"/>
      <c r="T1787" s="37"/>
      <c r="U1787" s="22">
        <v>1</v>
      </c>
      <c r="V1787" s="22">
        <v>1</v>
      </c>
      <c r="W1787" s="73">
        <f t="shared" si="85"/>
        <v>97</v>
      </c>
      <c r="X1787" s="80">
        <f t="shared" si="86"/>
        <v>2915</v>
      </c>
      <c r="Y1787" s="82" t="s">
        <v>3584</v>
      </c>
      <c r="AF1787" s="19"/>
      <c r="AG1787" s="19"/>
      <c r="AH1787" s="19"/>
      <c r="AI1787" s="19"/>
      <c r="AJ1787" s="19"/>
      <c r="AK1787" s="19"/>
    </row>
    <row r="1788" spans="1:37" ht="15.45" customHeight="1" x14ac:dyDescent="0.25">
      <c r="A1788" s="156" t="s">
        <v>753</v>
      </c>
      <c r="B1788" s="28"/>
      <c r="C1788" s="37" t="s">
        <v>756</v>
      </c>
      <c r="E1788" s="37" t="s">
        <v>2830</v>
      </c>
      <c r="F1788" s="24" t="s">
        <v>5228</v>
      </c>
      <c r="H1788" s="168"/>
      <c r="I1788" s="167"/>
      <c r="J1788" s="214" t="s">
        <v>3690</v>
      </c>
      <c r="K1788" s="10" t="s">
        <v>3685</v>
      </c>
      <c r="N1788" s="37" t="s">
        <v>3771</v>
      </c>
      <c r="O1788" s="37" t="s">
        <v>5452</v>
      </c>
      <c r="P1788" s="37" t="s">
        <v>4166</v>
      </c>
      <c r="Q1788" s="37" t="s">
        <v>1979</v>
      </c>
      <c r="R1788" s="37" t="s">
        <v>1792</v>
      </c>
      <c r="S1788" s="37"/>
      <c r="T1788" s="37"/>
      <c r="U1788" s="22">
        <v>1</v>
      </c>
      <c r="V1788" s="22">
        <v>1</v>
      </c>
      <c r="W1788" s="73">
        <f t="shared" si="85"/>
        <v>98</v>
      </c>
      <c r="X1788" s="80">
        <f t="shared" si="86"/>
        <v>2916</v>
      </c>
      <c r="Y1788" s="82" t="s">
        <v>3584</v>
      </c>
      <c r="AF1788" s="19"/>
      <c r="AG1788" s="19"/>
      <c r="AH1788" s="19"/>
      <c r="AI1788" s="19"/>
      <c r="AJ1788" s="19"/>
      <c r="AK1788" s="19"/>
    </row>
    <row r="1789" spans="1:37" ht="15.45" customHeight="1" x14ac:dyDescent="0.25">
      <c r="A1789" s="156" t="s">
        <v>754</v>
      </c>
      <c r="B1789" s="28"/>
      <c r="C1789" s="37" t="s">
        <v>756</v>
      </c>
      <c r="E1789" s="37" t="s">
        <v>2830</v>
      </c>
      <c r="F1789" s="24" t="s">
        <v>1451</v>
      </c>
      <c r="H1789" s="168"/>
      <c r="I1789" s="167"/>
      <c r="J1789" s="214" t="s">
        <v>3690</v>
      </c>
      <c r="K1789" s="10" t="s">
        <v>3685</v>
      </c>
      <c r="N1789" s="37" t="s">
        <v>3771</v>
      </c>
      <c r="O1789" s="37" t="s">
        <v>5484</v>
      </c>
      <c r="P1789" s="37" t="s">
        <v>5483</v>
      </c>
      <c r="Q1789" s="37" t="s">
        <v>1998</v>
      </c>
      <c r="R1789" s="37" t="s">
        <v>1792</v>
      </c>
      <c r="S1789" s="37"/>
      <c r="T1789" s="37"/>
      <c r="U1789" s="22">
        <v>1</v>
      </c>
      <c r="V1789" s="22">
        <v>1</v>
      </c>
      <c r="W1789" s="73">
        <f t="shared" si="85"/>
        <v>99</v>
      </c>
      <c r="X1789" s="80">
        <f t="shared" si="86"/>
        <v>2917</v>
      </c>
      <c r="Y1789" s="82" t="s">
        <v>3584</v>
      </c>
      <c r="AF1789" s="19"/>
      <c r="AG1789" s="19"/>
      <c r="AH1789" s="19"/>
      <c r="AI1789" s="19"/>
      <c r="AJ1789" s="19"/>
      <c r="AK1789" s="19"/>
    </row>
    <row r="1790" spans="1:37" ht="15.45" customHeight="1" x14ac:dyDescent="0.25">
      <c r="A1790" s="156" t="s">
        <v>1053</v>
      </c>
      <c r="B1790" s="28"/>
      <c r="C1790" s="37" t="s">
        <v>756</v>
      </c>
      <c r="E1790" s="37" t="s">
        <v>2830</v>
      </c>
      <c r="F1790" s="24" t="s">
        <v>1451</v>
      </c>
      <c r="H1790" s="168"/>
      <c r="I1790" s="167"/>
      <c r="J1790" s="214" t="s">
        <v>3690</v>
      </c>
      <c r="K1790" s="10" t="s">
        <v>3685</v>
      </c>
      <c r="N1790" s="37" t="s">
        <v>3771</v>
      </c>
      <c r="O1790" s="37" t="s">
        <v>5452</v>
      </c>
      <c r="P1790" s="37" t="s">
        <v>4166</v>
      </c>
      <c r="Q1790" s="37" t="s">
        <v>1979</v>
      </c>
      <c r="R1790" s="37" t="s">
        <v>1792</v>
      </c>
      <c r="S1790" s="37"/>
      <c r="T1790" s="37"/>
      <c r="U1790" s="22">
        <v>1</v>
      </c>
      <c r="V1790" s="22">
        <v>1</v>
      </c>
      <c r="W1790" s="73">
        <f t="shared" si="85"/>
        <v>100</v>
      </c>
      <c r="X1790" s="80">
        <f t="shared" si="86"/>
        <v>2918</v>
      </c>
      <c r="Y1790" s="82" t="s">
        <v>3584</v>
      </c>
      <c r="AF1790" s="19"/>
      <c r="AG1790" s="19"/>
      <c r="AH1790" s="19"/>
      <c r="AI1790" s="19"/>
      <c r="AJ1790" s="19"/>
      <c r="AK1790" s="19"/>
    </row>
    <row r="1791" spans="1:37" ht="15.45" customHeight="1" x14ac:dyDescent="0.25">
      <c r="A1791" s="156" t="s">
        <v>947</v>
      </c>
      <c r="B1791" s="28"/>
      <c r="C1791" s="37" t="s">
        <v>756</v>
      </c>
      <c r="E1791" s="37" t="s">
        <v>2830</v>
      </c>
      <c r="F1791" s="24" t="s">
        <v>5228</v>
      </c>
      <c r="H1791" s="168"/>
      <c r="I1791" s="167"/>
      <c r="J1791" s="214" t="s">
        <v>3690</v>
      </c>
      <c r="K1791" s="10" t="s">
        <v>3685</v>
      </c>
      <c r="N1791" s="37" t="s">
        <v>3771</v>
      </c>
      <c r="O1791" s="37" t="s">
        <v>254</v>
      </c>
      <c r="P1791" s="37" t="s">
        <v>5466</v>
      </c>
      <c r="Q1791" s="37" t="s">
        <v>1979</v>
      </c>
      <c r="R1791" s="37" t="s">
        <v>1792</v>
      </c>
      <c r="S1791" s="37"/>
      <c r="T1791" s="37"/>
      <c r="U1791" s="22">
        <v>1</v>
      </c>
      <c r="V1791" s="22">
        <v>1</v>
      </c>
      <c r="W1791" s="73">
        <f t="shared" ref="W1791:W1858" si="87">W1790+V1791</f>
        <v>101</v>
      </c>
      <c r="X1791" s="80">
        <f t="shared" ref="X1791:X1855" si="88">V1791+X1790</f>
        <v>2919</v>
      </c>
      <c r="Y1791" s="82" t="s">
        <v>3584</v>
      </c>
      <c r="AF1791" s="19"/>
      <c r="AG1791" s="19"/>
      <c r="AH1791" s="19"/>
      <c r="AI1791" s="19"/>
      <c r="AJ1791" s="19"/>
      <c r="AK1791" s="19"/>
    </row>
    <row r="1792" spans="1:37" ht="15.45" customHeight="1" x14ac:dyDescent="0.25">
      <c r="A1792" s="156" t="s">
        <v>2069</v>
      </c>
      <c r="B1792" s="28"/>
      <c r="C1792" s="37" t="s">
        <v>2071</v>
      </c>
      <c r="E1792" s="37" t="s">
        <v>2830</v>
      </c>
      <c r="F1792" s="24" t="s">
        <v>2070</v>
      </c>
      <c r="H1792" s="168"/>
      <c r="I1792" s="167"/>
      <c r="S1792" s="37"/>
      <c r="T1792" s="37"/>
      <c r="U1792" s="22">
        <v>1</v>
      </c>
      <c r="V1792" s="22">
        <v>1</v>
      </c>
      <c r="W1792" s="73">
        <f t="shared" si="87"/>
        <v>102</v>
      </c>
      <c r="X1792" s="80">
        <f t="shared" si="88"/>
        <v>2920</v>
      </c>
      <c r="Y1792" s="82" t="s">
        <v>3592</v>
      </c>
      <c r="Z1792" s="24" t="s">
        <v>2884</v>
      </c>
      <c r="AF1792" s="19"/>
      <c r="AG1792" s="19"/>
      <c r="AH1792" s="19"/>
      <c r="AI1792" s="19"/>
      <c r="AJ1792" s="19"/>
      <c r="AK1792" s="19"/>
    </row>
    <row r="1793" spans="1:37" ht="15.45" customHeight="1" x14ac:dyDescent="0.25">
      <c r="A1793" s="156" t="s">
        <v>964</v>
      </c>
      <c r="B1793" s="28"/>
      <c r="C1793" s="37" t="s">
        <v>756</v>
      </c>
      <c r="E1793" s="37" t="s">
        <v>2830</v>
      </c>
      <c r="F1793" s="24" t="s">
        <v>5228</v>
      </c>
      <c r="H1793" s="168"/>
      <c r="I1793" s="167"/>
      <c r="J1793" s="214" t="s">
        <v>3690</v>
      </c>
      <c r="K1793" s="10" t="s">
        <v>3685</v>
      </c>
      <c r="N1793" s="37" t="s">
        <v>3771</v>
      </c>
      <c r="O1793" s="37" t="s">
        <v>5452</v>
      </c>
      <c r="P1793" s="37" t="s">
        <v>4166</v>
      </c>
      <c r="Q1793" s="37" t="s">
        <v>1979</v>
      </c>
      <c r="R1793" s="37" t="s">
        <v>1792</v>
      </c>
      <c r="S1793" s="37"/>
      <c r="T1793" s="37"/>
      <c r="U1793" s="22">
        <v>1</v>
      </c>
      <c r="V1793" s="22">
        <v>1</v>
      </c>
      <c r="W1793" s="73">
        <f t="shared" si="87"/>
        <v>103</v>
      </c>
      <c r="X1793" s="80">
        <f t="shared" si="88"/>
        <v>2921</v>
      </c>
      <c r="Y1793" s="82" t="s">
        <v>3584</v>
      </c>
      <c r="AF1793" s="19"/>
      <c r="AG1793" s="19"/>
      <c r="AH1793" s="19"/>
      <c r="AI1793" s="19"/>
      <c r="AJ1793" s="19"/>
      <c r="AK1793" s="19"/>
    </row>
    <row r="1794" spans="1:37" ht="15.45" customHeight="1" x14ac:dyDescent="0.25">
      <c r="A1794" s="156" t="s">
        <v>886</v>
      </c>
      <c r="B1794" s="28"/>
      <c r="C1794" s="37" t="s">
        <v>756</v>
      </c>
      <c r="E1794" s="37" t="s">
        <v>2830</v>
      </c>
      <c r="F1794" s="24" t="s">
        <v>1451</v>
      </c>
      <c r="H1794" s="168"/>
      <c r="I1794" s="167"/>
      <c r="J1794" s="214" t="s">
        <v>3690</v>
      </c>
      <c r="K1794" s="10" t="s">
        <v>3685</v>
      </c>
      <c r="N1794" s="37" t="s">
        <v>3771</v>
      </c>
      <c r="O1794" s="37" t="s">
        <v>5452</v>
      </c>
      <c r="P1794" s="37" t="s">
        <v>4166</v>
      </c>
      <c r="Q1794" s="37" t="s">
        <v>1979</v>
      </c>
      <c r="R1794" s="37" t="s">
        <v>1792</v>
      </c>
      <c r="S1794" s="37"/>
      <c r="T1794" s="37"/>
      <c r="U1794" s="22">
        <v>2</v>
      </c>
      <c r="V1794" s="22">
        <v>2</v>
      </c>
      <c r="W1794" s="73">
        <f t="shared" si="87"/>
        <v>105</v>
      </c>
      <c r="X1794" s="80">
        <f t="shared" si="88"/>
        <v>2923</v>
      </c>
      <c r="Y1794" s="82" t="s">
        <v>3584</v>
      </c>
      <c r="AF1794" s="19"/>
      <c r="AG1794" s="19"/>
      <c r="AH1794" s="19"/>
      <c r="AI1794" s="19"/>
      <c r="AJ1794" s="19"/>
      <c r="AK1794" s="19"/>
    </row>
    <row r="1795" spans="1:37" ht="15.45" customHeight="1" x14ac:dyDescent="0.25">
      <c r="A1795" s="156" t="s">
        <v>870</v>
      </c>
      <c r="B1795" s="28"/>
      <c r="C1795" s="37" t="s">
        <v>756</v>
      </c>
      <c r="E1795" s="37" t="s">
        <v>2830</v>
      </c>
      <c r="F1795" s="24" t="s">
        <v>1451</v>
      </c>
      <c r="H1795" s="168"/>
      <c r="I1795" s="167"/>
      <c r="J1795" s="214" t="s">
        <v>3690</v>
      </c>
      <c r="K1795" s="10" t="s">
        <v>3685</v>
      </c>
      <c r="N1795" s="37" t="s">
        <v>3771</v>
      </c>
      <c r="O1795" s="37" t="s">
        <v>5452</v>
      </c>
      <c r="P1795" s="37" t="s">
        <v>4166</v>
      </c>
      <c r="Q1795" s="37" t="s">
        <v>1979</v>
      </c>
      <c r="R1795" s="37" t="s">
        <v>1792</v>
      </c>
      <c r="S1795" s="37"/>
      <c r="T1795" s="37"/>
      <c r="U1795" s="22">
        <v>2</v>
      </c>
      <c r="V1795" s="22">
        <v>2</v>
      </c>
      <c r="W1795" s="73">
        <f t="shared" si="87"/>
        <v>107</v>
      </c>
      <c r="X1795" s="80">
        <f t="shared" si="88"/>
        <v>2925</v>
      </c>
      <c r="Y1795" s="82" t="s">
        <v>3584</v>
      </c>
      <c r="AF1795" s="19"/>
      <c r="AG1795" s="19"/>
      <c r="AH1795" s="19"/>
      <c r="AI1795" s="19"/>
      <c r="AJ1795" s="19"/>
      <c r="AK1795" s="19"/>
    </row>
    <row r="1796" spans="1:37" ht="15.45" customHeight="1" x14ac:dyDescent="0.25">
      <c r="A1796" s="156" t="s">
        <v>1054</v>
      </c>
      <c r="B1796" s="28"/>
      <c r="C1796" s="37" t="s">
        <v>756</v>
      </c>
      <c r="E1796" s="37" t="s">
        <v>2830</v>
      </c>
      <c r="F1796" s="24" t="s">
        <v>1451</v>
      </c>
      <c r="H1796" s="168"/>
      <c r="I1796" s="167"/>
      <c r="J1796" s="214" t="s">
        <v>3690</v>
      </c>
      <c r="K1796" s="10" t="s">
        <v>3685</v>
      </c>
      <c r="N1796" s="37" t="s">
        <v>3772</v>
      </c>
      <c r="S1796" s="37"/>
      <c r="T1796" s="37"/>
      <c r="U1796" s="22">
        <v>1</v>
      </c>
      <c r="V1796" s="22">
        <v>1</v>
      </c>
      <c r="W1796" s="73">
        <f t="shared" si="87"/>
        <v>108</v>
      </c>
      <c r="X1796" s="80">
        <f t="shared" si="88"/>
        <v>2926</v>
      </c>
      <c r="Y1796" s="82" t="s">
        <v>3584</v>
      </c>
      <c r="AF1796" s="19"/>
      <c r="AG1796" s="19"/>
      <c r="AH1796" s="19"/>
      <c r="AI1796" s="19"/>
      <c r="AJ1796" s="19"/>
      <c r="AK1796" s="19"/>
    </row>
    <row r="1797" spans="1:37" ht="15.45" customHeight="1" x14ac:dyDescent="0.25">
      <c r="A1797" s="156" t="s">
        <v>1653</v>
      </c>
      <c r="B1797" s="28"/>
      <c r="C1797" s="37" t="s">
        <v>756</v>
      </c>
      <c r="E1797" s="37" t="s">
        <v>2830</v>
      </c>
      <c r="F1797" s="24" t="s">
        <v>1451</v>
      </c>
      <c r="H1797" s="168"/>
      <c r="I1797" s="167"/>
      <c r="J1797" s="214" t="s">
        <v>3690</v>
      </c>
      <c r="K1797" s="10" t="s">
        <v>3685</v>
      </c>
      <c r="N1797" s="37" t="s">
        <v>3771</v>
      </c>
      <c r="P1797" s="37" t="s">
        <v>255</v>
      </c>
      <c r="Q1797" s="37" t="s">
        <v>5449</v>
      </c>
      <c r="R1797" s="37" t="s">
        <v>1792</v>
      </c>
      <c r="S1797" s="37"/>
      <c r="T1797" s="37"/>
      <c r="U1797" s="22">
        <v>2</v>
      </c>
      <c r="V1797" s="22">
        <v>2</v>
      </c>
      <c r="W1797" s="73">
        <f t="shared" si="87"/>
        <v>110</v>
      </c>
      <c r="X1797" s="80">
        <f t="shared" si="88"/>
        <v>2928</v>
      </c>
      <c r="Y1797" s="82" t="s">
        <v>3584</v>
      </c>
      <c r="AF1797" s="19"/>
      <c r="AG1797" s="19"/>
      <c r="AH1797" s="19"/>
      <c r="AI1797" s="19"/>
      <c r="AJ1797" s="19"/>
      <c r="AK1797" s="19"/>
    </row>
    <row r="1798" spans="1:37" ht="15.45" customHeight="1" x14ac:dyDescent="0.25">
      <c r="A1798" s="156" t="s">
        <v>952</v>
      </c>
      <c r="B1798" s="28"/>
      <c r="C1798" s="37" t="s">
        <v>756</v>
      </c>
      <c r="E1798" s="37" t="s">
        <v>2830</v>
      </c>
      <c r="F1798" s="24" t="s">
        <v>1451</v>
      </c>
      <c r="H1798" s="168"/>
      <c r="I1798" s="167"/>
      <c r="J1798" s="214" t="s">
        <v>3690</v>
      </c>
      <c r="K1798" s="10" t="s">
        <v>3685</v>
      </c>
      <c r="N1798" s="37" t="s">
        <v>3771</v>
      </c>
      <c r="P1798" s="37" t="s">
        <v>255</v>
      </c>
      <c r="Q1798" s="37" t="s">
        <v>5449</v>
      </c>
      <c r="R1798" s="37" t="s">
        <v>1792</v>
      </c>
      <c r="S1798" s="37"/>
      <c r="T1798" s="37"/>
      <c r="U1798" s="22">
        <v>1</v>
      </c>
      <c r="V1798" s="22">
        <v>1</v>
      </c>
      <c r="W1798" s="73">
        <f t="shared" si="87"/>
        <v>111</v>
      </c>
      <c r="X1798" s="80">
        <f t="shared" si="88"/>
        <v>2929</v>
      </c>
      <c r="Y1798" s="82" t="s">
        <v>3584</v>
      </c>
      <c r="AF1798" s="19"/>
      <c r="AG1798" s="19"/>
      <c r="AH1798" s="19"/>
      <c r="AI1798" s="19"/>
      <c r="AJ1798" s="19"/>
      <c r="AK1798" s="19"/>
    </row>
    <row r="1799" spans="1:37" ht="15.45" customHeight="1" x14ac:dyDescent="0.25">
      <c r="A1799" s="156" t="s">
        <v>955</v>
      </c>
      <c r="B1799" s="28"/>
      <c r="C1799" s="37" t="s">
        <v>756</v>
      </c>
      <c r="E1799" s="37" t="s">
        <v>2830</v>
      </c>
      <c r="F1799" s="24" t="s">
        <v>1451</v>
      </c>
      <c r="H1799" s="168"/>
      <c r="I1799" s="167"/>
      <c r="J1799" s="214" t="s">
        <v>3690</v>
      </c>
      <c r="K1799" s="10" t="s">
        <v>3685</v>
      </c>
      <c r="N1799" s="37" t="s">
        <v>3771</v>
      </c>
      <c r="P1799" s="37" t="s">
        <v>255</v>
      </c>
      <c r="Q1799" s="37" t="s">
        <v>5449</v>
      </c>
      <c r="R1799" s="37" t="s">
        <v>1792</v>
      </c>
      <c r="S1799" s="37"/>
      <c r="T1799" s="37"/>
      <c r="U1799" s="22">
        <v>1</v>
      </c>
      <c r="V1799" s="22">
        <v>1</v>
      </c>
      <c r="W1799" s="73">
        <f t="shared" si="87"/>
        <v>112</v>
      </c>
      <c r="X1799" s="80">
        <f t="shared" si="88"/>
        <v>2930</v>
      </c>
      <c r="Y1799" s="82" t="s">
        <v>3584</v>
      </c>
      <c r="AF1799" s="19"/>
      <c r="AG1799" s="19"/>
      <c r="AH1799" s="19"/>
      <c r="AI1799" s="19"/>
      <c r="AJ1799" s="19"/>
      <c r="AK1799" s="19"/>
    </row>
    <row r="1800" spans="1:37" ht="15.45" customHeight="1" x14ac:dyDescent="0.25">
      <c r="A1800" s="156" t="s">
        <v>1654</v>
      </c>
      <c r="B1800" s="28"/>
      <c r="C1800" s="37" t="s">
        <v>756</v>
      </c>
      <c r="E1800" s="37" t="s">
        <v>2830</v>
      </c>
      <c r="F1800" s="24" t="s">
        <v>1451</v>
      </c>
      <c r="H1800" s="168"/>
      <c r="I1800" s="167"/>
      <c r="J1800" s="214" t="s">
        <v>3690</v>
      </c>
      <c r="K1800" s="10" t="s">
        <v>3685</v>
      </c>
      <c r="N1800" s="37" t="s">
        <v>3771</v>
      </c>
      <c r="P1800" s="37" t="s">
        <v>255</v>
      </c>
      <c r="Q1800" s="37" t="s">
        <v>5449</v>
      </c>
      <c r="R1800" s="37" t="s">
        <v>1792</v>
      </c>
      <c r="S1800" s="37"/>
      <c r="T1800" s="37"/>
      <c r="U1800" s="22">
        <v>4</v>
      </c>
      <c r="V1800" s="22">
        <v>4</v>
      </c>
      <c r="W1800" s="73">
        <f t="shared" si="87"/>
        <v>116</v>
      </c>
      <c r="X1800" s="80">
        <f t="shared" si="88"/>
        <v>2934</v>
      </c>
      <c r="Y1800" s="82" t="s">
        <v>3584</v>
      </c>
      <c r="AF1800" s="19"/>
      <c r="AG1800" s="19"/>
      <c r="AH1800" s="19"/>
      <c r="AI1800" s="19"/>
      <c r="AJ1800" s="19"/>
      <c r="AK1800" s="19"/>
    </row>
    <row r="1801" spans="1:37" ht="15.45" customHeight="1" x14ac:dyDescent="0.25">
      <c r="A1801" s="156" t="s">
        <v>1655</v>
      </c>
      <c r="B1801" s="28"/>
      <c r="C1801" s="37" t="s">
        <v>756</v>
      </c>
      <c r="E1801" s="37" t="s">
        <v>2830</v>
      </c>
      <c r="F1801" s="24" t="s">
        <v>1451</v>
      </c>
      <c r="H1801" s="168"/>
      <c r="I1801" s="167"/>
      <c r="J1801" s="214" t="s">
        <v>3690</v>
      </c>
      <c r="K1801" s="10" t="s">
        <v>3685</v>
      </c>
      <c r="N1801" s="37" t="s">
        <v>3771</v>
      </c>
      <c r="P1801" s="37" t="s">
        <v>255</v>
      </c>
      <c r="Q1801" s="37" t="s">
        <v>5449</v>
      </c>
      <c r="R1801" s="37" t="s">
        <v>1792</v>
      </c>
      <c r="S1801" s="37"/>
      <c r="T1801" s="37"/>
      <c r="U1801" s="22">
        <v>4</v>
      </c>
      <c r="V1801" s="22">
        <v>4</v>
      </c>
      <c r="W1801" s="73">
        <f t="shared" si="87"/>
        <v>120</v>
      </c>
      <c r="X1801" s="80">
        <f t="shared" si="88"/>
        <v>2938</v>
      </c>
      <c r="Y1801" s="82" t="s">
        <v>3584</v>
      </c>
      <c r="AF1801" s="19"/>
      <c r="AG1801" s="19"/>
      <c r="AH1801" s="19"/>
      <c r="AI1801" s="19"/>
      <c r="AJ1801" s="19"/>
      <c r="AK1801" s="19"/>
    </row>
    <row r="1802" spans="1:37" ht="15.45" customHeight="1" x14ac:dyDescent="0.25">
      <c r="A1802" s="156" t="s">
        <v>1093</v>
      </c>
      <c r="B1802" s="28"/>
      <c r="C1802" s="37" t="s">
        <v>756</v>
      </c>
      <c r="E1802" s="37" t="s">
        <v>2830</v>
      </c>
      <c r="F1802" s="24" t="s">
        <v>1451</v>
      </c>
      <c r="H1802" s="168"/>
      <c r="I1802" s="167"/>
      <c r="J1802" s="214" t="s">
        <v>3690</v>
      </c>
      <c r="K1802" s="10" t="s">
        <v>3685</v>
      </c>
      <c r="N1802" s="37" t="s">
        <v>3771</v>
      </c>
      <c r="P1802" s="37" t="s">
        <v>255</v>
      </c>
      <c r="Q1802" s="37" t="s">
        <v>5449</v>
      </c>
      <c r="R1802" s="37" t="s">
        <v>1792</v>
      </c>
      <c r="S1802" s="37"/>
      <c r="T1802" s="37"/>
      <c r="U1802" s="22">
        <v>2</v>
      </c>
      <c r="V1802" s="22">
        <v>2</v>
      </c>
      <c r="W1802" s="73">
        <f t="shared" si="87"/>
        <v>122</v>
      </c>
      <c r="X1802" s="80">
        <f t="shared" si="88"/>
        <v>2940</v>
      </c>
      <c r="Y1802" s="82" t="s">
        <v>3584</v>
      </c>
      <c r="AF1802" s="19"/>
      <c r="AG1802" s="19"/>
      <c r="AH1802" s="19"/>
      <c r="AI1802" s="19"/>
      <c r="AJ1802" s="19"/>
      <c r="AK1802" s="19"/>
    </row>
    <row r="1803" spans="1:37" ht="15.45" customHeight="1" x14ac:dyDescent="0.25">
      <c r="A1803" s="156" t="s">
        <v>1975</v>
      </c>
      <c r="B1803" s="28"/>
      <c r="C1803" s="37" t="s">
        <v>756</v>
      </c>
      <c r="E1803" s="37" t="s">
        <v>2830</v>
      </c>
      <c r="F1803" s="24" t="s">
        <v>1451</v>
      </c>
      <c r="H1803" s="168"/>
      <c r="I1803" s="167"/>
      <c r="J1803" s="214" t="s">
        <v>3690</v>
      </c>
      <c r="K1803" s="10" t="s">
        <v>3685</v>
      </c>
      <c r="N1803" s="37" t="s">
        <v>3771</v>
      </c>
      <c r="P1803" s="37" t="s">
        <v>255</v>
      </c>
      <c r="Q1803" s="37" t="s">
        <v>5449</v>
      </c>
      <c r="R1803" s="37" t="s">
        <v>1792</v>
      </c>
      <c r="S1803" s="37"/>
      <c r="T1803" s="37"/>
      <c r="U1803" s="22">
        <v>4</v>
      </c>
      <c r="V1803" s="22">
        <v>4</v>
      </c>
      <c r="W1803" s="73">
        <f t="shared" si="87"/>
        <v>126</v>
      </c>
      <c r="X1803" s="80">
        <f t="shared" si="88"/>
        <v>2944</v>
      </c>
      <c r="Y1803" s="82" t="s">
        <v>3584</v>
      </c>
      <c r="AF1803" s="19"/>
      <c r="AG1803" s="19"/>
      <c r="AH1803" s="19"/>
      <c r="AI1803" s="19"/>
      <c r="AJ1803" s="19"/>
      <c r="AK1803" s="19"/>
    </row>
    <row r="1804" spans="1:37" ht="15.45" customHeight="1" x14ac:dyDescent="0.25">
      <c r="A1804" s="156" t="s">
        <v>988</v>
      </c>
      <c r="B1804" s="28"/>
      <c r="C1804" s="37" t="s">
        <v>756</v>
      </c>
      <c r="E1804" s="37" t="s">
        <v>2830</v>
      </c>
      <c r="F1804" s="24" t="s">
        <v>1451</v>
      </c>
      <c r="H1804" s="168"/>
      <c r="I1804" s="167"/>
      <c r="J1804" s="214" t="s">
        <v>3690</v>
      </c>
      <c r="K1804" s="10" t="s">
        <v>3685</v>
      </c>
      <c r="N1804" s="37" t="s">
        <v>3771</v>
      </c>
      <c r="P1804" s="37" t="s">
        <v>255</v>
      </c>
      <c r="Q1804" s="37" t="s">
        <v>5449</v>
      </c>
      <c r="R1804" s="37" t="s">
        <v>1792</v>
      </c>
      <c r="S1804" s="37"/>
      <c r="T1804" s="37"/>
      <c r="U1804" s="22">
        <v>2</v>
      </c>
      <c r="V1804" s="22">
        <v>2</v>
      </c>
      <c r="W1804" s="73">
        <f t="shared" si="87"/>
        <v>128</v>
      </c>
      <c r="X1804" s="80">
        <f t="shared" si="88"/>
        <v>2946</v>
      </c>
      <c r="Y1804" s="82" t="s">
        <v>3584</v>
      </c>
      <c r="AF1804" s="19"/>
      <c r="AG1804" s="19"/>
      <c r="AH1804" s="19"/>
      <c r="AI1804" s="19"/>
      <c r="AJ1804" s="19"/>
      <c r="AK1804" s="19"/>
    </row>
    <row r="1805" spans="1:37" ht="15.45" customHeight="1" x14ac:dyDescent="0.25">
      <c r="A1805" s="156" t="s">
        <v>1436</v>
      </c>
      <c r="B1805" s="28"/>
      <c r="C1805" s="37" t="s">
        <v>756</v>
      </c>
      <c r="E1805" s="37" t="s">
        <v>2830</v>
      </c>
      <c r="F1805" s="24" t="s">
        <v>1451</v>
      </c>
      <c r="H1805" s="168"/>
      <c r="I1805" s="167"/>
      <c r="J1805" s="214" t="s">
        <v>3690</v>
      </c>
      <c r="K1805" s="10" t="s">
        <v>3685</v>
      </c>
      <c r="N1805" s="37" t="s">
        <v>3771</v>
      </c>
      <c r="P1805" s="37" t="s">
        <v>255</v>
      </c>
      <c r="Q1805" s="37" t="s">
        <v>5449</v>
      </c>
      <c r="R1805" s="37" t="s">
        <v>1792</v>
      </c>
      <c r="S1805" s="37"/>
      <c r="T1805" s="37"/>
      <c r="U1805" s="22">
        <v>2</v>
      </c>
      <c r="V1805" s="22">
        <v>2</v>
      </c>
      <c r="W1805" s="73">
        <f t="shared" si="87"/>
        <v>130</v>
      </c>
      <c r="X1805" s="80">
        <f t="shared" si="88"/>
        <v>2948</v>
      </c>
      <c r="Y1805" s="82" t="s">
        <v>3584</v>
      </c>
      <c r="AF1805" s="19"/>
      <c r="AG1805" s="19"/>
      <c r="AH1805" s="19"/>
      <c r="AI1805" s="19"/>
      <c r="AJ1805" s="19"/>
      <c r="AK1805" s="19"/>
    </row>
    <row r="1806" spans="1:37" ht="15.45" customHeight="1" x14ac:dyDescent="0.25">
      <c r="A1806" s="156" t="s">
        <v>1092</v>
      </c>
      <c r="B1806" s="28"/>
      <c r="C1806" s="37" t="s">
        <v>756</v>
      </c>
      <c r="E1806" s="37" t="s">
        <v>2830</v>
      </c>
      <c r="F1806" s="24" t="s">
        <v>1451</v>
      </c>
      <c r="H1806" s="168"/>
      <c r="I1806" s="167"/>
      <c r="J1806" s="214" t="s">
        <v>3690</v>
      </c>
      <c r="K1806" s="10" t="s">
        <v>3685</v>
      </c>
      <c r="N1806" s="37" t="s">
        <v>3771</v>
      </c>
      <c r="P1806" s="37" t="s">
        <v>255</v>
      </c>
      <c r="Q1806" s="37" t="s">
        <v>5449</v>
      </c>
      <c r="R1806" s="37" t="s">
        <v>1792</v>
      </c>
      <c r="S1806" s="37"/>
      <c r="T1806" s="37"/>
      <c r="U1806" s="22">
        <v>2</v>
      </c>
      <c r="V1806" s="22">
        <v>2</v>
      </c>
      <c r="W1806" s="73">
        <f t="shared" si="87"/>
        <v>132</v>
      </c>
      <c r="X1806" s="80">
        <f t="shared" si="88"/>
        <v>2950</v>
      </c>
      <c r="Y1806" s="82" t="s">
        <v>3584</v>
      </c>
      <c r="AF1806" s="19"/>
      <c r="AG1806" s="19"/>
      <c r="AH1806" s="19"/>
      <c r="AI1806" s="19"/>
      <c r="AJ1806" s="19"/>
      <c r="AK1806" s="19"/>
    </row>
    <row r="1807" spans="1:37" ht="15.45" customHeight="1" x14ac:dyDescent="0.25">
      <c r="A1807" s="156" t="s">
        <v>3362</v>
      </c>
      <c r="B1807" s="28"/>
      <c r="C1807" s="37" t="s">
        <v>756</v>
      </c>
      <c r="E1807" s="37" t="s">
        <v>2830</v>
      </c>
      <c r="F1807" s="24" t="s">
        <v>1451</v>
      </c>
      <c r="H1807" s="168"/>
      <c r="I1807" s="167"/>
      <c r="J1807" s="214" t="s">
        <v>3690</v>
      </c>
      <c r="K1807" s="10" t="s">
        <v>3685</v>
      </c>
      <c r="N1807" s="37" t="s">
        <v>3771</v>
      </c>
      <c r="P1807" s="37" t="s">
        <v>255</v>
      </c>
      <c r="Q1807" s="37" t="s">
        <v>5449</v>
      </c>
      <c r="R1807" s="37" t="s">
        <v>1792</v>
      </c>
      <c r="S1807" s="37"/>
      <c r="T1807" s="37"/>
      <c r="U1807" s="22">
        <v>1</v>
      </c>
      <c r="V1807" s="22">
        <v>1</v>
      </c>
      <c r="W1807" s="73">
        <f t="shared" si="87"/>
        <v>133</v>
      </c>
      <c r="X1807" s="80">
        <f t="shared" si="88"/>
        <v>2951</v>
      </c>
      <c r="Y1807" s="82" t="s">
        <v>3584</v>
      </c>
      <c r="AF1807" s="19"/>
      <c r="AG1807" s="19"/>
      <c r="AH1807" s="19"/>
      <c r="AI1807" s="19"/>
      <c r="AJ1807" s="19"/>
      <c r="AK1807" s="19"/>
    </row>
    <row r="1808" spans="1:37" ht="15.45" customHeight="1" x14ac:dyDescent="0.25">
      <c r="A1808" s="156" t="s">
        <v>1200</v>
      </c>
      <c r="B1808" s="28"/>
      <c r="C1808" s="37" t="s">
        <v>756</v>
      </c>
      <c r="E1808" s="37" t="s">
        <v>2830</v>
      </c>
      <c r="F1808" s="24" t="s">
        <v>1451</v>
      </c>
      <c r="H1808" s="168"/>
      <c r="I1808" s="167"/>
      <c r="J1808" s="214" t="s">
        <v>3690</v>
      </c>
      <c r="K1808" s="10" t="s">
        <v>3685</v>
      </c>
      <c r="N1808" s="37" t="s">
        <v>3771</v>
      </c>
      <c r="P1808" s="37" t="s">
        <v>255</v>
      </c>
      <c r="Q1808" s="37" t="s">
        <v>5449</v>
      </c>
      <c r="R1808" s="37" t="s">
        <v>1792</v>
      </c>
      <c r="S1808" s="37"/>
      <c r="T1808" s="37"/>
      <c r="U1808" s="22">
        <v>3</v>
      </c>
      <c r="V1808" s="22">
        <v>3</v>
      </c>
      <c r="W1808" s="73">
        <f t="shared" si="87"/>
        <v>136</v>
      </c>
      <c r="X1808" s="80">
        <f t="shared" si="88"/>
        <v>2954</v>
      </c>
      <c r="Y1808" s="82" t="s">
        <v>3584</v>
      </c>
      <c r="AF1808" s="19"/>
      <c r="AG1808" s="19"/>
      <c r="AH1808" s="19"/>
      <c r="AI1808" s="19"/>
      <c r="AJ1808" s="19"/>
      <c r="AK1808" s="19"/>
    </row>
    <row r="1809" spans="1:37" ht="15.45" customHeight="1" x14ac:dyDescent="0.25">
      <c r="A1809" s="156" t="s">
        <v>867</v>
      </c>
      <c r="B1809" s="28"/>
      <c r="C1809" s="37" t="s">
        <v>756</v>
      </c>
      <c r="E1809" s="37" t="s">
        <v>2830</v>
      </c>
      <c r="F1809" s="24" t="s">
        <v>1451</v>
      </c>
      <c r="H1809" s="168"/>
      <c r="I1809" s="167"/>
      <c r="J1809" s="214" t="s">
        <v>3690</v>
      </c>
      <c r="K1809" s="10" t="s">
        <v>3685</v>
      </c>
      <c r="N1809" s="37" t="s">
        <v>3772</v>
      </c>
      <c r="S1809" s="37"/>
      <c r="T1809" s="37"/>
      <c r="U1809" s="22">
        <v>1</v>
      </c>
      <c r="V1809" s="22">
        <v>1</v>
      </c>
      <c r="W1809" s="73">
        <f t="shared" si="87"/>
        <v>137</v>
      </c>
      <c r="X1809" s="80">
        <f t="shared" si="88"/>
        <v>2955</v>
      </c>
      <c r="Y1809" s="82" t="s">
        <v>3584</v>
      </c>
      <c r="AF1809" s="19"/>
      <c r="AG1809" s="19"/>
      <c r="AH1809" s="19"/>
      <c r="AI1809" s="19"/>
      <c r="AJ1809" s="19"/>
      <c r="AK1809" s="19"/>
    </row>
    <row r="1810" spans="1:37" ht="15.45" customHeight="1" x14ac:dyDescent="0.25">
      <c r="A1810" s="156" t="s">
        <v>1169</v>
      </c>
      <c r="B1810" s="28"/>
      <c r="C1810" s="37" t="s">
        <v>756</v>
      </c>
      <c r="E1810" s="37" t="s">
        <v>2830</v>
      </c>
      <c r="F1810" s="24" t="s">
        <v>1451</v>
      </c>
      <c r="H1810" s="168"/>
      <c r="I1810" s="167"/>
      <c r="J1810" s="214" t="s">
        <v>3690</v>
      </c>
      <c r="K1810" s="10" t="s">
        <v>3685</v>
      </c>
      <c r="N1810" s="37" t="s">
        <v>3771</v>
      </c>
      <c r="P1810" s="37" t="s">
        <v>255</v>
      </c>
      <c r="Q1810" s="37" t="s">
        <v>5449</v>
      </c>
      <c r="R1810" s="37" t="s">
        <v>1792</v>
      </c>
      <c r="S1810" s="37"/>
      <c r="T1810" s="37"/>
      <c r="U1810" s="22">
        <v>1</v>
      </c>
      <c r="V1810" s="22">
        <v>1</v>
      </c>
      <c r="W1810" s="73">
        <f t="shared" si="87"/>
        <v>138</v>
      </c>
      <c r="X1810" s="80">
        <f t="shared" si="88"/>
        <v>2956</v>
      </c>
      <c r="Y1810" s="82" t="s">
        <v>3584</v>
      </c>
      <c r="AF1810" s="19"/>
      <c r="AG1810" s="19"/>
      <c r="AH1810" s="19"/>
      <c r="AI1810" s="19"/>
      <c r="AJ1810" s="19"/>
      <c r="AK1810" s="19"/>
    </row>
    <row r="1811" spans="1:37" ht="15.45" customHeight="1" x14ac:dyDescent="0.25">
      <c r="A1811" s="156" t="s">
        <v>1561</v>
      </c>
      <c r="B1811" s="28"/>
      <c r="C1811" s="37" t="s">
        <v>756</v>
      </c>
      <c r="E1811" s="37" t="s">
        <v>2830</v>
      </c>
      <c r="F1811" s="24" t="s">
        <v>992</v>
      </c>
      <c r="H1811" s="168"/>
      <c r="I1811" s="167"/>
      <c r="Q1811" s="37" t="s">
        <v>581</v>
      </c>
      <c r="R1811" s="37" t="s">
        <v>1811</v>
      </c>
      <c r="S1811" s="37"/>
      <c r="T1811" s="37"/>
      <c r="U1811" s="22">
        <v>1</v>
      </c>
      <c r="V1811" s="22">
        <v>1</v>
      </c>
      <c r="W1811" s="73">
        <f t="shared" si="87"/>
        <v>139</v>
      </c>
      <c r="X1811" s="80">
        <f t="shared" si="88"/>
        <v>2957</v>
      </c>
      <c r="Y1811" s="82" t="s">
        <v>3592</v>
      </c>
      <c r="Z1811" s="24" t="s">
        <v>2884</v>
      </c>
      <c r="AF1811" s="19"/>
      <c r="AG1811" s="19"/>
      <c r="AH1811" s="19"/>
      <c r="AI1811" s="19"/>
      <c r="AJ1811" s="19"/>
      <c r="AK1811" s="19"/>
    </row>
    <row r="1812" spans="1:37" ht="15.45" customHeight="1" x14ac:dyDescent="0.25">
      <c r="A1812" s="156" t="s">
        <v>112</v>
      </c>
      <c r="B1812" s="28" t="s">
        <v>5093</v>
      </c>
      <c r="C1812" s="37" t="s">
        <v>756</v>
      </c>
      <c r="E1812" s="37" t="s">
        <v>2830</v>
      </c>
      <c r="F1812" s="24" t="s">
        <v>992</v>
      </c>
      <c r="H1812" s="168"/>
      <c r="I1812" s="167"/>
      <c r="O1812" s="37" t="s">
        <v>199</v>
      </c>
      <c r="P1812" s="37" t="s">
        <v>1687</v>
      </c>
      <c r="Q1812" s="37" t="s">
        <v>3506</v>
      </c>
      <c r="R1812" s="37" t="s">
        <v>1792</v>
      </c>
      <c r="S1812" s="37"/>
      <c r="T1812" s="37"/>
      <c r="U1812" s="22">
        <v>2</v>
      </c>
      <c r="V1812" s="22">
        <v>2</v>
      </c>
      <c r="W1812" s="73">
        <f t="shared" si="87"/>
        <v>141</v>
      </c>
      <c r="X1812" s="80">
        <f t="shared" si="88"/>
        <v>2959</v>
      </c>
      <c r="Y1812" s="82" t="s">
        <v>3592</v>
      </c>
      <c r="Z1812" s="24" t="s">
        <v>2888</v>
      </c>
      <c r="AF1812" s="19"/>
      <c r="AG1812" s="19"/>
      <c r="AH1812" s="19"/>
      <c r="AI1812" s="19"/>
      <c r="AJ1812" s="19"/>
      <c r="AK1812" s="19"/>
    </row>
    <row r="1813" spans="1:37" ht="15.45" customHeight="1" x14ac:dyDescent="0.25">
      <c r="A1813" s="156" t="s">
        <v>2083</v>
      </c>
      <c r="B1813" s="28" t="s">
        <v>5093</v>
      </c>
      <c r="C1813" s="37" t="s">
        <v>756</v>
      </c>
      <c r="E1813" s="37" t="s">
        <v>2830</v>
      </c>
      <c r="F1813" s="24" t="s">
        <v>992</v>
      </c>
      <c r="H1813" s="168"/>
      <c r="I1813" s="167"/>
      <c r="O1813" s="37" t="s">
        <v>1671</v>
      </c>
      <c r="P1813" s="37" t="s">
        <v>1463</v>
      </c>
      <c r="Q1813" s="37" t="s">
        <v>3506</v>
      </c>
      <c r="R1813" s="37" t="s">
        <v>1792</v>
      </c>
      <c r="S1813" s="37"/>
      <c r="T1813" s="37"/>
      <c r="U1813" s="22">
        <v>1</v>
      </c>
      <c r="V1813" s="22">
        <v>1</v>
      </c>
      <c r="W1813" s="73">
        <f t="shared" si="87"/>
        <v>142</v>
      </c>
      <c r="X1813" s="80">
        <f t="shared" si="88"/>
        <v>2960</v>
      </c>
      <c r="Y1813" s="82" t="s">
        <v>3592</v>
      </c>
      <c r="Z1813" s="24" t="s">
        <v>430</v>
      </c>
      <c r="AF1813" s="19"/>
      <c r="AG1813" s="19"/>
      <c r="AH1813" s="19"/>
      <c r="AI1813" s="19"/>
      <c r="AJ1813" s="19"/>
      <c r="AK1813" s="19"/>
    </row>
    <row r="1814" spans="1:37" ht="15.45" customHeight="1" x14ac:dyDescent="0.25">
      <c r="A1814" s="156" t="s">
        <v>2817</v>
      </c>
      <c r="B1814" s="28" t="s">
        <v>5093</v>
      </c>
      <c r="C1814" s="37" t="s">
        <v>756</v>
      </c>
      <c r="E1814" s="37" t="s">
        <v>2830</v>
      </c>
      <c r="F1814" s="24" t="s">
        <v>992</v>
      </c>
      <c r="H1814" s="168"/>
      <c r="I1814" s="167"/>
      <c r="O1814" s="37" t="s">
        <v>1563</v>
      </c>
      <c r="Q1814" s="37" t="s">
        <v>3506</v>
      </c>
      <c r="R1814" s="37" t="s">
        <v>1792</v>
      </c>
      <c r="S1814" s="37"/>
      <c r="T1814" s="37"/>
      <c r="U1814" s="22">
        <v>2</v>
      </c>
      <c r="V1814" s="22">
        <v>2</v>
      </c>
      <c r="W1814" s="73">
        <f t="shared" si="87"/>
        <v>144</v>
      </c>
      <c r="X1814" s="80">
        <f t="shared" si="88"/>
        <v>2962</v>
      </c>
      <c r="Y1814" s="82" t="s">
        <v>3592</v>
      </c>
      <c r="Z1814" s="24" t="s">
        <v>2884</v>
      </c>
      <c r="AF1814" s="19"/>
      <c r="AG1814" s="19"/>
      <c r="AH1814" s="19"/>
      <c r="AI1814" s="19"/>
      <c r="AJ1814" s="19"/>
      <c r="AK1814" s="19"/>
    </row>
    <row r="1815" spans="1:37" ht="15.45" customHeight="1" x14ac:dyDescent="0.25">
      <c r="A1815" s="156" t="s">
        <v>1170</v>
      </c>
      <c r="B1815" s="28" t="s">
        <v>5093</v>
      </c>
      <c r="C1815" s="37" t="s">
        <v>756</v>
      </c>
      <c r="E1815" s="37" t="s">
        <v>2830</v>
      </c>
      <c r="F1815" s="24" t="s">
        <v>992</v>
      </c>
      <c r="H1815" s="168"/>
      <c r="I1815" s="167"/>
      <c r="J1815" s="214" t="s">
        <v>3690</v>
      </c>
      <c r="K1815" s="10" t="s">
        <v>3685</v>
      </c>
      <c r="N1815" s="37" t="s">
        <v>3771</v>
      </c>
      <c r="O1815" s="37" t="s">
        <v>5468</v>
      </c>
      <c r="P1815" s="37" t="s">
        <v>5467</v>
      </c>
      <c r="Q1815" s="37" t="s">
        <v>1998</v>
      </c>
      <c r="R1815" s="37" t="s">
        <v>1792</v>
      </c>
      <c r="S1815" s="37"/>
      <c r="T1815" s="37"/>
      <c r="U1815" s="22">
        <v>1</v>
      </c>
      <c r="V1815" s="22">
        <v>1</v>
      </c>
      <c r="W1815" s="73">
        <f t="shared" si="87"/>
        <v>145</v>
      </c>
      <c r="X1815" s="80">
        <f t="shared" si="88"/>
        <v>2963</v>
      </c>
      <c r="Y1815" s="82" t="s">
        <v>3584</v>
      </c>
      <c r="AF1815" s="19"/>
      <c r="AG1815" s="19"/>
      <c r="AH1815" s="19"/>
      <c r="AI1815" s="19"/>
      <c r="AJ1815" s="19"/>
      <c r="AK1815" s="19"/>
    </row>
    <row r="1816" spans="1:37" ht="15.45" customHeight="1" x14ac:dyDescent="0.25">
      <c r="A1816" s="156" t="s">
        <v>891</v>
      </c>
      <c r="B1816" s="28" t="s">
        <v>5093</v>
      </c>
      <c r="C1816" s="37" t="s">
        <v>756</v>
      </c>
      <c r="E1816" s="37" t="s">
        <v>2830</v>
      </c>
      <c r="F1816" s="24" t="s">
        <v>992</v>
      </c>
      <c r="H1816" s="168"/>
      <c r="I1816" s="167"/>
      <c r="J1816" s="214" t="s">
        <v>3690</v>
      </c>
      <c r="K1816" s="10" t="s">
        <v>3685</v>
      </c>
      <c r="N1816" s="37" t="s">
        <v>3771</v>
      </c>
      <c r="O1816" s="37" t="s">
        <v>5470</v>
      </c>
      <c r="P1816" s="37" t="s">
        <v>5469</v>
      </c>
      <c r="Q1816" s="37" t="s">
        <v>1998</v>
      </c>
      <c r="R1816" s="37" t="s">
        <v>1792</v>
      </c>
      <c r="S1816" s="37"/>
      <c r="T1816" s="37"/>
      <c r="U1816" s="22">
        <v>2</v>
      </c>
      <c r="V1816" s="22">
        <v>2</v>
      </c>
      <c r="W1816" s="73">
        <f t="shared" si="87"/>
        <v>147</v>
      </c>
      <c r="X1816" s="80">
        <f t="shared" si="88"/>
        <v>2965</v>
      </c>
      <c r="Y1816" s="82" t="s">
        <v>3584</v>
      </c>
      <c r="AF1816" s="19"/>
      <c r="AG1816" s="19"/>
      <c r="AH1816" s="19"/>
      <c r="AI1816" s="19"/>
      <c r="AJ1816" s="19"/>
      <c r="AK1816" s="19"/>
    </row>
    <row r="1817" spans="1:37" ht="15.45" customHeight="1" x14ac:dyDescent="0.25">
      <c r="A1817" s="156" t="s">
        <v>2085</v>
      </c>
      <c r="B1817" s="28" t="s">
        <v>5093</v>
      </c>
      <c r="C1817" s="37" t="s">
        <v>756</v>
      </c>
      <c r="E1817" s="37" t="s">
        <v>2830</v>
      </c>
      <c r="F1817" s="24" t="s">
        <v>992</v>
      </c>
      <c r="H1817" s="168"/>
      <c r="I1817" s="167"/>
      <c r="O1817" s="37" t="s">
        <v>5471</v>
      </c>
      <c r="P1817" s="37" t="s">
        <v>5472</v>
      </c>
      <c r="Q1817" s="37" t="s">
        <v>3506</v>
      </c>
      <c r="R1817" s="37" t="s">
        <v>1792</v>
      </c>
      <c r="S1817" s="37"/>
      <c r="T1817" s="37"/>
      <c r="U1817" s="22">
        <v>1</v>
      </c>
      <c r="V1817" s="22">
        <v>1</v>
      </c>
      <c r="W1817" s="73">
        <f t="shared" si="87"/>
        <v>148</v>
      </c>
      <c r="X1817" s="80">
        <f t="shared" si="88"/>
        <v>2966</v>
      </c>
      <c r="Y1817" s="82" t="s">
        <v>3592</v>
      </c>
      <c r="Z1817" s="24" t="s">
        <v>430</v>
      </c>
      <c r="AF1817" s="19"/>
      <c r="AG1817" s="19"/>
      <c r="AH1817" s="19"/>
      <c r="AI1817" s="19"/>
      <c r="AJ1817" s="19"/>
      <c r="AK1817" s="19"/>
    </row>
    <row r="1818" spans="1:37" ht="15.45" customHeight="1" x14ac:dyDescent="0.25">
      <c r="A1818" s="156" t="s">
        <v>770</v>
      </c>
      <c r="B1818" s="28" t="s">
        <v>5093</v>
      </c>
      <c r="C1818" s="37" t="s">
        <v>756</v>
      </c>
      <c r="E1818" s="37" t="s">
        <v>2830</v>
      </c>
      <c r="F1818" s="24" t="s">
        <v>992</v>
      </c>
      <c r="H1818" s="168"/>
      <c r="I1818" s="167"/>
      <c r="J1818" s="214" t="s">
        <v>3690</v>
      </c>
      <c r="K1818" s="10" t="s">
        <v>3685</v>
      </c>
      <c r="N1818" s="37" t="s">
        <v>3771</v>
      </c>
      <c r="O1818" s="37" t="s">
        <v>293</v>
      </c>
      <c r="P1818" s="10" t="s">
        <v>5473</v>
      </c>
      <c r="Q1818" s="37" t="s">
        <v>1998</v>
      </c>
      <c r="R1818" s="37" t="s">
        <v>1792</v>
      </c>
      <c r="S1818" s="37"/>
      <c r="T1818" s="37"/>
      <c r="U1818" s="22">
        <v>3</v>
      </c>
      <c r="V1818" s="22">
        <v>3</v>
      </c>
      <c r="W1818" s="73">
        <f t="shared" si="87"/>
        <v>151</v>
      </c>
      <c r="X1818" s="80">
        <f t="shared" si="88"/>
        <v>2969</v>
      </c>
      <c r="Y1818" s="82" t="s">
        <v>3584</v>
      </c>
      <c r="AF1818" s="19"/>
      <c r="AG1818" s="19"/>
      <c r="AH1818" s="19"/>
      <c r="AI1818" s="19"/>
      <c r="AJ1818" s="19"/>
      <c r="AK1818" s="19"/>
    </row>
    <row r="1819" spans="1:37" ht="15.45" customHeight="1" x14ac:dyDescent="0.25">
      <c r="A1819" s="156" t="s">
        <v>1077</v>
      </c>
      <c r="B1819" s="28" t="s">
        <v>5093</v>
      </c>
      <c r="C1819" s="37" t="s">
        <v>756</v>
      </c>
      <c r="E1819" s="37" t="s">
        <v>2830</v>
      </c>
      <c r="F1819" s="24" t="s">
        <v>992</v>
      </c>
      <c r="H1819" t="s">
        <v>7166</v>
      </c>
      <c r="I1819" s="167"/>
      <c r="J1819" s="214" t="s">
        <v>3690</v>
      </c>
      <c r="K1819" s="10" t="s">
        <v>3685</v>
      </c>
      <c r="N1819" s="37" t="s">
        <v>3771</v>
      </c>
      <c r="O1819" s="37" t="s">
        <v>294</v>
      </c>
      <c r="P1819" s="10" t="s">
        <v>5473</v>
      </c>
      <c r="Q1819" s="37" t="s">
        <v>1998</v>
      </c>
      <c r="R1819" s="37" t="s">
        <v>1792</v>
      </c>
      <c r="S1819" s="37"/>
      <c r="T1819" s="37"/>
      <c r="U1819" s="22">
        <v>1</v>
      </c>
      <c r="V1819" s="22">
        <v>1</v>
      </c>
      <c r="W1819" s="73">
        <f t="shared" si="87"/>
        <v>152</v>
      </c>
      <c r="X1819" s="80">
        <f t="shared" si="88"/>
        <v>2970</v>
      </c>
      <c r="Y1819" s="82" t="s">
        <v>3584</v>
      </c>
      <c r="AF1819" s="19"/>
      <c r="AG1819" s="19"/>
      <c r="AH1819" s="19"/>
      <c r="AI1819" s="19"/>
      <c r="AJ1819" s="19"/>
      <c r="AK1819" s="19"/>
    </row>
    <row r="1820" spans="1:37" ht="15.45" customHeight="1" x14ac:dyDescent="0.25">
      <c r="A1820" s="156" t="s">
        <v>667</v>
      </c>
      <c r="B1820" s="28" t="s">
        <v>5093</v>
      </c>
      <c r="C1820" s="37" t="s">
        <v>756</v>
      </c>
      <c r="E1820" s="37" t="s">
        <v>2830</v>
      </c>
      <c r="F1820" s="24" t="s">
        <v>992</v>
      </c>
      <c r="H1820" s="168"/>
      <c r="I1820" s="167"/>
      <c r="J1820" s="214" t="s">
        <v>3690</v>
      </c>
      <c r="K1820" s="10" t="s">
        <v>3685</v>
      </c>
      <c r="N1820" s="37" t="s">
        <v>3771</v>
      </c>
      <c r="O1820" s="37" t="s">
        <v>294</v>
      </c>
      <c r="P1820" s="10" t="s">
        <v>5473</v>
      </c>
      <c r="Q1820" s="37" t="s">
        <v>1998</v>
      </c>
      <c r="R1820" s="37" t="s">
        <v>1792</v>
      </c>
      <c r="S1820" s="37"/>
      <c r="T1820" s="37"/>
      <c r="U1820" s="22">
        <v>1</v>
      </c>
      <c r="V1820" s="22">
        <v>1</v>
      </c>
      <c r="W1820" s="73">
        <f t="shared" si="87"/>
        <v>153</v>
      </c>
      <c r="X1820" s="80">
        <f t="shared" si="88"/>
        <v>2971</v>
      </c>
      <c r="Y1820" s="82" t="s">
        <v>3584</v>
      </c>
      <c r="AF1820" s="19"/>
      <c r="AG1820" s="19"/>
      <c r="AH1820" s="19"/>
      <c r="AI1820" s="19"/>
      <c r="AJ1820" s="19"/>
      <c r="AK1820" s="19"/>
    </row>
    <row r="1821" spans="1:37" ht="15.45" customHeight="1" x14ac:dyDescent="0.25">
      <c r="A1821" s="156" t="s">
        <v>892</v>
      </c>
      <c r="B1821" s="28" t="s">
        <v>5093</v>
      </c>
      <c r="C1821" s="37" t="s">
        <v>756</v>
      </c>
      <c r="E1821" s="37" t="s">
        <v>2830</v>
      </c>
      <c r="F1821" s="24" t="s">
        <v>992</v>
      </c>
      <c r="H1821" s="168"/>
      <c r="I1821" s="167"/>
      <c r="J1821" s="214" t="s">
        <v>3690</v>
      </c>
      <c r="K1821" s="10" t="s">
        <v>3685</v>
      </c>
      <c r="N1821" s="37" t="s">
        <v>3771</v>
      </c>
      <c r="O1821" s="37" t="s">
        <v>5474</v>
      </c>
      <c r="P1821" s="37" t="s">
        <v>5472</v>
      </c>
      <c r="Q1821" s="37" t="s">
        <v>3506</v>
      </c>
      <c r="R1821" s="37" t="s">
        <v>1792</v>
      </c>
      <c r="S1821" s="37"/>
      <c r="T1821" s="37"/>
      <c r="U1821" s="22">
        <v>2</v>
      </c>
      <c r="V1821" s="22">
        <v>2</v>
      </c>
      <c r="W1821" s="73">
        <f t="shared" si="87"/>
        <v>155</v>
      </c>
      <c r="X1821" s="80">
        <f t="shared" si="88"/>
        <v>2973</v>
      </c>
      <c r="Y1821" s="82" t="s">
        <v>3584</v>
      </c>
      <c r="AF1821" s="19"/>
      <c r="AG1821" s="19"/>
      <c r="AH1821" s="19"/>
      <c r="AI1821" s="19"/>
      <c r="AJ1821" s="19"/>
      <c r="AK1821" s="19"/>
    </row>
    <row r="1822" spans="1:37" ht="15.45" customHeight="1" x14ac:dyDescent="0.25">
      <c r="A1822" s="156" t="s">
        <v>668</v>
      </c>
      <c r="B1822" s="28" t="s">
        <v>5093</v>
      </c>
      <c r="C1822" s="37" t="s">
        <v>756</v>
      </c>
      <c r="E1822" s="37" t="s">
        <v>2830</v>
      </c>
      <c r="F1822" s="24" t="s">
        <v>992</v>
      </c>
      <c r="H1822" s="168"/>
      <c r="I1822" s="167"/>
      <c r="J1822" s="214" t="s">
        <v>3690</v>
      </c>
      <c r="K1822" s="10" t="s">
        <v>3685</v>
      </c>
      <c r="N1822" s="37" t="s">
        <v>3771</v>
      </c>
      <c r="O1822" s="37" t="s">
        <v>125</v>
      </c>
      <c r="P1822" s="78" t="s">
        <v>5473</v>
      </c>
      <c r="Q1822" s="37" t="s">
        <v>1998</v>
      </c>
      <c r="R1822" s="37" t="s">
        <v>1792</v>
      </c>
      <c r="S1822" s="37"/>
      <c r="T1822" s="37"/>
      <c r="U1822" s="22">
        <v>1</v>
      </c>
      <c r="V1822" s="22">
        <v>1</v>
      </c>
      <c r="W1822" s="73">
        <f t="shared" si="87"/>
        <v>156</v>
      </c>
      <c r="X1822" s="80">
        <f t="shared" si="88"/>
        <v>2974</v>
      </c>
      <c r="Y1822" s="82" t="s">
        <v>3584</v>
      </c>
      <c r="AF1822" s="19"/>
      <c r="AG1822" s="19"/>
      <c r="AH1822" s="19"/>
      <c r="AI1822" s="19"/>
      <c r="AJ1822" s="19"/>
      <c r="AK1822" s="19"/>
    </row>
    <row r="1823" spans="1:37" ht="15.45" customHeight="1" x14ac:dyDescent="0.25">
      <c r="A1823" s="156" t="s">
        <v>669</v>
      </c>
      <c r="B1823" s="28" t="s">
        <v>5093</v>
      </c>
      <c r="C1823" s="37" t="s">
        <v>756</v>
      </c>
      <c r="E1823" s="37" t="s">
        <v>2830</v>
      </c>
      <c r="F1823" s="24" t="s">
        <v>992</v>
      </c>
      <c r="H1823" t="s">
        <v>7166</v>
      </c>
      <c r="I1823" s="167"/>
      <c r="J1823" s="214" t="s">
        <v>3690</v>
      </c>
      <c r="K1823" s="10" t="s">
        <v>3685</v>
      </c>
      <c r="N1823" s="37" t="s">
        <v>3771</v>
      </c>
      <c r="O1823" s="37" t="s">
        <v>294</v>
      </c>
      <c r="P1823" s="10" t="s">
        <v>5473</v>
      </c>
      <c r="Q1823" s="37" t="s">
        <v>1998</v>
      </c>
      <c r="R1823" s="37" t="s">
        <v>1792</v>
      </c>
      <c r="S1823" s="37"/>
      <c r="T1823" s="37"/>
      <c r="U1823" s="22">
        <v>1</v>
      </c>
      <c r="V1823" s="22">
        <v>1</v>
      </c>
      <c r="W1823" s="73">
        <f t="shared" si="87"/>
        <v>157</v>
      </c>
      <c r="X1823" s="80">
        <f t="shared" si="88"/>
        <v>2975</v>
      </c>
      <c r="Y1823" s="82" t="s">
        <v>3584</v>
      </c>
      <c r="AF1823" s="19"/>
      <c r="AG1823" s="19"/>
      <c r="AH1823" s="19"/>
      <c r="AI1823" s="19"/>
      <c r="AJ1823" s="19"/>
      <c r="AK1823" s="19"/>
    </row>
    <row r="1824" spans="1:37" ht="15.45" customHeight="1" x14ac:dyDescent="0.25">
      <c r="A1824" s="156" t="s">
        <v>864</v>
      </c>
      <c r="B1824" s="28" t="s">
        <v>5093</v>
      </c>
      <c r="C1824" s="37" t="s">
        <v>756</v>
      </c>
      <c r="E1824" s="37" t="s">
        <v>2830</v>
      </c>
      <c r="F1824" s="24" t="s">
        <v>992</v>
      </c>
      <c r="H1824" s="168"/>
      <c r="I1824" s="167"/>
      <c r="J1824" s="214" t="s">
        <v>3690</v>
      </c>
      <c r="K1824" s="10" t="s">
        <v>3685</v>
      </c>
      <c r="N1824" s="37" t="s">
        <v>3771</v>
      </c>
      <c r="O1824" s="37" t="s">
        <v>125</v>
      </c>
      <c r="P1824" s="78" t="s">
        <v>5473</v>
      </c>
      <c r="Q1824" s="37" t="s">
        <v>1998</v>
      </c>
      <c r="R1824" s="37" t="s">
        <v>1792</v>
      </c>
      <c r="S1824" s="37"/>
      <c r="T1824" s="37"/>
      <c r="U1824" s="22">
        <v>1</v>
      </c>
      <c r="V1824" s="22">
        <v>1</v>
      </c>
      <c r="W1824" s="73">
        <f t="shared" si="87"/>
        <v>158</v>
      </c>
      <c r="X1824" s="80">
        <f t="shared" si="88"/>
        <v>2976</v>
      </c>
      <c r="Y1824" s="82" t="s">
        <v>3584</v>
      </c>
      <c r="AF1824" s="19"/>
      <c r="AG1824" s="19"/>
      <c r="AH1824" s="19"/>
      <c r="AI1824" s="19"/>
      <c r="AJ1824" s="19"/>
      <c r="AK1824" s="19"/>
    </row>
    <row r="1825" spans="1:37" ht="15.45" customHeight="1" x14ac:dyDescent="0.25">
      <c r="A1825" s="156" t="s">
        <v>871</v>
      </c>
      <c r="B1825" s="28" t="s">
        <v>5093</v>
      </c>
      <c r="C1825" s="37" t="s">
        <v>756</v>
      </c>
      <c r="E1825" s="37" t="s">
        <v>2830</v>
      </c>
      <c r="F1825" s="24" t="s">
        <v>992</v>
      </c>
      <c r="H1825" s="168"/>
      <c r="I1825" s="167"/>
      <c r="J1825" s="214" t="s">
        <v>3690</v>
      </c>
      <c r="K1825" s="10" t="s">
        <v>3685</v>
      </c>
      <c r="N1825" s="37" t="s">
        <v>3771</v>
      </c>
      <c r="O1825" s="37" t="s">
        <v>5475</v>
      </c>
      <c r="P1825" s="37" t="s">
        <v>5476</v>
      </c>
      <c r="Q1825" s="37" t="s">
        <v>1998</v>
      </c>
      <c r="R1825" s="37" t="s">
        <v>1792</v>
      </c>
      <c r="S1825" s="37"/>
      <c r="T1825" s="37"/>
      <c r="U1825" s="22">
        <v>1</v>
      </c>
      <c r="V1825" s="22">
        <v>1</v>
      </c>
      <c r="W1825" s="73">
        <f t="shared" si="87"/>
        <v>159</v>
      </c>
      <c r="X1825" s="80">
        <f t="shared" si="88"/>
        <v>2977</v>
      </c>
      <c r="Y1825" s="82" t="s">
        <v>3584</v>
      </c>
      <c r="AF1825" s="19"/>
      <c r="AG1825" s="19"/>
      <c r="AH1825" s="19"/>
      <c r="AI1825" s="19"/>
      <c r="AJ1825" s="19"/>
      <c r="AK1825" s="19"/>
    </row>
    <row r="1826" spans="1:37" ht="15.45" customHeight="1" x14ac:dyDescent="0.25">
      <c r="A1826" s="156" t="s">
        <v>509</v>
      </c>
      <c r="B1826" s="28" t="s">
        <v>5093</v>
      </c>
      <c r="C1826" s="37" t="s">
        <v>756</v>
      </c>
      <c r="E1826" s="37" t="s">
        <v>2830</v>
      </c>
      <c r="F1826" s="24" t="s">
        <v>992</v>
      </c>
      <c r="H1826" s="168"/>
      <c r="I1826" s="167"/>
      <c r="O1826" s="37" t="s">
        <v>1563</v>
      </c>
      <c r="Q1826" s="37" t="s">
        <v>3506</v>
      </c>
      <c r="R1826" s="37" t="s">
        <v>1792</v>
      </c>
      <c r="S1826" s="37"/>
      <c r="T1826" s="37"/>
      <c r="U1826" s="22">
        <v>1</v>
      </c>
      <c r="V1826" s="22">
        <v>1</v>
      </c>
      <c r="W1826" s="73">
        <f t="shared" si="87"/>
        <v>160</v>
      </c>
      <c r="X1826" s="80">
        <f t="shared" si="88"/>
        <v>2978</v>
      </c>
      <c r="Y1826" s="82" t="s">
        <v>3592</v>
      </c>
      <c r="Z1826" s="24" t="s">
        <v>2884</v>
      </c>
      <c r="AF1826" s="19"/>
      <c r="AG1826" s="19"/>
      <c r="AH1826" s="19"/>
      <c r="AI1826" s="19"/>
      <c r="AJ1826" s="19"/>
      <c r="AK1826" s="19"/>
    </row>
    <row r="1827" spans="1:37" ht="15.45" customHeight="1" x14ac:dyDescent="0.25">
      <c r="A1827" s="156" t="s">
        <v>216</v>
      </c>
      <c r="B1827" s="28" t="s">
        <v>5093</v>
      </c>
      <c r="C1827" s="37" t="s">
        <v>756</v>
      </c>
      <c r="E1827" s="37" t="s">
        <v>2830</v>
      </c>
      <c r="F1827" s="24" t="s">
        <v>992</v>
      </c>
      <c r="H1827" s="168"/>
      <c r="I1827" s="167"/>
      <c r="O1827" s="37" t="s">
        <v>5464</v>
      </c>
      <c r="P1827" s="37" t="s">
        <v>1463</v>
      </c>
      <c r="Q1827" s="37" t="s">
        <v>3506</v>
      </c>
      <c r="R1827" s="37" t="s">
        <v>1792</v>
      </c>
      <c r="S1827" s="37"/>
      <c r="T1827" s="37"/>
      <c r="U1827" s="22">
        <v>1</v>
      </c>
      <c r="V1827" s="22">
        <v>1</v>
      </c>
      <c r="W1827" s="73">
        <f t="shared" si="87"/>
        <v>161</v>
      </c>
      <c r="X1827" s="80">
        <f t="shared" si="88"/>
        <v>2979</v>
      </c>
      <c r="Y1827" s="82" t="s">
        <v>3592</v>
      </c>
      <c r="Z1827" s="24" t="s">
        <v>2884</v>
      </c>
      <c r="AF1827" s="19"/>
      <c r="AG1827" s="19"/>
      <c r="AH1827" s="19"/>
      <c r="AI1827" s="19"/>
      <c r="AJ1827" s="19"/>
      <c r="AK1827" s="19"/>
    </row>
    <row r="1828" spans="1:37" ht="15.45" customHeight="1" x14ac:dyDescent="0.25">
      <c r="A1828" s="156" t="s">
        <v>3363</v>
      </c>
      <c r="B1828" s="28" t="s">
        <v>5093</v>
      </c>
      <c r="C1828" s="37" t="s">
        <v>756</v>
      </c>
      <c r="E1828" s="37" t="s">
        <v>2830</v>
      </c>
      <c r="F1828" s="24" t="s">
        <v>992</v>
      </c>
      <c r="H1828" s="168" t="s">
        <v>5309</v>
      </c>
      <c r="I1828" s="167"/>
      <c r="O1828" s="37" t="s">
        <v>1563</v>
      </c>
      <c r="Q1828" s="37" t="s">
        <v>3506</v>
      </c>
      <c r="R1828" s="37" t="s">
        <v>1792</v>
      </c>
      <c r="S1828" s="37"/>
      <c r="T1828" s="37"/>
      <c r="U1828" s="22">
        <v>1</v>
      </c>
      <c r="V1828" s="22">
        <v>1</v>
      </c>
      <c r="W1828" s="73">
        <f t="shared" si="87"/>
        <v>162</v>
      </c>
      <c r="X1828" s="80">
        <f t="shared" si="88"/>
        <v>2980</v>
      </c>
      <c r="Y1828" s="82" t="s">
        <v>3592</v>
      </c>
      <c r="Z1828" s="24" t="s">
        <v>2884</v>
      </c>
      <c r="AF1828" s="19"/>
      <c r="AG1828" s="19"/>
      <c r="AH1828" s="19"/>
      <c r="AI1828" s="19"/>
      <c r="AJ1828" s="19"/>
      <c r="AK1828" s="19"/>
    </row>
    <row r="1829" spans="1:37" ht="15.45" customHeight="1" x14ac:dyDescent="0.25">
      <c r="A1829" s="156" t="s">
        <v>1668</v>
      </c>
      <c r="B1829" s="28" t="s">
        <v>5093</v>
      </c>
      <c r="C1829" s="37" t="s">
        <v>756</v>
      </c>
      <c r="E1829" s="37" t="s">
        <v>2830</v>
      </c>
      <c r="F1829" s="24" t="s">
        <v>992</v>
      </c>
      <c r="H1829" s="168"/>
      <c r="I1829" s="167"/>
      <c r="O1829" s="37" t="s">
        <v>1563</v>
      </c>
      <c r="Q1829" s="37" t="s">
        <v>3506</v>
      </c>
      <c r="R1829" s="37" t="s">
        <v>1792</v>
      </c>
      <c r="S1829" s="37"/>
      <c r="T1829" s="37"/>
      <c r="U1829" s="22">
        <v>1</v>
      </c>
      <c r="V1829" s="22">
        <v>1</v>
      </c>
      <c r="W1829" s="73">
        <f t="shared" si="87"/>
        <v>163</v>
      </c>
      <c r="X1829" s="80">
        <f t="shared" si="88"/>
        <v>2981</v>
      </c>
      <c r="Y1829" s="82" t="s">
        <v>3592</v>
      </c>
      <c r="Z1829" s="24" t="s">
        <v>1669</v>
      </c>
      <c r="AF1829" s="19"/>
      <c r="AG1829" s="19"/>
      <c r="AH1829" s="19"/>
      <c r="AI1829" s="19"/>
      <c r="AJ1829" s="19"/>
      <c r="AK1829" s="19"/>
    </row>
    <row r="1830" spans="1:37" ht="15.45" customHeight="1" x14ac:dyDescent="0.25">
      <c r="A1830" s="156" t="s">
        <v>6489</v>
      </c>
      <c r="B1830" s="28" t="s">
        <v>5093</v>
      </c>
      <c r="C1830" s="37" t="s">
        <v>756</v>
      </c>
      <c r="E1830" s="37" t="s">
        <v>2830</v>
      </c>
      <c r="F1830" s="24" t="s">
        <v>6490</v>
      </c>
      <c r="H1830" s="201" t="s">
        <v>6491</v>
      </c>
      <c r="I1830" s="167"/>
      <c r="O1830" s="37" t="s">
        <v>1563</v>
      </c>
      <c r="Q1830" s="37" t="s">
        <v>3506</v>
      </c>
      <c r="S1830" s="37" t="s">
        <v>2983</v>
      </c>
      <c r="T1830" s="37" t="s">
        <v>6492</v>
      </c>
      <c r="U1830" s="22">
        <v>1</v>
      </c>
      <c r="V1830" s="22">
        <v>1</v>
      </c>
      <c r="W1830" s="73">
        <f t="shared" si="87"/>
        <v>164</v>
      </c>
      <c r="X1830" s="80">
        <f t="shared" si="88"/>
        <v>2982</v>
      </c>
      <c r="Y1830" s="82" t="s">
        <v>3591</v>
      </c>
      <c r="Z1830" s="24" t="s">
        <v>6493</v>
      </c>
      <c r="AB1830" s="177">
        <v>44583</v>
      </c>
      <c r="AC1830" s="84" t="s">
        <v>5308</v>
      </c>
      <c r="AF1830" s="19"/>
      <c r="AG1830" s="19"/>
      <c r="AH1830" s="19"/>
      <c r="AI1830" s="19" t="s">
        <v>2947</v>
      </c>
      <c r="AJ1830" s="211">
        <v>44614</v>
      </c>
      <c r="AK1830" s="19" t="s">
        <v>4196</v>
      </c>
    </row>
    <row r="1831" spans="1:37" ht="15.45" customHeight="1" x14ac:dyDescent="0.25">
      <c r="A1831" s="156" t="s">
        <v>990</v>
      </c>
      <c r="B1831" s="28" t="s">
        <v>5093</v>
      </c>
      <c r="C1831" s="37" t="s">
        <v>756</v>
      </c>
      <c r="E1831" s="37" t="s">
        <v>2830</v>
      </c>
      <c r="F1831" s="24" t="s">
        <v>992</v>
      </c>
      <c r="H1831" s="168"/>
      <c r="I1831" s="167"/>
      <c r="O1831" s="37" t="s">
        <v>5465</v>
      </c>
      <c r="P1831" s="37" t="s">
        <v>1687</v>
      </c>
      <c r="Q1831" s="37" t="s">
        <v>3506</v>
      </c>
      <c r="R1831" s="37" t="s">
        <v>1792</v>
      </c>
      <c r="S1831" s="37"/>
      <c r="T1831" s="37"/>
      <c r="U1831" s="22">
        <v>2</v>
      </c>
      <c r="V1831" s="22">
        <v>2</v>
      </c>
      <c r="W1831" s="73">
        <f t="shared" si="87"/>
        <v>166</v>
      </c>
      <c r="X1831" s="80">
        <f t="shared" si="88"/>
        <v>2984</v>
      </c>
      <c r="Y1831" s="82" t="s">
        <v>3592</v>
      </c>
      <c r="Z1831" s="24" t="s">
        <v>2888</v>
      </c>
      <c r="AF1831" s="19"/>
      <c r="AG1831" s="19"/>
      <c r="AH1831" s="19"/>
      <c r="AI1831" s="19"/>
      <c r="AJ1831" s="19"/>
      <c r="AK1831" s="19"/>
    </row>
    <row r="1832" spans="1:37" ht="15.45" customHeight="1" x14ac:dyDescent="0.25">
      <c r="A1832" s="156" t="s">
        <v>2818</v>
      </c>
      <c r="B1832" s="28" t="s">
        <v>5093</v>
      </c>
      <c r="C1832" s="37" t="s">
        <v>756</v>
      </c>
      <c r="E1832" s="37" t="s">
        <v>2830</v>
      </c>
      <c r="F1832" s="24" t="s">
        <v>992</v>
      </c>
      <c r="H1832" s="168"/>
      <c r="I1832" s="167"/>
      <c r="J1832" s="214" t="s">
        <v>3690</v>
      </c>
      <c r="K1832" s="10" t="s">
        <v>3685</v>
      </c>
      <c r="N1832" s="37" t="s">
        <v>3771</v>
      </c>
      <c r="O1832" s="37" t="s">
        <v>293</v>
      </c>
      <c r="P1832" s="78" t="s">
        <v>5473</v>
      </c>
      <c r="Q1832" s="37" t="s">
        <v>1998</v>
      </c>
      <c r="R1832" s="37" t="s">
        <v>1792</v>
      </c>
      <c r="S1832" s="37"/>
      <c r="T1832" s="37"/>
      <c r="U1832" s="22">
        <v>1</v>
      </c>
      <c r="V1832" s="22">
        <v>1</v>
      </c>
      <c r="W1832" s="73">
        <f t="shared" si="87"/>
        <v>167</v>
      </c>
      <c r="X1832" s="80">
        <f t="shared" si="88"/>
        <v>2985</v>
      </c>
      <c r="Y1832" s="82" t="s">
        <v>3584</v>
      </c>
      <c r="AF1832" s="19"/>
      <c r="AG1832" s="19"/>
      <c r="AH1832" s="19"/>
      <c r="AI1832" s="19"/>
      <c r="AJ1832" s="19"/>
      <c r="AK1832" s="19"/>
    </row>
    <row r="1833" spans="1:37" ht="15.45" customHeight="1" x14ac:dyDescent="0.25">
      <c r="A1833" s="156" t="s">
        <v>991</v>
      </c>
      <c r="B1833" s="28" t="s">
        <v>5093</v>
      </c>
      <c r="C1833" s="37" t="s">
        <v>756</v>
      </c>
      <c r="E1833" s="37" t="s">
        <v>2830</v>
      </c>
      <c r="F1833" s="24" t="s">
        <v>198</v>
      </c>
      <c r="H1833" s="168"/>
      <c r="I1833" s="167"/>
      <c r="J1833" s="214" t="s">
        <v>3690</v>
      </c>
      <c r="K1833" s="10" t="s">
        <v>3685</v>
      </c>
      <c r="N1833" s="37" t="s">
        <v>3772</v>
      </c>
      <c r="S1833" s="37"/>
      <c r="T1833" s="37"/>
      <c r="U1833" s="22">
        <v>4</v>
      </c>
      <c r="V1833" s="22">
        <v>4</v>
      </c>
      <c r="W1833" s="73">
        <f t="shared" si="87"/>
        <v>171</v>
      </c>
      <c r="X1833" s="80">
        <f t="shared" si="88"/>
        <v>2989</v>
      </c>
      <c r="Y1833" s="82" t="s">
        <v>3584</v>
      </c>
      <c r="AF1833" s="19"/>
      <c r="AG1833" s="19"/>
      <c r="AH1833" s="19"/>
      <c r="AI1833" s="19"/>
      <c r="AJ1833" s="19"/>
      <c r="AK1833" s="19"/>
    </row>
    <row r="1834" spans="1:37" ht="15.45" customHeight="1" x14ac:dyDescent="0.25">
      <c r="A1834" s="157" t="s">
        <v>3218</v>
      </c>
      <c r="B1834" s="28" t="s">
        <v>5093</v>
      </c>
      <c r="C1834" s="37" t="s">
        <v>756</v>
      </c>
      <c r="E1834" s="37" t="s">
        <v>2830</v>
      </c>
      <c r="F1834" s="24" t="s">
        <v>992</v>
      </c>
      <c r="H1834" s="168" t="s">
        <v>3795</v>
      </c>
      <c r="I1834" s="167"/>
      <c r="Q1834" s="37" t="s">
        <v>1723</v>
      </c>
      <c r="R1834" s="37" t="s">
        <v>1811</v>
      </c>
      <c r="S1834" s="37"/>
      <c r="T1834" s="37"/>
      <c r="U1834" s="22">
        <v>1</v>
      </c>
      <c r="V1834" s="22">
        <v>1</v>
      </c>
      <c r="W1834" s="73">
        <f t="shared" si="87"/>
        <v>172</v>
      </c>
      <c r="X1834" s="80">
        <f t="shared" si="88"/>
        <v>2990</v>
      </c>
      <c r="Y1834" s="82" t="s">
        <v>3592</v>
      </c>
      <c r="Z1834" s="24" t="s">
        <v>2888</v>
      </c>
      <c r="AF1834" s="19"/>
      <c r="AG1834" s="19"/>
      <c r="AH1834" s="19"/>
      <c r="AI1834" s="19"/>
      <c r="AJ1834" s="19"/>
      <c r="AK1834" s="19"/>
    </row>
    <row r="1835" spans="1:37" ht="15.45" customHeight="1" x14ac:dyDescent="0.25">
      <c r="A1835" s="157" t="s">
        <v>3219</v>
      </c>
      <c r="B1835" s="28" t="s">
        <v>5093</v>
      </c>
      <c r="C1835" s="37" t="s">
        <v>756</v>
      </c>
      <c r="E1835" s="37" t="s">
        <v>2830</v>
      </c>
      <c r="F1835" s="24" t="s">
        <v>992</v>
      </c>
      <c r="H1835" s="168" t="s">
        <v>5223</v>
      </c>
      <c r="I1835" s="167"/>
      <c r="Q1835" s="37" t="s">
        <v>1723</v>
      </c>
      <c r="R1835" s="37" t="s">
        <v>1811</v>
      </c>
      <c r="S1835" s="37"/>
      <c r="T1835" s="37"/>
      <c r="U1835" s="22">
        <v>1</v>
      </c>
      <c r="V1835" s="22">
        <v>1</v>
      </c>
      <c r="W1835" s="73">
        <f t="shared" si="87"/>
        <v>173</v>
      </c>
      <c r="X1835" s="80">
        <f t="shared" si="88"/>
        <v>2991</v>
      </c>
      <c r="Y1835" s="82" t="s">
        <v>3592</v>
      </c>
      <c r="Z1835" s="24" t="s">
        <v>2888</v>
      </c>
      <c r="AF1835" s="19"/>
      <c r="AG1835" s="19"/>
      <c r="AH1835" s="19"/>
      <c r="AI1835" s="19"/>
      <c r="AJ1835" s="19"/>
      <c r="AK1835" s="19"/>
    </row>
    <row r="1836" spans="1:37" ht="15.45" customHeight="1" x14ac:dyDescent="0.25">
      <c r="A1836" s="157" t="s">
        <v>3220</v>
      </c>
      <c r="B1836" s="28" t="s">
        <v>5093</v>
      </c>
      <c r="C1836" s="37" t="s">
        <v>756</v>
      </c>
      <c r="E1836" s="37" t="s">
        <v>2830</v>
      </c>
      <c r="F1836" s="24" t="s">
        <v>992</v>
      </c>
      <c r="H1836" s="168" t="s">
        <v>3795</v>
      </c>
      <c r="I1836" s="167"/>
      <c r="O1836" s="37" t="s">
        <v>3785</v>
      </c>
      <c r="P1836" s="37" t="s">
        <v>48</v>
      </c>
      <c r="Q1836" s="37" t="s">
        <v>3786</v>
      </c>
      <c r="R1836" s="37" t="s">
        <v>1792</v>
      </c>
      <c r="S1836" s="37"/>
      <c r="T1836" s="37"/>
      <c r="U1836" s="22">
        <v>1</v>
      </c>
      <c r="V1836" s="22">
        <v>1</v>
      </c>
      <c r="W1836" s="73">
        <f t="shared" si="87"/>
        <v>174</v>
      </c>
      <c r="X1836" s="80">
        <f t="shared" si="88"/>
        <v>2992</v>
      </c>
      <c r="Y1836" s="82" t="s">
        <v>3592</v>
      </c>
      <c r="Z1836" s="24" t="s">
        <v>2888</v>
      </c>
      <c r="AF1836" s="19"/>
      <c r="AG1836" s="19"/>
      <c r="AH1836" s="19"/>
      <c r="AI1836" s="19"/>
      <c r="AJ1836" s="19"/>
      <c r="AK1836" s="19"/>
    </row>
    <row r="1837" spans="1:37" ht="15.45" customHeight="1" x14ac:dyDescent="0.25">
      <c r="A1837" s="158" t="s">
        <v>3221</v>
      </c>
      <c r="B1837" s="28" t="s">
        <v>5093</v>
      </c>
      <c r="C1837" s="37" t="s">
        <v>756</v>
      </c>
      <c r="E1837" s="37" t="s">
        <v>2830</v>
      </c>
      <c r="F1837" s="24" t="s">
        <v>992</v>
      </c>
      <c r="H1837" s="168" t="s">
        <v>5223</v>
      </c>
      <c r="I1837" s="167"/>
      <c r="P1837" s="37" t="s">
        <v>48</v>
      </c>
      <c r="Q1837" s="37" t="s">
        <v>3786</v>
      </c>
      <c r="S1837" s="37"/>
      <c r="T1837" s="37"/>
      <c r="U1837" s="22">
        <v>1</v>
      </c>
      <c r="V1837" s="22">
        <v>1</v>
      </c>
      <c r="W1837" s="73">
        <f t="shared" si="87"/>
        <v>175</v>
      </c>
      <c r="X1837" s="80">
        <f t="shared" si="88"/>
        <v>2993</v>
      </c>
      <c r="Y1837" s="82" t="s">
        <v>3592</v>
      </c>
      <c r="Z1837" s="24" t="s">
        <v>2888</v>
      </c>
      <c r="AF1837" s="19"/>
      <c r="AG1837" s="19"/>
      <c r="AH1837" s="19"/>
      <c r="AI1837" s="19"/>
      <c r="AJ1837" s="19"/>
      <c r="AK1837" s="19"/>
    </row>
    <row r="1838" spans="1:37" ht="12.75" customHeight="1" x14ac:dyDescent="0.25">
      <c r="A1838" s="158" t="s">
        <v>2819</v>
      </c>
      <c r="B1838" s="28" t="s">
        <v>5093</v>
      </c>
      <c r="C1838" s="37" t="s">
        <v>756</v>
      </c>
      <c r="E1838" s="37" t="s">
        <v>2830</v>
      </c>
      <c r="F1838" s="24" t="s">
        <v>188</v>
      </c>
      <c r="H1838" s="168"/>
      <c r="I1838" s="167"/>
      <c r="O1838" s="37" t="s">
        <v>199</v>
      </c>
      <c r="P1838" s="37" t="s">
        <v>1687</v>
      </c>
      <c r="Q1838" s="37" t="s">
        <v>3506</v>
      </c>
      <c r="S1838" s="37"/>
      <c r="T1838" s="37"/>
      <c r="U1838" s="22">
        <v>1</v>
      </c>
      <c r="V1838" s="22">
        <v>1</v>
      </c>
      <c r="W1838" s="73">
        <f t="shared" si="87"/>
        <v>176</v>
      </c>
      <c r="X1838" s="80">
        <f t="shared" si="88"/>
        <v>2994</v>
      </c>
      <c r="Y1838" s="82" t="s">
        <v>3592</v>
      </c>
      <c r="Z1838" s="24" t="s">
        <v>2888</v>
      </c>
      <c r="AF1838" s="19"/>
      <c r="AG1838" s="19"/>
      <c r="AH1838" s="19"/>
      <c r="AI1838" s="19"/>
      <c r="AJ1838" s="19"/>
      <c r="AK1838" s="19"/>
    </row>
    <row r="1839" spans="1:37" ht="15.45" customHeight="1" x14ac:dyDescent="0.25">
      <c r="A1839" s="156" t="s">
        <v>2820</v>
      </c>
      <c r="B1839" s="28" t="s">
        <v>5093</v>
      </c>
      <c r="C1839" s="37" t="s">
        <v>756</v>
      </c>
      <c r="E1839" s="37" t="s">
        <v>2830</v>
      </c>
      <c r="F1839" s="24" t="s">
        <v>992</v>
      </c>
      <c r="H1839" s="168"/>
      <c r="I1839" s="167"/>
      <c r="Q1839" s="37" t="s">
        <v>1723</v>
      </c>
      <c r="R1839" s="37" t="s">
        <v>1811</v>
      </c>
      <c r="S1839" s="37"/>
      <c r="T1839" s="37"/>
      <c r="U1839" s="22">
        <v>1</v>
      </c>
      <c r="V1839" s="22">
        <v>1</v>
      </c>
      <c r="W1839" s="73">
        <f t="shared" si="87"/>
        <v>177</v>
      </c>
      <c r="X1839" s="80">
        <f t="shared" si="88"/>
        <v>2995</v>
      </c>
      <c r="Y1839" s="82" t="s">
        <v>3592</v>
      </c>
      <c r="Z1839" s="24" t="s">
        <v>2888</v>
      </c>
      <c r="AF1839" s="19"/>
      <c r="AG1839" s="19"/>
      <c r="AH1839" s="19"/>
      <c r="AI1839" s="19"/>
      <c r="AJ1839" s="19"/>
      <c r="AK1839" s="19"/>
    </row>
    <row r="1840" spans="1:37" ht="15.45" customHeight="1" x14ac:dyDescent="0.25">
      <c r="A1840" s="156" t="s">
        <v>649</v>
      </c>
      <c r="B1840" s="28" t="s">
        <v>5093</v>
      </c>
      <c r="C1840" s="37" t="s">
        <v>756</v>
      </c>
      <c r="E1840" s="37" t="s">
        <v>2830</v>
      </c>
      <c r="F1840" s="24" t="s">
        <v>992</v>
      </c>
      <c r="H1840" s="168"/>
      <c r="I1840" s="167"/>
      <c r="P1840" s="37" t="s">
        <v>1563</v>
      </c>
      <c r="Q1840" s="37" t="s">
        <v>3506</v>
      </c>
      <c r="R1840" s="37" t="s">
        <v>1792</v>
      </c>
      <c r="S1840" s="37"/>
      <c r="T1840" s="37"/>
      <c r="U1840" s="22">
        <v>1</v>
      </c>
      <c r="V1840" s="22">
        <v>1</v>
      </c>
      <c r="W1840" s="73">
        <f t="shared" si="87"/>
        <v>178</v>
      </c>
      <c r="X1840" s="80">
        <f t="shared" si="88"/>
        <v>2996</v>
      </c>
      <c r="Y1840" s="82" t="s">
        <v>3592</v>
      </c>
      <c r="Z1840" s="24" t="s">
        <v>2884</v>
      </c>
      <c r="AF1840" s="19"/>
      <c r="AG1840" s="19"/>
      <c r="AH1840" s="19"/>
      <c r="AI1840" s="19"/>
      <c r="AJ1840" s="19"/>
      <c r="AK1840" s="19"/>
    </row>
    <row r="1841" spans="1:37" ht="15.45" customHeight="1" x14ac:dyDescent="0.25">
      <c r="A1841" s="156" t="s">
        <v>3222</v>
      </c>
      <c r="B1841" s="28" t="s">
        <v>5093</v>
      </c>
      <c r="C1841" s="37" t="s">
        <v>756</v>
      </c>
      <c r="E1841" s="37" t="s">
        <v>2830</v>
      </c>
      <c r="F1841" s="24" t="s">
        <v>992</v>
      </c>
      <c r="H1841" s="168" t="s">
        <v>3794</v>
      </c>
      <c r="I1841" s="167"/>
      <c r="P1841" s="37" t="s">
        <v>1563</v>
      </c>
      <c r="Q1841" s="37" t="s">
        <v>3506</v>
      </c>
      <c r="R1841" s="37" t="s">
        <v>1792</v>
      </c>
      <c r="S1841" s="37"/>
      <c r="T1841" s="37"/>
      <c r="U1841" s="22">
        <v>1</v>
      </c>
      <c r="V1841" s="22">
        <v>1</v>
      </c>
      <c r="W1841" s="73">
        <f t="shared" si="87"/>
        <v>179</v>
      </c>
      <c r="X1841" s="80">
        <f t="shared" si="88"/>
        <v>2997</v>
      </c>
      <c r="Y1841" s="82" t="s">
        <v>3592</v>
      </c>
      <c r="Z1841" s="24" t="s">
        <v>2884</v>
      </c>
      <c r="AF1841" s="19"/>
      <c r="AG1841" s="19"/>
      <c r="AH1841" s="19"/>
      <c r="AI1841" s="19"/>
      <c r="AJ1841" s="19"/>
      <c r="AK1841" s="19"/>
    </row>
    <row r="1842" spans="1:37" ht="15.45" customHeight="1" x14ac:dyDescent="0.25">
      <c r="A1842" s="156" t="s">
        <v>2821</v>
      </c>
      <c r="B1842" s="28" t="s">
        <v>5093</v>
      </c>
      <c r="C1842" s="37" t="s">
        <v>756</v>
      </c>
      <c r="E1842" s="37" t="s">
        <v>2830</v>
      </c>
      <c r="F1842" s="24" t="s">
        <v>992</v>
      </c>
      <c r="H1842" s="168"/>
      <c r="I1842" s="167"/>
      <c r="O1842" s="37" t="s">
        <v>199</v>
      </c>
      <c r="P1842" s="37" t="s">
        <v>1687</v>
      </c>
      <c r="Q1842" s="37" t="s">
        <v>3506</v>
      </c>
      <c r="R1842" s="37" t="s">
        <v>1792</v>
      </c>
      <c r="S1842" s="37"/>
      <c r="T1842" s="37"/>
      <c r="U1842" s="22">
        <v>1</v>
      </c>
      <c r="V1842" s="22">
        <v>1</v>
      </c>
      <c r="W1842" s="73">
        <f t="shared" si="87"/>
        <v>180</v>
      </c>
      <c r="X1842" s="80">
        <f t="shared" si="88"/>
        <v>2998</v>
      </c>
      <c r="Y1842" s="82" t="s">
        <v>3592</v>
      </c>
      <c r="Z1842" s="24" t="s">
        <v>2888</v>
      </c>
      <c r="AF1842" s="19"/>
      <c r="AG1842" s="19"/>
      <c r="AH1842" s="19"/>
      <c r="AI1842" s="19"/>
      <c r="AJ1842" s="19"/>
      <c r="AK1842" s="19"/>
    </row>
    <row r="1843" spans="1:37" ht="15.45" customHeight="1" x14ac:dyDescent="0.25">
      <c r="A1843" s="156" t="s">
        <v>1305</v>
      </c>
      <c r="B1843" s="28" t="s">
        <v>5093</v>
      </c>
      <c r="C1843" s="37" t="s">
        <v>756</v>
      </c>
      <c r="E1843" s="37" t="s">
        <v>2830</v>
      </c>
      <c r="F1843" s="24" t="s">
        <v>992</v>
      </c>
      <c r="H1843" s="168"/>
      <c r="I1843" s="167"/>
      <c r="O1843" s="37" t="s">
        <v>5477</v>
      </c>
      <c r="P1843" s="37" t="s">
        <v>2035</v>
      </c>
      <c r="Q1843" s="37" t="s">
        <v>3506</v>
      </c>
      <c r="R1843" s="37" t="s">
        <v>1792</v>
      </c>
      <c r="S1843" s="37"/>
      <c r="T1843" s="37"/>
      <c r="U1843" s="22">
        <v>1</v>
      </c>
      <c r="V1843" s="22">
        <v>1</v>
      </c>
      <c r="W1843" s="73">
        <f t="shared" si="87"/>
        <v>181</v>
      </c>
      <c r="X1843" s="80">
        <f t="shared" si="88"/>
        <v>2999</v>
      </c>
      <c r="Y1843" s="82" t="s">
        <v>3592</v>
      </c>
      <c r="Z1843" s="24" t="s">
        <v>2888</v>
      </c>
      <c r="AF1843" s="19"/>
      <c r="AG1843" s="19"/>
      <c r="AH1843" s="19"/>
      <c r="AI1843" s="19"/>
      <c r="AJ1843" s="19"/>
      <c r="AK1843" s="19"/>
    </row>
    <row r="1844" spans="1:37" ht="15.45" customHeight="1" x14ac:dyDescent="0.25">
      <c r="A1844" s="156" t="s">
        <v>688</v>
      </c>
      <c r="B1844" s="28" t="s">
        <v>5093</v>
      </c>
      <c r="C1844" s="37" t="s">
        <v>756</v>
      </c>
      <c r="E1844" s="37" t="s">
        <v>2830</v>
      </c>
      <c r="F1844" s="24" t="s">
        <v>992</v>
      </c>
      <c r="H1844" s="168"/>
      <c r="I1844" s="167"/>
      <c r="O1844" s="37" t="s">
        <v>199</v>
      </c>
      <c r="P1844" s="37" t="s">
        <v>1687</v>
      </c>
      <c r="Q1844" s="37" t="s">
        <v>3506</v>
      </c>
      <c r="R1844" s="37" t="s">
        <v>1792</v>
      </c>
      <c r="S1844" s="37"/>
      <c r="T1844" s="37"/>
      <c r="U1844" s="22">
        <v>2</v>
      </c>
      <c r="V1844" s="22">
        <v>2</v>
      </c>
      <c r="W1844" s="73">
        <f t="shared" si="87"/>
        <v>183</v>
      </c>
      <c r="X1844" s="80">
        <f t="shared" si="88"/>
        <v>3001</v>
      </c>
      <c r="Y1844" s="82" t="s">
        <v>3592</v>
      </c>
      <c r="Z1844" s="24" t="s">
        <v>2888</v>
      </c>
      <c r="AF1844" s="19"/>
      <c r="AG1844" s="19"/>
      <c r="AH1844" s="19"/>
      <c r="AI1844" s="19"/>
      <c r="AJ1844" s="19"/>
      <c r="AK1844" s="19"/>
    </row>
    <row r="1845" spans="1:37" ht="15.45" customHeight="1" x14ac:dyDescent="0.25">
      <c r="A1845" s="156" t="s">
        <v>1672</v>
      </c>
      <c r="B1845" s="28" t="s">
        <v>5093</v>
      </c>
      <c r="C1845" s="37" t="s">
        <v>756</v>
      </c>
      <c r="E1845" s="37" t="s">
        <v>2830</v>
      </c>
      <c r="F1845" s="24" t="s">
        <v>992</v>
      </c>
      <c r="H1845" s="168"/>
      <c r="I1845" s="167"/>
      <c r="O1845" s="37" t="s">
        <v>5478</v>
      </c>
      <c r="P1845" s="37" t="s">
        <v>1463</v>
      </c>
      <c r="Q1845" s="37" t="s">
        <v>3506</v>
      </c>
      <c r="R1845" s="37" t="s">
        <v>1792</v>
      </c>
      <c r="S1845" s="37"/>
      <c r="T1845" s="37"/>
      <c r="U1845" s="22">
        <v>1</v>
      </c>
      <c r="V1845" s="22">
        <v>1</v>
      </c>
      <c r="W1845" s="73">
        <f t="shared" si="87"/>
        <v>184</v>
      </c>
      <c r="X1845" s="80">
        <f t="shared" si="88"/>
        <v>3002</v>
      </c>
      <c r="Y1845" s="82" t="s">
        <v>3592</v>
      </c>
      <c r="Z1845" s="24" t="s">
        <v>2884</v>
      </c>
      <c r="AF1845" s="19"/>
      <c r="AG1845" s="19"/>
      <c r="AH1845" s="19"/>
      <c r="AI1845" s="19"/>
      <c r="AJ1845" s="19"/>
      <c r="AK1845" s="19"/>
    </row>
    <row r="1846" spans="1:37" ht="15.45" customHeight="1" x14ac:dyDescent="0.25">
      <c r="A1846" s="156" t="s">
        <v>1562</v>
      </c>
      <c r="B1846" s="28" t="s">
        <v>5093</v>
      </c>
      <c r="C1846" s="37" t="s">
        <v>756</v>
      </c>
      <c r="E1846" s="37" t="s">
        <v>2830</v>
      </c>
      <c r="F1846" s="24" t="s">
        <v>992</v>
      </c>
      <c r="H1846" s="168"/>
      <c r="I1846" s="167"/>
      <c r="O1846" s="37" t="s">
        <v>1563</v>
      </c>
      <c r="Q1846" s="37" t="s">
        <v>3506</v>
      </c>
      <c r="R1846" s="37" t="s">
        <v>1792</v>
      </c>
      <c r="S1846" s="37"/>
      <c r="T1846" s="37"/>
      <c r="U1846" s="22">
        <v>1</v>
      </c>
      <c r="V1846" s="22">
        <v>1</v>
      </c>
      <c r="W1846" s="73">
        <f t="shared" si="87"/>
        <v>185</v>
      </c>
      <c r="X1846" s="80">
        <f t="shared" si="88"/>
        <v>3003</v>
      </c>
      <c r="Y1846" s="82" t="s">
        <v>3592</v>
      </c>
      <c r="Z1846" s="24" t="s">
        <v>2884</v>
      </c>
      <c r="AF1846" s="19"/>
      <c r="AG1846" s="19"/>
      <c r="AH1846" s="19"/>
      <c r="AI1846" s="19"/>
      <c r="AJ1846" s="19"/>
      <c r="AK1846" s="19"/>
    </row>
    <row r="1847" spans="1:37" ht="15.45" customHeight="1" x14ac:dyDescent="0.25">
      <c r="A1847" s="156" t="s">
        <v>2084</v>
      </c>
      <c r="B1847" s="28" t="s">
        <v>5093</v>
      </c>
      <c r="C1847" s="37" t="s">
        <v>756</v>
      </c>
      <c r="E1847" s="37" t="s">
        <v>2830</v>
      </c>
      <c r="F1847" s="24" t="s">
        <v>993</v>
      </c>
      <c r="H1847" s="168"/>
      <c r="I1847" s="167"/>
      <c r="O1847" s="37" t="s">
        <v>1671</v>
      </c>
      <c r="P1847" s="37" t="s">
        <v>1463</v>
      </c>
      <c r="Q1847" s="37" t="s">
        <v>3506</v>
      </c>
      <c r="R1847" s="37" t="s">
        <v>1792</v>
      </c>
      <c r="S1847" s="37"/>
      <c r="T1847" s="37"/>
      <c r="U1847" s="22">
        <v>1</v>
      </c>
      <c r="V1847" s="22">
        <v>1</v>
      </c>
      <c r="W1847" s="73">
        <f t="shared" si="87"/>
        <v>186</v>
      </c>
      <c r="X1847" s="80">
        <f t="shared" si="88"/>
        <v>3004</v>
      </c>
      <c r="Y1847" s="82" t="s">
        <v>3592</v>
      </c>
      <c r="Z1847" s="24" t="s">
        <v>430</v>
      </c>
      <c r="AF1847" s="19"/>
      <c r="AG1847" s="19"/>
      <c r="AH1847" s="19"/>
      <c r="AI1847" s="19"/>
      <c r="AJ1847" s="19"/>
      <c r="AK1847" s="19"/>
    </row>
    <row r="1848" spans="1:37" ht="15.45" customHeight="1" x14ac:dyDescent="0.25">
      <c r="A1848" s="156" t="s">
        <v>865</v>
      </c>
      <c r="B1848" s="28" t="s">
        <v>5093</v>
      </c>
      <c r="C1848" s="37" t="s">
        <v>756</v>
      </c>
      <c r="E1848" s="37" t="s">
        <v>2830</v>
      </c>
      <c r="F1848" s="24" t="s">
        <v>993</v>
      </c>
      <c r="H1848" s="168"/>
      <c r="I1848" s="167"/>
      <c r="O1848" s="37" t="s">
        <v>199</v>
      </c>
      <c r="P1848" s="37" t="s">
        <v>1687</v>
      </c>
      <c r="Q1848" s="37" t="s">
        <v>3506</v>
      </c>
      <c r="R1848" s="37" t="s">
        <v>1792</v>
      </c>
      <c r="S1848" s="37"/>
      <c r="T1848" s="37"/>
      <c r="U1848" s="22">
        <v>1</v>
      </c>
      <c r="V1848" s="22">
        <v>1</v>
      </c>
      <c r="W1848" s="73">
        <f t="shared" si="87"/>
        <v>187</v>
      </c>
      <c r="X1848" s="80">
        <f t="shared" si="88"/>
        <v>3005</v>
      </c>
      <c r="Y1848" s="82" t="s">
        <v>3592</v>
      </c>
      <c r="Z1848" s="24" t="s">
        <v>2888</v>
      </c>
      <c r="AF1848" s="19"/>
      <c r="AG1848" s="19"/>
      <c r="AH1848" s="19"/>
      <c r="AI1848" s="19"/>
      <c r="AJ1848" s="19"/>
      <c r="AK1848" s="19"/>
    </row>
    <row r="1849" spans="1:37" ht="15.45" customHeight="1" x14ac:dyDescent="0.25">
      <c r="A1849" s="156" t="s">
        <v>5853</v>
      </c>
      <c r="B1849" s="28" t="s">
        <v>5093</v>
      </c>
      <c r="C1849" s="37" t="s">
        <v>756</v>
      </c>
      <c r="E1849" s="37" t="s">
        <v>2830</v>
      </c>
      <c r="F1849" s="24" t="s">
        <v>993</v>
      </c>
      <c r="H1849" s="201" t="s">
        <v>7204</v>
      </c>
      <c r="I1849" s="167"/>
      <c r="J1849" s="214" t="s">
        <v>5801</v>
      </c>
      <c r="O1849" s="37" t="s">
        <v>5842</v>
      </c>
      <c r="P1849" s="37" t="s">
        <v>1463</v>
      </c>
      <c r="Q1849" s="37" t="s">
        <v>3506</v>
      </c>
      <c r="R1849" s="37" t="s">
        <v>1792</v>
      </c>
      <c r="S1849" s="37" t="s">
        <v>3412</v>
      </c>
      <c r="T1849" s="37"/>
      <c r="U1849" s="22">
        <v>1</v>
      </c>
      <c r="V1849" s="22">
        <v>1</v>
      </c>
      <c r="W1849" s="73">
        <f t="shared" si="87"/>
        <v>188</v>
      </c>
      <c r="X1849" s="80">
        <f t="shared" si="88"/>
        <v>3006</v>
      </c>
      <c r="Y1849" s="82" t="s">
        <v>3591</v>
      </c>
      <c r="Z1849" s="24" t="s">
        <v>2885</v>
      </c>
      <c r="AB1849" s="177">
        <v>44383</v>
      </c>
      <c r="AC1849" s="84" t="s">
        <v>5308</v>
      </c>
      <c r="AF1849" s="19"/>
      <c r="AG1849" s="19"/>
      <c r="AH1849" s="19"/>
      <c r="AI1849" s="19"/>
      <c r="AJ1849" s="19"/>
      <c r="AK1849" s="19"/>
    </row>
    <row r="1850" spans="1:37" ht="15.45" customHeight="1" x14ac:dyDescent="0.25">
      <c r="A1850" s="156" t="s">
        <v>5853</v>
      </c>
      <c r="B1850" s="28" t="s">
        <v>5093</v>
      </c>
      <c r="C1850" s="37" t="s">
        <v>756</v>
      </c>
      <c r="E1850" s="37" t="s">
        <v>2830</v>
      </c>
      <c r="F1850" s="24" t="s">
        <v>993</v>
      </c>
      <c r="H1850" s="201" t="s">
        <v>5854</v>
      </c>
      <c r="I1850" s="167"/>
      <c r="J1850" s="214" t="s">
        <v>5684</v>
      </c>
      <c r="O1850" s="37" t="s">
        <v>5843</v>
      </c>
      <c r="P1850" s="37" t="s">
        <v>1463</v>
      </c>
      <c r="Q1850" s="37" t="s">
        <v>3506</v>
      </c>
      <c r="R1850" s="37" t="s">
        <v>1792</v>
      </c>
      <c r="S1850" s="37" t="s">
        <v>3436</v>
      </c>
      <c r="T1850" s="37"/>
      <c r="U1850" s="22">
        <v>1</v>
      </c>
      <c r="V1850" s="22">
        <v>1</v>
      </c>
      <c r="W1850" s="73">
        <f t="shared" si="87"/>
        <v>189</v>
      </c>
      <c r="X1850" s="80">
        <f t="shared" si="88"/>
        <v>3007</v>
      </c>
      <c r="Y1850" s="82" t="s">
        <v>3591</v>
      </c>
      <c r="Z1850" s="24" t="s">
        <v>2885</v>
      </c>
      <c r="AB1850" s="177">
        <v>44383</v>
      </c>
      <c r="AC1850" s="84" t="s">
        <v>5308</v>
      </c>
      <c r="AF1850" s="19"/>
      <c r="AG1850" s="19"/>
      <c r="AH1850" s="19"/>
      <c r="AI1850" s="19"/>
      <c r="AJ1850" s="19"/>
      <c r="AK1850" s="19"/>
    </row>
    <row r="1851" spans="1:37" ht="15.45" customHeight="1" x14ac:dyDescent="0.25">
      <c r="A1851" s="156" t="s">
        <v>5853</v>
      </c>
      <c r="B1851" s="28" t="s">
        <v>5093</v>
      </c>
      <c r="C1851" s="37" t="s">
        <v>756</v>
      </c>
      <c r="E1851" s="37" t="s">
        <v>2830</v>
      </c>
      <c r="F1851" s="24" t="s">
        <v>993</v>
      </c>
      <c r="H1851" s="201" t="s">
        <v>5852</v>
      </c>
      <c r="I1851" s="167"/>
      <c r="J1851" s="214" t="s">
        <v>5684</v>
      </c>
      <c r="O1851" s="37" t="s">
        <v>5843</v>
      </c>
      <c r="P1851" s="37" t="s">
        <v>1463</v>
      </c>
      <c r="Q1851" s="37" t="s">
        <v>3506</v>
      </c>
      <c r="R1851" s="37" t="s">
        <v>1792</v>
      </c>
      <c r="S1851" s="37" t="s">
        <v>2980</v>
      </c>
      <c r="T1851" s="37"/>
      <c r="U1851" s="22">
        <v>1</v>
      </c>
      <c r="V1851" s="22">
        <v>1</v>
      </c>
      <c r="W1851" s="73">
        <f t="shared" si="87"/>
        <v>190</v>
      </c>
      <c r="X1851" s="80">
        <f t="shared" si="88"/>
        <v>3008</v>
      </c>
      <c r="Y1851" s="82" t="s">
        <v>3591</v>
      </c>
      <c r="Z1851" s="24" t="s">
        <v>2885</v>
      </c>
      <c r="AB1851" s="177">
        <v>44383</v>
      </c>
      <c r="AC1851" s="84" t="s">
        <v>5308</v>
      </c>
      <c r="AF1851" s="19"/>
      <c r="AG1851" s="19"/>
      <c r="AH1851" s="19"/>
      <c r="AI1851" s="19"/>
      <c r="AJ1851" s="19"/>
      <c r="AK1851" s="19"/>
    </row>
    <row r="1852" spans="1:37" ht="15.45" customHeight="1" x14ac:dyDescent="0.25">
      <c r="A1852" s="156" t="s">
        <v>1725</v>
      </c>
      <c r="B1852" s="28" t="s">
        <v>5093</v>
      </c>
      <c r="C1852" s="37" t="s">
        <v>756</v>
      </c>
      <c r="E1852" s="37" t="s">
        <v>2830</v>
      </c>
      <c r="F1852" s="24" t="s">
        <v>993</v>
      </c>
      <c r="H1852" s="168"/>
      <c r="I1852" s="167"/>
      <c r="O1852" s="37" t="s">
        <v>5477</v>
      </c>
      <c r="P1852" s="37" t="s">
        <v>2035</v>
      </c>
      <c r="Q1852" s="37" t="s">
        <v>3506</v>
      </c>
      <c r="R1852" s="37" t="s">
        <v>1792</v>
      </c>
      <c r="S1852" s="37"/>
      <c r="T1852" s="37"/>
      <c r="U1852" s="22">
        <v>1</v>
      </c>
      <c r="V1852" s="22">
        <v>1</v>
      </c>
      <c r="W1852" s="73">
        <f t="shared" si="87"/>
        <v>191</v>
      </c>
      <c r="X1852" s="80">
        <f t="shared" si="88"/>
        <v>3009</v>
      </c>
      <c r="Y1852" s="82" t="s">
        <v>3592</v>
      </c>
      <c r="Z1852" s="24" t="s">
        <v>2888</v>
      </c>
      <c r="AF1852" s="19"/>
      <c r="AG1852" s="19"/>
      <c r="AH1852" s="19"/>
      <c r="AI1852" s="19"/>
      <c r="AJ1852" s="19"/>
      <c r="AK1852" s="19"/>
    </row>
    <row r="1853" spans="1:37" ht="15.45" customHeight="1" x14ac:dyDescent="0.25">
      <c r="A1853" s="156" t="s">
        <v>769</v>
      </c>
      <c r="B1853" s="28" t="s">
        <v>5093</v>
      </c>
      <c r="C1853" s="37" t="s">
        <v>756</v>
      </c>
      <c r="E1853" s="37" t="s">
        <v>2830</v>
      </c>
      <c r="F1853" s="24" t="s">
        <v>993</v>
      </c>
      <c r="H1853" s="168"/>
      <c r="I1853" s="167"/>
      <c r="J1853" s="214" t="s">
        <v>3690</v>
      </c>
      <c r="K1853" s="10" t="s">
        <v>3685</v>
      </c>
      <c r="N1853" s="37" t="s">
        <v>3771</v>
      </c>
      <c r="O1853" s="37" t="s">
        <v>260</v>
      </c>
      <c r="P1853" s="37" t="s">
        <v>5479</v>
      </c>
      <c r="Q1853" s="37" t="s">
        <v>1998</v>
      </c>
      <c r="R1853" s="37" t="s">
        <v>1792</v>
      </c>
      <c r="S1853" s="37"/>
      <c r="T1853" s="37"/>
      <c r="U1853" s="22">
        <v>3</v>
      </c>
      <c r="V1853" s="22">
        <v>3</v>
      </c>
      <c r="W1853" s="73">
        <f t="shared" si="87"/>
        <v>194</v>
      </c>
      <c r="X1853" s="80">
        <f t="shared" si="88"/>
        <v>3012</v>
      </c>
      <c r="Y1853" s="82" t="s">
        <v>3584</v>
      </c>
      <c r="AF1853" s="19"/>
      <c r="AG1853" s="19"/>
      <c r="AH1853" s="19"/>
      <c r="AI1853" s="19"/>
      <c r="AJ1853" s="19"/>
      <c r="AK1853" s="19"/>
    </row>
    <row r="1854" spans="1:37" ht="15.45" customHeight="1" x14ac:dyDescent="0.25">
      <c r="A1854" s="156" t="s">
        <v>3364</v>
      </c>
      <c r="B1854" s="28" t="s">
        <v>5093</v>
      </c>
      <c r="C1854" s="37" t="s">
        <v>756</v>
      </c>
      <c r="E1854" s="37" t="s">
        <v>2830</v>
      </c>
      <c r="F1854" s="24" t="s">
        <v>993</v>
      </c>
      <c r="H1854" s="168"/>
      <c r="I1854" s="167"/>
      <c r="J1854" s="214" t="s">
        <v>3690</v>
      </c>
      <c r="K1854" s="10" t="s">
        <v>3685</v>
      </c>
      <c r="N1854" s="37" t="s">
        <v>3772</v>
      </c>
      <c r="S1854" s="37"/>
      <c r="T1854" s="37"/>
      <c r="U1854" s="22">
        <v>1</v>
      </c>
      <c r="V1854" s="22">
        <v>1</v>
      </c>
      <c r="W1854" s="73">
        <f t="shared" si="87"/>
        <v>195</v>
      </c>
      <c r="X1854" s="80">
        <f t="shared" si="88"/>
        <v>3013</v>
      </c>
      <c r="Y1854" s="82" t="s">
        <v>3584</v>
      </c>
      <c r="AF1854" s="19"/>
      <c r="AG1854" s="19"/>
      <c r="AH1854" s="19"/>
      <c r="AI1854" s="19"/>
      <c r="AJ1854" s="19"/>
      <c r="AK1854" s="19"/>
    </row>
    <row r="1855" spans="1:37" ht="15.45" customHeight="1" x14ac:dyDescent="0.25">
      <c r="A1855" s="156" t="s">
        <v>762</v>
      </c>
      <c r="B1855" s="28" t="s">
        <v>5093</v>
      </c>
      <c r="C1855" s="37" t="s">
        <v>756</v>
      </c>
      <c r="E1855" s="37" t="s">
        <v>2830</v>
      </c>
      <c r="F1855" s="24" t="s">
        <v>993</v>
      </c>
      <c r="H1855" s="168"/>
      <c r="I1855" s="167"/>
      <c r="J1855" s="214" t="s">
        <v>3690</v>
      </c>
      <c r="K1855" s="10" t="s">
        <v>3685</v>
      </c>
      <c r="N1855" s="37" t="s">
        <v>3771</v>
      </c>
      <c r="O1855" s="37" t="s">
        <v>294</v>
      </c>
      <c r="P1855" s="78" t="s">
        <v>5473</v>
      </c>
      <c r="Q1855" s="37" t="s">
        <v>1998</v>
      </c>
      <c r="R1855" s="37" t="s">
        <v>1792</v>
      </c>
      <c r="S1855" s="37"/>
      <c r="T1855" s="37"/>
      <c r="U1855" s="22">
        <v>1</v>
      </c>
      <c r="V1855" s="22">
        <v>1</v>
      </c>
      <c r="W1855" s="73">
        <f t="shared" si="87"/>
        <v>196</v>
      </c>
      <c r="X1855" s="80">
        <f t="shared" si="88"/>
        <v>3014</v>
      </c>
      <c r="Y1855" s="82" t="s">
        <v>3584</v>
      </c>
      <c r="AF1855" s="19"/>
      <c r="AG1855" s="19"/>
      <c r="AH1855" s="19"/>
      <c r="AI1855" s="19"/>
      <c r="AJ1855" s="19"/>
      <c r="AK1855" s="19"/>
    </row>
    <row r="1856" spans="1:37" ht="15.45" customHeight="1" x14ac:dyDescent="0.25">
      <c r="A1856" s="156" t="s">
        <v>834</v>
      </c>
      <c r="B1856" s="28" t="s">
        <v>5093</v>
      </c>
      <c r="C1856" s="37" t="s">
        <v>756</v>
      </c>
      <c r="E1856" s="37" t="s">
        <v>2830</v>
      </c>
      <c r="F1856" s="24" t="s">
        <v>993</v>
      </c>
      <c r="H1856" s="168"/>
      <c r="I1856" s="167"/>
      <c r="J1856" s="214" t="s">
        <v>3690</v>
      </c>
      <c r="K1856" s="10" t="s">
        <v>3685</v>
      </c>
      <c r="N1856" s="37" t="s">
        <v>3771</v>
      </c>
      <c r="O1856" s="37" t="s">
        <v>294</v>
      </c>
      <c r="P1856" s="78" t="s">
        <v>5473</v>
      </c>
      <c r="Q1856" s="37" t="s">
        <v>1998</v>
      </c>
      <c r="R1856" s="37" t="s">
        <v>1792</v>
      </c>
      <c r="S1856" s="37"/>
      <c r="T1856" s="37"/>
      <c r="U1856" s="22">
        <v>2</v>
      </c>
      <c r="V1856" s="22">
        <v>2</v>
      </c>
      <c r="W1856" s="73">
        <f t="shared" si="87"/>
        <v>198</v>
      </c>
      <c r="X1856" s="80">
        <f t="shared" ref="X1856" si="89">V1856+X1855</f>
        <v>3016</v>
      </c>
      <c r="Y1856" s="82" t="s">
        <v>3584</v>
      </c>
      <c r="AF1856" s="19"/>
      <c r="AG1856" s="19"/>
      <c r="AH1856" s="19"/>
      <c r="AI1856" s="19"/>
      <c r="AJ1856" s="19"/>
      <c r="AK1856" s="19"/>
    </row>
    <row r="1857" spans="1:37" ht="15.45" customHeight="1" x14ac:dyDescent="0.25">
      <c r="A1857" s="156" t="s">
        <v>772</v>
      </c>
      <c r="B1857" s="28" t="s">
        <v>5093</v>
      </c>
      <c r="C1857" s="37" t="s">
        <v>756</v>
      </c>
      <c r="E1857" s="37" t="s">
        <v>2830</v>
      </c>
      <c r="F1857" s="24" t="s">
        <v>993</v>
      </c>
      <c r="H1857" s="168"/>
      <c r="I1857" s="167"/>
      <c r="J1857" s="214" t="s">
        <v>3690</v>
      </c>
      <c r="K1857" s="10" t="s">
        <v>3685</v>
      </c>
      <c r="N1857" s="37" t="s">
        <v>3771</v>
      </c>
      <c r="O1857" s="37" t="s">
        <v>294</v>
      </c>
      <c r="P1857" s="78" t="s">
        <v>5473</v>
      </c>
      <c r="Q1857" s="37" t="s">
        <v>1998</v>
      </c>
      <c r="R1857" s="37" t="s">
        <v>1792</v>
      </c>
      <c r="S1857" s="37"/>
      <c r="T1857" s="37"/>
      <c r="U1857" s="22">
        <v>2</v>
      </c>
      <c r="V1857" s="22">
        <v>2</v>
      </c>
      <c r="W1857" s="73">
        <f t="shared" si="87"/>
        <v>200</v>
      </c>
      <c r="X1857" s="80">
        <f t="shared" ref="X1857:X1920" si="90">V1857+X1856</f>
        <v>3018</v>
      </c>
      <c r="Y1857" s="82" t="s">
        <v>3584</v>
      </c>
      <c r="AF1857" s="19"/>
      <c r="AG1857" s="19"/>
      <c r="AH1857" s="19"/>
      <c r="AI1857" s="19"/>
      <c r="AJ1857" s="19"/>
      <c r="AK1857" s="19"/>
    </row>
    <row r="1858" spans="1:37" ht="15.45" customHeight="1" x14ac:dyDescent="0.25">
      <c r="A1858" s="156" t="s">
        <v>1086</v>
      </c>
      <c r="B1858" s="28" t="s">
        <v>5093</v>
      </c>
      <c r="C1858" s="37" t="s">
        <v>756</v>
      </c>
      <c r="E1858" s="37" t="s">
        <v>2830</v>
      </c>
      <c r="F1858" s="24" t="s">
        <v>993</v>
      </c>
      <c r="H1858" s="168"/>
      <c r="I1858" s="167"/>
      <c r="J1858" s="214" t="s">
        <v>3690</v>
      </c>
      <c r="K1858" s="10" t="s">
        <v>3685</v>
      </c>
      <c r="N1858" s="37" t="s">
        <v>3771</v>
      </c>
      <c r="O1858" s="37" t="s">
        <v>294</v>
      </c>
      <c r="P1858" s="78" t="s">
        <v>5473</v>
      </c>
      <c r="Q1858" s="37" t="s">
        <v>1998</v>
      </c>
      <c r="R1858" s="37" t="s">
        <v>1792</v>
      </c>
      <c r="S1858" s="37"/>
      <c r="T1858" s="37"/>
      <c r="U1858" s="22">
        <v>1</v>
      </c>
      <c r="V1858" s="22">
        <v>1</v>
      </c>
      <c r="W1858" s="73">
        <f t="shared" si="87"/>
        <v>201</v>
      </c>
      <c r="X1858" s="80">
        <f t="shared" si="90"/>
        <v>3019</v>
      </c>
      <c r="Y1858" s="82" t="s">
        <v>3584</v>
      </c>
      <c r="AF1858" s="19"/>
      <c r="AG1858" s="19"/>
      <c r="AH1858" s="19"/>
      <c r="AI1858" s="19"/>
      <c r="AJ1858" s="19"/>
      <c r="AK1858" s="19"/>
    </row>
    <row r="1859" spans="1:37" ht="15.45" customHeight="1" x14ac:dyDescent="0.25">
      <c r="A1859" s="156" t="s">
        <v>678</v>
      </c>
      <c r="B1859" s="28" t="s">
        <v>5093</v>
      </c>
      <c r="C1859" s="37" t="s">
        <v>756</v>
      </c>
      <c r="E1859" s="37" t="s">
        <v>2830</v>
      </c>
      <c r="F1859" s="24" t="s">
        <v>993</v>
      </c>
      <c r="H1859" s="168"/>
      <c r="I1859" s="167"/>
      <c r="J1859" s="214" t="s">
        <v>3690</v>
      </c>
      <c r="K1859" s="10" t="s">
        <v>3685</v>
      </c>
      <c r="N1859" s="37" t="s">
        <v>3771</v>
      </c>
      <c r="P1859" s="37" t="s">
        <v>87</v>
      </c>
      <c r="R1859" s="37" t="s">
        <v>1792</v>
      </c>
      <c r="S1859" s="37"/>
      <c r="T1859" s="37"/>
      <c r="U1859" s="22">
        <v>2</v>
      </c>
      <c r="V1859" s="22">
        <v>2</v>
      </c>
      <c r="W1859" s="73">
        <f t="shared" ref="W1859:W1926" si="91">W1858+V1859</f>
        <v>203</v>
      </c>
      <c r="X1859" s="80">
        <f t="shared" si="90"/>
        <v>3021</v>
      </c>
      <c r="Y1859" s="82" t="s">
        <v>3584</v>
      </c>
      <c r="AF1859" s="19"/>
      <c r="AG1859" s="19"/>
      <c r="AH1859" s="19"/>
      <c r="AI1859" s="19"/>
      <c r="AJ1859" s="19"/>
      <c r="AK1859" s="19"/>
    </row>
    <row r="1860" spans="1:37" ht="15.45" customHeight="1" x14ac:dyDescent="0.25">
      <c r="A1860" s="156" t="s">
        <v>1087</v>
      </c>
      <c r="B1860" s="28" t="s">
        <v>5093</v>
      </c>
      <c r="C1860" s="37" t="s">
        <v>756</v>
      </c>
      <c r="E1860" s="37" t="s">
        <v>2830</v>
      </c>
      <c r="F1860" s="24" t="s">
        <v>993</v>
      </c>
      <c r="H1860" s="168"/>
      <c r="I1860" s="167"/>
      <c r="J1860" s="214" t="s">
        <v>3690</v>
      </c>
      <c r="K1860" s="10" t="s">
        <v>3685</v>
      </c>
      <c r="N1860" s="37" t="s">
        <v>3771</v>
      </c>
      <c r="P1860" s="37" t="s">
        <v>88</v>
      </c>
      <c r="R1860" s="37" t="s">
        <v>1792</v>
      </c>
      <c r="S1860" s="37"/>
      <c r="T1860" s="37"/>
      <c r="U1860" s="22">
        <v>1</v>
      </c>
      <c r="V1860" s="22">
        <v>1</v>
      </c>
      <c r="W1860" s="73">
        <f t="shared" si="91"/>
        <v>204</v>
      </c>
      <c r="X1860" s="80">
        <f t="shared" si="90"/>
        <v>3022</v>
      </c>
      <c r="Y1860" s="82" t="s">
        <v>3584</v>
      </c>
      <c r="AF1860" s="19"/>
      <c r="AG1860" s="19"/>
      <c r="AH1860" s="19"/>
      <c r="AI1860" s="19"/>
      <c r="AJ1860" s="19"/>
      <c r="AK1860" s="19"/>
    </row>
    <row r="1861" spans="1:37" ht="15.45" customHeight="1" x14ac:dyDescent="0.25">
      <c r="A1861" s="156" t="s">
        <v>1088</v>
      </c>
      <c r="B1861" s="28" t="s">
        <v>5093</v>
      </c>
      <c r="C1861" s="37" t="s">
        <v>756</v>
      </c>
      <c r="E1861" s="37" t="s">
        <v>2830</v>
      </c>
      <c r="F1861" s="24" t="s">
        <v>993</v>
      </c>
      <c r="H1861" s="168"/>
      <c r="I1861" s="167"/>
      <c r="J1861" s="214" t="s">
        <v>3690</v>
      </c>
      <c r="K1861" s="10" t="s">
        <v>3685</v>
      </c>
      <c r="N1861" s="37" t="s">
        <v>3771</v>
      </c>
      <c r="P1861" s="37" t="s">
        <v>89</v>
      </c>
      <c r="R1861" s="37" t="s">
        <v>1792</v>
      </c>
      <c r="S1861" s="37"/>
      <c r="T1861" s="37"/>
      <c r="U1861" s="22">
        <v>1</v>
      </c>
      <c r="V1861" s="22">
        <v>1</v>
      </c>
      <c r="W1861" s="73">
        <f t="shared" si="91"/>
        <v>205</v>
      </c>
      <c r="X1861" s="80">
        <f t="shared" si="90"/>
        <v>3023</v>
      </c>
      <c r="Y1861" s="82" t="s">
        <v>3584</v>
      </c>
      <c r="AF1861" s="19"/>
      <c r="AG1861" s="19"/>
      <c r="AH1861" s="19"/>
      <c r="AI1861" s="19"/>
      <c r="AJ1861" s="19"/>
      <c r="AK1861" s="19"/>
    </row>
    <row r="1862" spans="1:37" ht="15.45" customHeight="1" x14ac:dyDescent="0.25">
      <c r="A1862" s="156" t="s">
        <v>1089</v>
      </c>
      <c r="B1862" s="28" t="s">
        <v>5093</v>
      </c>
      <c r="C1862" s="37" t="s">
        <v>756</v>
      </c>
      <c r="E1862" s="37" t="s">
        <v>2830</v>
      </c>
      <c r="F1862" s="24" t="s">
        <v>993</v>
      </c>
      <c r="H1862" s="168"/>
      <c r="I1862" s="167"/>
      <c r="J1862" s="214" t="s">
        <v>3690</v>
      </c>
      <c r="K1862" s="10" t="s">
        <v>3685</v>
      </c>
      <c r="N1862" s="37" t="s">
        <v>3771</v>
      </c>
      <c r="P1862" s="37" t="s">
        <v>19</v>
      </c>
      <c r="R1862" s="37" t="s">
        <v>1792</v>
      </c>
      <c r="S1862" s="37"/>
      <c r="T1862" s="37"/>
      <c r="U1862" s="22">
        <v>1</v>
      </c>
      <c r="V1862" s="22">
        <v>1</v>
      </c>
      <c r="W1862" s="73">
        <f t="shared" si="91"/>
        <v>206</v>
      </c>
      <c r="X1862" s="80">
        <f t="shared" si="90"/>
        <v>3024</v>
      </c>
      <c r="Y1862" s="82" t="s">
        <v>3584</v>
      </c>
      <c r="AF1862" s="19"/>
      <c r="AG1862" s="19"/>
      <c r="AH1862" s="19"/>
      <c r="AI1862" s="19"/>
      <c r="AJ1862" s="19"/>
      <c r="AK1862" s="19"/>
    </row>
    <row r="1863" spans="1:37" ht="15.45" customHeight="1" x14ac:dyDescent="0.25">
      <c r="A1863" s="156" t="s">
        <v>768</v>
      </c>
      <c r="B1863" s="28" t="s">
        <v>5093</v>
      </c>
      <c r="C1863" s="37" t="s">
        <v>756</v>
      </c>
      <c r="E1863" s="37" t="s">
        <v>2830</v>
      </c>
      <c r="F1863" s="24" t="s">
        <v>993</v>
      </c>
      <c r="H1863" s="168"/>
      <c r="I1863" s="167"/>
      <c r="J1863" s="214" t="s">
        <v>3690</v>
      </c>
      <c r="K1863" s="10" t="s">
        <v>3685</v>
      </c>
      <c r="N1863" s="37" t="s">
        <v>3771</v>
      </c>
      <c r="P1863" s="37" t="s">
        <v>20</v>
      </c>
      <c r="R1863" s="37" t="s">
        <v>1792</v>
      </c>
      <c r="S1863" s="37"/>
      <c r="T1863" s="37"/>
      <c r="U1863" s="22">
        <v>1</v>
      </c>
      <c r="V1863" s="22">
        <v>1</v>
      </c>
      <c r="W1863" s="73">
        <f t="shared" si="91"/>
        <v>207</v>
      </c>
      <c r="X1863" s="80">
        <f t="shared" si="90"/>
        <v>3025</v>
      </c>
      <c r="Y1863" s="82" t="s">
        <v>3584</v>
      </c>
      <c r="AF1863" s="19"/>
      <c r="AG1863" s="19"/>
      <c r="AH1863" s="19"/>
      <c r="AI1863" s="19"/>
      <c r="AJ1863" s="19"/>
      <c r="AK1863" s="19"/>
    </row>
    <row r="1864" spans="1:37" ht="15.45" customHeight="1" x14ac:dyDescent="0.25">
      <c r="A1864" s="156" t="s">
        <v>592</v>
      </c>
      <c r="B1864" s="28" t="s">
        <v>5093</v>
      </c>
      <c r="C1864" s="37" t="s">
        <v>756</v>
      </c>
      <c r="E1864" s="37" t="s">
        <v>2830</v>
      </c>
      <c r="F1864" s="24" t="s">
        <v>993</v>
      </c>
      <c r="H1864" s="168"/>
      <c r="I1864" s="167"/>
      <c r="J1864" s="214" t="s">
        <v>3690</v>
      </c>
      <c r="K1864" s="10" t="s">
        <v>3685</v>
      </c>
      <c r="N1864" s="37" t="s">
        <v>3771</v>
      </c>
      <c r="P1864" s="37" t="s">
        <v>21</v>
      </c>
      <c r="R1864" s="37" t="s">
        <v>1792</v>
      </c>
      <c r="S1864" s="37"/>
      <c r="T1864" s="37"/>
      <c r="U1864" s="22">
        <v>1</v>
      </c>
      <c r="V1864" s="22">
        <v>1</v>
      </c>
      <c r="W1864" s="73">
        <f t="shared" si="91"/>
        <v>208</v>
      </c>
      <c r="X1864" s="80">
        <f t="shared" si="90"/>
        <v>3026</v>
      </c>
      <c r="Y1864" s="82" t="s">
        <v>3584</v>
      </c>
      <c r="AF1864" s="19"/>
      <c r="AG1864" s="19"/>
      <c r="AH1864" s="19"/>
      <c r="AI1864" s="19"/>
      <c r="AJ1864" s="19"/>
      <c r="AK1864" s="19"/>
    </row>
    <row r="1865" spans="1:37" ht="15.45" customHeight="1" x14ac:dyDescent="0.25">
      <c r="A1865" s="156" t="s">
        <v>1670</v>
      </c>
      <c r="B1865" s="28" t="s">
        <v>5093</v>
      </c>
      <c r="C1865" s="37" t="s">
        <v>756</v>
      </c>
      <c r="E1865" s="37" t="s">
        <v>2830</v>
      </c>
      <c r="F1865" s="24" t="s">
        <v>993</v>
      </c>
      <c r="H1865" s="168"/>
      <c r="I1865" s="167"/>
      <c r="O1865" s="37" t="s">
        <v>1671</v>
      </c>
      <c r="P1865" s="37" t="s">
        <v>1463</v>
      </c>
      <c r="Q1865" s="37" t="s">
        <v>3506</v>
      </c>
      <c r="R1865" s="37" t="s">
        <v>1792</v>
      </c>
      <c r="S1865" s="37"/>
      <c r="T1865" s="37"/>
      <c r="U1865" s="22">
        <v>2</v>
      </c>
      <c r="V1865" s="22">
        <v>2</v>
      </c>
      <c r="W1865" s="73">
        <f t="shared" si="91"/>
        <v>210</v>
      </c>
      <c r="X1865" s="80">
        <f t="shared" si="90"/>
        <v>3028</v>
      </c>
      <c r="Y1865" s="82" t="s">
        <v>3592</v>
      </c>
      <c r="Z1865" s="24" t="s">
        <v>1669</v>
      </c>
      <c r="AF1865" s="19"/>
      <c r="AG1865" s="19"/>
      <c r="AH1865" s="19"/>
      <c r="AI1865" s="19"/>
      <c r="AJ1865" s="19"/>
      <c r="AK1865" s="19"/>
    </row>
    <row r="1866" spans="1:37" ht="15.45" customHeight="1" x14ac:dyDescent="0.25">
      <c r="A1866" s="156" t="s">
        <v>3223</v>
      </c>
      <c r="B1866" s="28" t="s">
        <v>5093</v>
      </c>
      <c r="C1866" s="37" t="s">
        <v>756</v>
      </c>
      <c r="E1866" s="37" t="s">
        <v>2830</v>
      </c>
      <c r="F1866" s="24" t="s">
        <v>993</v>
      </c>
      <c r="H1866" s="168" t="s">
        <v>3792</v>
      </c>
      <c r="I1866" s="167"/>
      <c r="O1866" s="37" t="s">
        <v>1875</v>
      </c>
      <c r="P1866" s="37" t="s">
        <v>1463</v>
      </c>
      <c r="Q1866" s="37" t="s">
        <v>3506</v>
      </c>
      <c r="R1866" s="37" t="s">
        <v>1792</v>
      </c>
      <c r="S1866" s="37"/>
      <c r="T1866" s="37"/>
      <c r="U1866" s="22">
        <v>2</v>
      </c>
      <c r="V1866" s="22">
        <v>2</v>
      </c>
      <c r="W1866" s="73">
        <f t="shared" si="91"/>
        <v>212</v>
      </c>
      <c r="X1866" s="80">
        <f t="shared" si="90"/>
        <v>3030</v>
      </c>
      <c r="Y1866" s="82" t="s">
        <v>3592</v>
      </c>
      <c r="Z1866" s="24" t="s">
        <v>1669</v>
      </c>
      <c r="AF1866" s="19"/>
      <c r="AG1866" s="19"/>
      <c r="AH1866" s="19"/>
      <c r="AI1866" s="19"/>
      <c r="AJ1866" s="19"/>
      <c r="AK1866" s="19"/>
    </row>
    <row r="1867" spans="1:37" ht="15.45" customHeight="1" x14ac:dyDescent="0.25">
      <c r="A1867" s="156" t="s">
        <v>1874</v>
      </c>
      <c r="B1867" s="28" t="s">
        <v>5093</v>
      </c>
      <c r="C1867" s="37" t="s">
        <v>756</v>
      </c>
      <c r="E1867" s="37" t="s">
        <v>2830</v>
      </c>
      <c r="F1867" s="24" t="s">
        <v>993</v>
      </c>
      <c r="H1867" s="168"/>
      <c r="I1867" s="167"/>
      <c r="O1867" s="37" t="s">
        <v>1678</v>
      </c>
      <c r="P1867" s="37" t="s">
        <v>1463</v>
      </c>
      <c r="Q1867" s="37" t="s">
        <v>3506</v>
      </c>
      <c r="R1867" s="37" t="s">
        <v>1792</v>
      </c>
      <c r="S1867" s="37"/>
      <c r="T1867" s="37"/>
      <c r="U1867" s="22">
        <v>1</v>
      </c>
      <c r="V1867" s="22">
        <v>1</v>
      </c>
      <c r="W1867" s="73">
        <f t="shared" si="91"/>
        <v>213</v>
      </c>
      <c r="X1867" s="80">
        <f t="shared" si="90"/>
        <v>3031</v>
      </c>
      <c r="Y1867" s="82" t="s">
        <v>3592</v>
      </c>
      <c r="Z1867" s="24" t="s">
        <v>1669</v>
      </c>
      <c r="AF1867" s="19"/>
      <c r="AG1867" s="19"/>
      <c r="AH1867" s="19"/>
      <c r="AI1867" s="19"/>
      <c r="AJ1867" s="19"/>
      <c r="AK1867" s="19"/>
    </row>
    <row r="1868" spans="1:37" ht="15.45" customHeight="1" x14ac:dyDescent="0.25">
      <c r="A1868" s="156" t="s">
        <v>1874</v>
      </c>
      <c r="B1868" s="28" t="s">
        <v>5093</v>
      </c>
      <c r="C1868" s="37" t="s">
        <v>756</v>
      </c>
      <c r="E1868" s="37" t="s">
        <v>2830</v>
      </c>
      <c r="F1868" s="24" t="s">
        <v>993</v>
      </c>
      <c r="H1868" s="168" t="s">
        <v>5094</v>
      </c>
      <c r="I1868" s="167"/>
      <c r="J1868" s="215">
        <v>2009</v>
      </c>
      <c r="K1868" s="10" t="s">
        <v>5095</v>
      </c>
      <c r="O1868" s="37" t="s">
        <v>5481</v>
      </c>
      <c r="P1868" s="37" t="s">
        <v>5097</v>
      </c>
      <c r="Q1868" s="37" t="s">
        <v>3506</v>
      </c>
      <c r="R1868" s="37" t="s">
        <v>1792</v>
      </c>
      <c r="S1868" s="37" t="s">
        <v>3436</v>
      </c>
      <c r="T1868" s="37"/>
      <c r="U1868" s="22">
        <v>2</v>
      </c>
      <c r="V1868" s="22">
        <v>2</v>
      </c>
      <c r="W1868" s="73">
        <f t="shared" si="91"/>
        <v>215</v>
      </c>
      <c r="X1868" s="80">
        <f t="shared" si="90"/>
        <v>3033</v>
      </c>
      <c r="Y1868" s="82" t="s">
        <v>3591</v>
      </c>
      <c r="Z1868" s="24" t="s">
        <v>4515</v>
      </c>
      <c r="AF1868" s="19"/>
      <c r="AG1868" s="19"/>
      <c r="AH1868" s="19"/>
      <c r="AI1868" s="19"/>
      <c r="AJ1868" s="19"/>
      <c r="AK1868" s="19"/>
    </row>
    <row r="1869" spans="1:37" ht="15.45" customHeight="1" x14ac:dyDescent="0.25">
      <c r="A1869" s="156" t="s">
        <v>1306</v>
      </c>
      <c r="B1869" s="28" t="s">
        <v>5093</v>
      </c>
      <c r="C1869" s="37" t="s">
        <v>756</v>
      </c>
      <c r="E1869" s="37" t="s">
        <v>2830</v>
      </c>
      <c r="F1869" s="24" t="s">
        <v>189</v>
      </c>
      <c r="H1869" s="168"/>
      <c r="I1869" s="167"/>
      <c r="O1869" s="37" t="s">
        <v>5482</v>
      </c>
      <c r="P1869" s="37" t="s">
        <v>1463</v>
      </c>
      <c r="Q1869" s="37" t="s">
        <v>3506</v>
      </c>
      <c r="R1869" s="37" t="s">
        <v>1792</v>
      </c>
      <c r="S1869" s="37"/>
      <c r="T1869" s="37"/>
      <c r="U1869" s="22">
        <v>1</v>
      </c>
      <c r="V1869" s="22">
        <v>1</v>
      </c>
      <c r="W1869" s="73">
        <f t="shared" si="91"/>
        <v>216</v>
      </c>
      <c r="X1869" s="80">
        <f t="shared" si="90"/>
        <v>3034</v>
      </c>
      <c r="Y1869" s="82" t="s">
        <v>3592</v>
      </c>
      <c r="Z1869" s="24" t="s">
        <v>2888</v>
      </c>
      <c r="AB1869" s="177">
        <v>43865</v>
      </c>
      <c r="AC1869" s="84" t="s">
        <v>2885</v>
      </c>
      <c r="AF1869" s="19"/>
      <c r="AG1869" s="19"/>
      <c r="AH1869" s="19"/>
      <c r="AI1869" s="19"/>
      <c r="AJ1869" s="19"/>
      <c r="AK1869" s="19"/>
    </row>
    <row r="1870" spans="1:37" ht="15.45" customHeight="1" x14ac:dyDescent="0.25">
      <c r="A1870" s="156" t="s">
        <v>679</v>
      </c>
      <c r="B1870" s="28" t="s">
        <v>5093</v>
      </c>
      <c r="C1870" s="37" t="s">
        <v>756</v>
      </c>
      <c r="E1870" s="37" t="s">
        <v>2830</v>
      </c>
      <c r="F1870" s="24" t="s">
        <v>189</v>
      </c>
      <c r="H1870" s="168"/>
      <c r="I1870" s="167"/>
      <c r="O1870" s="37" t="s">
        <v>1563</v>
      </c>
      <c r="Q1870" s="37" t="s">
        <v>3506</v>
      </c>
      <c r="R1870" s="37" t="s">
        <v>1792</v>
      </c>
      <c r="S1870" s="37"/>
      <c r="T1870" s="37"/>
      <c r="U1870" s="22">
        <v>2</v>
      </c>
      <c r="V1870" s="22">
        <v>2</v>
      </c>
      <c r="W1870" s="73">
        <f t="shared" si="91"/>
        <v>218</v>
      </c>
      <c r="X1870" s="80">
        <f t="shared" si="90"/>
        <v>3036</v>
      </c>
      <c r="Y1870" s="82" t="s">
        <v>3584</v>
      </c>
      <c r="AF1870" s="19"/>
      <c r="AG1870" s="19"/>
      <c r="AH1870" s="19"/>
      <c r="AI1870" s="19"/>
      <c r="AJ1870" s="19"/>
      <c r="AK1870" s="19"/>
    </row>
    <row r="1871" spans="1:37" ht="15.45" customHeight="1" x14ac:dyDescent="0.25">
      <c r="A1871" s="156" t="s">
        <v>686</v>
      </c>
      <c r="B1871" s="28" t="s">
        <v>5093</v>
      </c>
      <c r="C1871" s="37" t="s">
        <v>756</v>
      </c>
      <c r="E1871" s="37" t="s">
        <v>2830</v>
      </c>
      <c r="F1871" s="24" t="s">
        <v>993</v>
      </c>
      <c r="H1871" s="168"/>
      <c r="I1871" s="167"/>
      <c r="O1871" s="37" t="s">
        <v>1563</v>
      </c>
      <c r="Q1871" s="37" t="s">
        <v>3506</v>
      </c>
      <c r="R1871" s="37" t="s">
        <v>1792</v>
      </c>
      <c r="S1871" s="37"/>
      <c r="T1871" s="37"/>
      <c r="U1871" s="22">
        <v>1</v>
      </c>
      <c r="V1871" s="22">
        <v>1</v>
      </c>
      <c r="W1871" s="73">
        <f t="shared" si="91"/>
        <v>219</v>
      </c>
      <c r="X1871" s="80">
        <f t="shared" si="90"/>
        <v>3037</v>
      </c>
      <c r="Y1871" s="82" t="s">
        <v>3592</v>
      </c>
      <c r="Z1871" s="24" t="s">
        <v>2884</v>
      </c>
      <c r="AF1871" s="19"/>
      <c r="AG1871" s="19"/>
      <c r="AH1871" s="19"/>
      <c r="AI1871" s="19"/>
      <c r="AJ1871" s="19"/>
      <c r="AK1871" s="19"/>
    </row>
    <row r="1872" spans="1:37" ht="15.45" customHeight="1" x14ac:dyDescent="0.25">
      <c r="A1872" s="156" t="s">
        <v>687</v>
      </c>
      <c r="B1872" s="28" t="s">
        <v>5093</v>
      </c>
      <c r="C1872" s="37" t="s">
        <v>756</v>
      </c>
      <c r="E1872" s="37" t="s">
        <v>2830</v>
      </c>
      <c r="F1872" s="24" t="s">
        <v>993</v>
      </c>
      <c r="H1872" s="168"/>
      <c r="I1872" s="167"/>
      <c r="O1872" s="37" t="s">
        <v>5464</v>
      </c>
      <c r="P1872" s="37" t="s">
        <v>1463</v>
      </c>
      <c r="Q1872" s="37" t="s">
        <v>3506</v>
      </c>
      <c r="R1872" s="37" t="s">
        <v>1792</v>
      </c>
      <c r="S1872" s="37"/>
      <c r="T1872" s="37"/>
      <c r="U1872" s="22">
        <v>1</v>
      </c>
      <c r="V1872" s="22">
        <v>1</v>
      </c>
      <c r="W1872" s="73">
        <f t="shared" si="91"/>
        <v>220</v>
      </c>
      <c r="X1872" s="80">
        <f t="shared" si="90"/>
        <v>3038</v>
      </c>
      <c r="Y1872" s="82" t="s">
        <v>3592</v>
      </c>
      <c r="Z1872" s="24" t="s">
        <v>2884</v>
      </c>
      <c r="AF1872" s="19"/>
      <c r="AG1872" s="19"/>
      <c r="AH1872" s="19"/>
      <c r="AI1872" s="19"/>
      <c r="AJ1872" s="19"/>
      <c r="AK1872" s="19"/>
    </row>
    <row r="1873" spans="1:37" ht="15.45" customHeight="1" x14ac:dyDescent="0.25">
      <c r="A1873" s="156" t="s">
        <v>3224</v>
      </c>
      <c r="B1873" s="28" t="s">
        <v>5093</v>
      </c>
      <c r="C1873" s="37" t="s">
        <v>756</v>
      </c>
      <c r="E1873" s="37" t="s">
        <v>2830</v>
      </c>
      <c r="F1873" s="24" t="s">
        <v>1951</v>
      </c>
      <c r="H1873" s="168" t="s">
        <v>3793</v>
      </c>
      <c r="I1873" s="167"/>
      <c r="O1873" s="37" t="s">
        <v>5480</v>
      </c>
      <c r="P1873" s="37" t="s">
        <v>1463</v>
      </c>
      <c r="Q1873" s="37" t="s">
        <v>3506</v>
      </c>
      <c r="R1873" s="37" t="s">
        <v>1792</v>
      </c>
      <c r="S1873" s="37"/>
      <c r="T1873" s="37"/>
      <c r="U1873" s="22">
        <v>1</v>
      </c>
      <c r="V1873" s="22">
        <v>1</v>
      </c>
      <c r="W1873" s="73">
        <f t="shared" si="91"/>
        <v>221</v>
      </c>
      <c r="X1873" s="80">
        <f t="shared" si="90"/>
        <v>3039</v>
      </c>
      <c r="Y1873" s="82" t="s">
        <v>3592</v>
      </c>
      <c r="Z1873" s="24" t="s">
        <v>50</v>
      </c>
      <c r="AF1873" s="19"/>
      <c r="AG1873" s="19"/>
      <c r="AH1873" s="19"/>
      <c r="AI1873" s="19"/>
      <c r="AJ1873" s="19"/>
      <c r="AK1873" s="19"/>
    </row>
    <row r="1874" spans="1:37" ht="15.45" customHeight="1" x14ac:dyDescent="0.25">
      <c r="A1874" s="156" t="s">
        <v>688</v>
      </c>
      <c r="B1874" s="28" t="s">
        <v>5093</v>
      </c>
      <c r="C1874" s="37" t="s">
        <v>756</v>
      </c>
      <c r="E1874" s="37" t="s">
        <v>2830</v>
      </c>
      <c r="F1874" s="24" t="s">
        <v>5116</v>
      </c>
      <c r="H1874" s="168"/>
      <c r="I1874" s="167"/>
      <c r="J1874" s="214" t="s">
        <v>3690</v>
      </c>
      <c r="K1874" s="10" t="s">
        <v>3685</v>
      </c>
      <c r="N1874" s="37" t="s">
        <v>3772</v>
      </c>
      <c r="S1874" s="37"/>
      <c r="T1874" s="37"/>
      <c r="U1874" s="22">
        <v>1</v>
      </c>
      <c r="V1874" s="22">
        <v>1</v>
      </c>
      <c r="W1874" s="73">
        <f t="shared" si="91"/>
        <v>222</v>
      </c>
      <c r="X1874" s="80">
        <f t="shared" si="90"/>
        <v>3040</v>
      </c>
      <c r="Y1874" s="82" t="s">
        <v>3584</v>
      </c>
      <c r="AF1874" s="19"/>
      <c r="AG1874" s="19"/>
      <c r="AH1874" s="19"/>
      <c r="AI1874" s="19"/>
      <c r="AJ1874" s="19"/>
      <c r="AK1874" s="19"/>
    </row>
    <row r="1875" spans="1:37" ht="15.45" customHeight="1" x14ac:dyDescent="0.25">
      <c r="A1875" s="156" t="s">
        <v>7201</v>
      </c>
      <c r="B1875" s="28" t="s">
        <v>5093</v>
      </c>
      <c r="C1875" s="37" t="s">
        <v>756</v>
      </c>
      <c r="E1875" s="37" t="s">
        <v>2830</v>
      </c>
      <c r="F1875" s="24" t="s">
        <v>7202</v>
      </c>
      <c r="H1875" s="168" t="s">
        <v>7205</v>
      </c>
      <c r="I1875" s="167"/>
      <c r="J1875" s="214" t="s">
        <v>6089</v>
      </c>
      <c r="N1875" s="37" t="s">
        <v>7206</v>
      </c>
      <c r="O1875" s="37" t="s">
        <v>7203</v>
      </c>
      <c r="P1875" s="37" t="s">
        <v>1843</v>
      </c>
      <c r="Q1875" s="37" t="s">
        <v>1999</v>
      </c>
      <c r="R1875" s="37" t="s">
        <v>3664</v>
      </c>
      <c r="S1875" s="37" t="s">
        <v>3436</v>
      </c>
      <c r="T1875" s="37"/>
      <c r="U1875" s="22">
        <v>2</v>
      </c>
      <c r="V1875" s="22">
        <v>2</v>
      </c>
      <c r="W1875" s="73">
        <f t="shared" si="91"/>
        <v>224</v>
      </c>
      <c r="X1875" s="80">
        <f t="shared" si="90"/>
        <v>3042</v>
      </c>
      <c r="Y1875" s="82" t="s">
        <v>3591</v>
      </c>
      <c r="Z1875" s="24" t="s">
        <v>7199</v>
      </c>
      <c r="AB1875" s="177">
        <v>45396</v>
      </c>
      <c r="AC1875" s="84" t="s">
        <v>2885</v>
      </c>
      <c r="AF1875" s="19"/>
      <c r="AG1875" s="19"/>
      <c r="AH1875" s="19"/>
      <c r="AI1875" s="19"/>
      <c r="AJ1875" s="19"/>
      <c r="AK1875" s="19"/>
    </row>
    <row r="1876" spans="1:37" ht="15.45" customHeight="1" x14ac:dyDescent="0.25">
      <c r="A1876" s="156" t="s">
        <v>22</v>
      </c>
      <c r="B1876" s="28" t="s">
        <v>5093</v>
      </c>
      <c r="C1876" s="37" t="s">
        <v>756</v>
      </c>
      <c r="E1876" s="37" t="s">
        <v>2830</v>
      </c>
      <c r="F1876" s="24" t="s">
        <v>993</v>
      </c>
      <c r="H1876" s="168"/>
      <c r="I1876" s="167"/>
      <c r="O1876" s="37" t="s">
        <v>1563</v>
      </c>
      <c r="Q1876" s="37" t="s">
        <v>3506</v>
      </c>
      <c r="R1876" s="37" t="s">
        <v>1792</v>
      </c>
      <c r="S1876" s="37"/>
      <c r="T1876" s="37"/>
      <c r="U1876" s="22">
        <v>1</v>
      </c>
      <c r="V1876" s="22">
        <v>1</v>
      </c>
      <c r="W1876" s="73">
        <f t="shared" si="91"/>
        <v>225</v>
      </c>
      <c r="X1876" s="80">
        <f t="shared" si="90"/>
        <v>3043</v>
      </c>
      <c r="Y1876" s="82" t="s">
        <v>3592</v>
      </c>
      <c r="Z1876" s="24" t="s">
        <v>2884</v>
      </c>
      <c r="AF1876" s="19"/>
      <c r="AG1876" s="19"/>
      <c r="AH1876" s="19"/>
      <c r="AI1876" s="19"/>
      <c r="AJ1876" s="19"/>
      <c r="AK1876" s="19"/>
    </row>
    <row r="1877" spans="1:37" ht="15.45" customHeight="1" x14ac:dyDescent="0.25">
      <c r="A1877" s="156" t="s">
        <v>3670</v>
      </c>
      <c r="B1877" s="28"/>
      <c r="C1877" s="37" t="s">
        <v>756</v>
      </c>
      <c r="E1877" s="37" t="s">
        <v>2830</v>
      </c>
      <c r="F1877" s="24" t="s">
        <v>1094</v>
      </c>
      <c r="H1877" s="168"/>
      <c r="I1877" s="167"/>
      <c r="J1877" s="214" t="s">
        <v>3690</v>
      </c>
      <c r="K1877" s="10" t="s">
        <v>3685</v>
      </c>
      <c r="N1877" s="37" t="s">
        <v>3771</v>
      </c>
      <c r="P1877" s="37" t="s">
        <v>4108</v>
      </c>
      <c r="Q1877" s="37" t="s">
        <v>1998</v>
      </c>
      <c r="R1877" s="37" t="s">
        <v>1792</v>
      </c>
      <c r="S1877" s="37"/>
      <c r="T1877" s="37"/>
      <c r="U1877" s="22">
        <v>1</v>
      </c>
      <c r="V1877" s="22">
        <v>1</v>
      </c>
      <c r="W1877" s="73">
        <f t="shared" si="91"/>
        <v>226</v>
      </c>
      <c r="X1877" s="80">
        <f t="shared" si="90"/>
        <v>3044</v>
      </c>
      <c r="Y1877" s="82" t="s">
        <v>3584</v>
      </c>
      <c r="AF1877" s="19"/>
      <c r="AG1877" s="19"/>
      <c r="AH1877" s="19"/>
      <c r="AI1877" s="19"/>
      <c r="AJ1877" s="19"/>
      <c r="AK1877" s="19"/>
    </row>
    <row r="1878" spans="1:37" ht="15.45" customHeight="1" x14ac:dyDescent="0.25">
      <c r="A1878" s="156" t="s">
        <v>765</v>
      </c>
      <c r="B1878" s="28"/>
      <c r="C1878" s="37" t="s">
        <v>756</v>
      </c>
      <c r="E1878" s="37" t="s">
        <v>2830</v>
      </c>
      <c r="F1878" s="24" t="s">
        <v>1094</v>
      </c>
      <c r="H1878" s="168"/>
      <c r="I1878" s="167"/>
      <c r="J1878" s="214" t="s">
        <v>3690</v>
      </c>
      <c r="K1878" s="10" t="s">
        <v>3685</v>
      </c>
      <c r="N1878" s="37" t="s">
        <v>3771</v>
      </c>
      <c r="P1878" s="37" t="s">
        <v>23</v>
      </c>
      <c r="R1878" s="37" t="s">
        <v>1792</v>
      </c>
      <c r="S1878" s="37"/>
      <c r="T1878" s="37"/>
      <c r="U1878" s="22">
        <v>1</v>
      </c>
      <c r="V1878" s="22">
        <v>1</v>
      </c>
      <c r="W1878" s="73">
        <f t="shared" si="91"/>
        <v>227</v>
      </c>
      <c r="X1878" s="80">
        <f t="shared" si="90"/>
        <v>3045</v>
      </c>
      <c r="Y1878" s="82" t="s">
        <v>3584</v>
      </c>
      <c r="AF1878" s="19"/>
      <c r="AG1878" s="19"/>
      <c r="AH1878" s="19"/>
      <c r="AI1878" s="19"/>
      <c r="AJ1878" s="19"/>
      <c r="AK1878" s="19"/>
    </row>
    <row r="1879" spans="1:37" ht="15.45" customHeight="1" x14ac:dyDescent="0.25">
      <c r="A1879" s="156" t="s">
        <v>766</v>
      </c>
      <c r="B1879" s="28"/>
      <c r="C1879" s="37" t="s">
        <v>756</v>
      </c>
      <c r="E1879" s="37" t="s">
        <v>2830</v>
      </c>
      <c r="F1879" s="24" t="s">
        <v>1094</v>
      </c>
      <c r="H1879" s="168"/>
      <c r="I1879" s="167"/>
      <c r="J1879" s="214" t="s">
        <v>3690</v>
      </c>
      <c r="K1879" s="10" t="s">
        <v>3685</v>
      </c>
      <c r="N1879" s="37" t="s">
        <v>3771</v>
      </c>
      <c r="P1879" s="37" t="s">
        <v>23</v>
      </c>
      <c r="R1879" s="37" t="s">
        <v>1792</v>
      </c>
      <c r="S1879" s="37"/>
      <c r="T1879" s="37"/>
      <c r="U1879" s="22">
        <v>1</v>
      </c>
      <c r="V1879" s="22">
        <v>1</v>
      </c>
      <c r="W1879" s="73">
        <f t="shared" si="91"/>
        <v>228</v>
      </c>
      <c r="X1879" s="80">
        <f t="shared" si="90"/>
        <v>3046</v>
      </c>
      <c r="Y1879" s="82" t="s">
        <v>3584</v>
      </c>
      <c r="AF1879" s="19"/>
      <c r="AG1879" s="19"/>
      <c r="AH1879" s="19"/>
      <c r="AI1879" s="19"/>
      <c r="AJ1879" s="19"/>
      <c r="AK1879" s="19"/>
    </row>
    <row r="1880" spans="1:37" ht="15.45" customHeight="1" x14ac:dyDescent="0.25">
      <c r="A1880" s="156" t="s">
        <v>767</v>
      </c>
      <c r="B1880" s="28"/>
      <c r="C1880" s="37" t="s">
        <v>756</v>
      </c>
      <c r="E1880" s="37" t="s">
        <v>2830</v>
      </c>
      <c r="F1880" s="24" t="s">
        <v>1094</v>
      </c>
      <c r="H1880" s="168"/>
      <c r="I1880" s="167"/>
      <c r="J1880" s="214" t="s">
        <v>3690</v>
      </c>
      <c r="K1880" s="10" t="s">
        <v>3685</v>
      </c>
      <c r="N1880" s="37" t="s">
        <v>3771</v>
      </c>
      <c r="P1880" s="37" t="s">
        <v>23</v>
      </c>
      <c r="R1880" s="37" t="s">
        <v>1792</v>
      </c>
      <c r="S1880" s="37"/>
      <c r="T1880" s="37"/>
      <c r="U1880" s="22">
        <v>1</v>
      </c>
      <c r="V1880" s="22">
        <v>1</v>
      </c>
      <c r="W1880" s="73">
        <f t="shared" si="91"/>
        <v>229</v>
      </c>
      <c r="X1880" s="80">
        <f t="shared" si="90"/>
        <v>3047</v>
      </c>
      <c r="Y1880" s="82" t="s">
        <v>3584</v>
      </c>
      <c r="AF1880" s="19"/>
      <c r="AG1880" s="19"/>
      <c r="AH1880" s="19"/>
      <c r="AI1880" s="19"/>
      <c r="AJ1880" s="19"/>
      <c r="AK1880" s="19"/>
    </row>
    <row r="1881" spans="1:37" ht="15.45" customHeight="1" x14ac:dyDescent="0.25">
      <c r="A1881" s="156" t="s">
        <v>1323</v>
      </c>
      <c r="B1881" s="28"/>
      <c r="C1881" s="37" t="s">
        <v>756</v>
      </c>
      <c r="E1881" s="37" t="s">
        <v>2830</v>
      </c>
      <c r="F1881" s="24" t="s">
        <v>1094</v>
      </c>
      <c r="H1881" s="168"/>
      <c r="I1881" s="167"/>
      <c r="J1881" s="214" t="s">
        <v>3690</v>
      </c>
      <c r="K1881" s="10" t="s">
        <v>3685</v>
      </c>
      <c r="N1881" s="37" t="s">
        <v>3771</v>
      </c>
      <c r="P1881" s="37" t="s">
        <v>24</v>
      </c>
      <c r="R1881" s="37" t="s">
        <v>1792</v>
      </c>
      <c r="S1881" s="37"/>
      <c r="T1881" s="37"/>
      <c r="U1881" s="22">
        <v>2</v>
      </c>
      <c r="V1881" s="22">
        <v>2</v>
      </c>
      <c r="W1881" s="73">
        <f t="shared" si="91"/>
        <v>231</v>
      </c>
      <c r="X1881" s="80">
        <f t="shared" si="90"/>
        <v>3049</v>
      </c>
      <c r="Y1881" s="82" t="s">
        <v>3584</v>
      </c>
      <c r="AF1881" s="19"/>
      <c r="AG1881" s="19"/>
      <c r="AH1881" s="19"/>
      <c r="AI1881" s="19"/>
      <c r="AJ1881" s="19"/>
      <c r="AK1881" s="19"/>
    </row>
    <row r="1882" spans="1:37" ht="15.45" customHeight="1" x14ac:dyDescent="0.25">
      <c r="A1882" s="156" t="s">
        <v>830</v>
      </c>
      <c r="B1882" s="28"/>
      <c r="C1882" s="37" t="s">
        <v>756</v>
      </c>
      <c r="E1882" s="37" t="s">
        <v>2830</v>
      </c>
      <c r="F1882" s="24" t="s">
        <v>1094</v>
      </c>
      <c r="H1882" s="168"/>
      <c r="I1882" s="167"/>
      <c r="J1882" s="214" t="s">
        <v>3690</v>
      </c>
      <c r="K1882" s="10" t="s">
        <v>3685</v>
      </c>
      <c r="N1882" s="37" t="s">
        <v>3771</v>
      </c>
      <c r="P1882" s="37" t="s">
        <v>25</v>
      </c>
      <c r="R1882" s="37" t="s">
        <v>1792</v>
      </c>
      <c r="S1882" s="37"/>
      <c r="T1882" s="37"/>
      <c r="U1882" s="22">
        <v>1</v>
      </c>
      <c r="V1882" s="22">
        <v>1</v>
      </c>
      <c r="W1882" s="73">
        <f t="shared" si="91"/>
        <v>232</v>
      </c>
      <c r="X1882" s="80">
        <f t="shared" si="90"/>
        <v>3050</v>
      </c>
      <c r="Y1882" s="82" t="s">
        <v>3584</v>
      </c>
      <c r="AF1882" s="19"/>
      <c r="AG1882" s="19"/>
      <c r="AH1882" s="19"/>
      <c r="AI1882" s="19"/>
      <c r="AJ1882" s="19"/>
      <c r="AK1882" s="19"/>
    </row>
    <row r="1883" spans="1:37" ht="15.45" customHeight="1" x14ac:dyDescent="0.25">
      <c r="A1883" s="156" t="s">
        <v>655</v>
      </c>
      <c r="B1883" s="28"/>
      <c r="C1883" s="37" t="s">
        <v>756</v>
      </c>
      <c r="E1883" s="37" t="s">
        <v>2830</v>
      </c>
      <c r="F1883" s="24" t="s">
        <v>1094</v>
      </c>
      <c r="H1883" s="168"/>
      <c r="I1883" s="167"/>
      <c r="J1883" s="214" t="s">
        <v>3690</v>
      </c>
      <c r="K1883" s="10" t="s">
        <v>3685</v>
      </c>
      <c r="N1883" s="37" t="s">
        <v>3771</v>
      </c>
      <c r="P1883" s="37" t="s">
        <v>25</v>
      </c>
      <c r="R1883" s="37" t="s">
        <v>1792</v>
      </c>
      <c r="S1883" s="37"/>
      <c r="T1883" s="37"/>
      <c r="U1883" s="22">
        <v>1</v>
      </c>
      <c r="V1883" s="22">
        <v>1</v>
      </c>
      <c r="W1883" s="73">
        <f t="shared" si="91"/>
        <v>233</v>
      </c>
      <c r="X1883" s="80">
        <f t="shared" si="90"/>
        <v>3051</v>
      </c>
      <c r="Y1883" s="82" t="s">
        <v>3584</v>
      </c>
      <c r="AF1883" s="19"/>
      <c r="AG1883" s="19"/>
      <c r="AH1883" s="19"/>
      <c r="AI1883" s="19"/>
      <c r="AJ1883" s="19"/>
      <c r="AK1883" s="19"/>
    </row>
    <row r="1884" spans="1:37" ht="15.45" customHeight="1" x14ac:dyDescent="0.25">
      <c r="A1884" s="156" t="s">
        <v>823</v>
      </c>
      <c r="B1884" s="28"/>
      <c r="C1884" s="37" t="s">
        <v>756</v>
      </c>
      <c r="E1884" s="37" t="s">
        <v>2830</v>
      </c>
      <c r="F1884" s="24" t="s">
        <v>1094</v>
      </c>
      <c r="H1884" s="168"/>
      <c r="I1884" s="167"/>
      <c r="J1884" s="214" t="s">
        <v>3690</v>
      </c>
      <c r="K1884" s="10" t="s">
        <v>3685</v>
      </c>
      <c r="N1884" s="37" t="s">
        <v>3771</v>
      </c>
      <c r="P1884" s="37" t="s">
        <v>26</v>
      </c>
      <c r="R1884" s="37" t="s">
        <v>1792</v>
      </c>
      <c r="S1884" s="37"/>
      <c r="T1884" s="37"/>
      <c r="U1884" s="22">
        <v>1</v>
      </c>
      <c r="V1884" s="22">
        <v>1</v>
      </c>
      <c r="W1884" s="73">
        <f t="shared" si="91"/>
        <v>234</v>
      </c>
      <c r="X1884" s="80">
        <f t="shared" si="90"/>
        <v>3052</v>
      </c>
      <c r="Y1884" s="82" t="s">
        <v>3584</v>
      </c>
      <c r="AF1884" s="19"/>
      <c r="AG1884" s="19"/>
      <c r="AH1884" s="19"/>
      <c r="AI1884" s="19"/>
      <c r="AJ1884" s="19"/>
      <c r="AK1884" s="19"/>
    </row>
    <row r="1885" spans="1:37" ht="15.45" customHeight="1" x14ac:dyDescent="0.25">
      <c r="A1885" s="156" t="s">
        <v>819</v>
      </c>
      <c r="B1885" s="28"/>
      <c r="C1885" s="37" t="s">
        <v>756</v>
      </c>
      <c r="E1885" s="37" t="s">
        <v>2830</v>
      </c>
      <c r="F1885" s="24" t="s">
        <v>1094</v>
      </c>
      <c r="H1885" s="168"/>
      <c r="I1885" s="167"/>
      <c r="J1885" s="214" t="s">
        <v>3690</v>
      </c>
      <c r="K1885" s="10" t="s">
        <v>3685</v>
      </c>
      <c r="N1885" s="37" t="s">
        <v>3771</v>
      </c>
      <c r="P1885" s="37" t="s">
        <v>96</v>
      </c>
      <c r="R1885" s="37" t="s">
        <v>1792</v>
      </c>
      <c r="S1885" s="37"/>
      <c r="T1885" s="37"/>
      <c r="U1885" s="22">
        <v>1</v>
      </c>
      <c r="V1885" s="22">
        <v>1</v>
      </c>
      <c r="W1885" s="73">
        <f t="shared" si="91"/>
        <v>235</v>
      </c>
      <c r="X1885" s="80">
        <f t="shared" si="90"/>
        <v>3053</v>
      </c>
      <c r="Y1885" s="82" t="s">
        <v>3584</v>
      </c>
      <c r="AF1885" s="19"/>
      <c r="AG1885" s="19"/>
      <c r="AH1885" s="19"/>
      <c r="AI1885" s="19"/>
      <c r="AJ1885" s="19"/>
      <c r="AK1885" s="19"/>
    </row>
    <row r="1886" spans="1:37" ht="15.45" customHeight="1" x14ac:dyDescent="0.25">
      <c r="A1886" s="156" t="s">
        <v>498</v>
      </c>
      <c r="B1886" s="28"/>
      <c r="C1886" s="37" t="s">
        <v>756</v>
      </c>
      <c r="E1886" s="37" t="s">
        <v>2830</v>
      </c>
      <c r="F1886" s="24" t="s">
        <v>1094</v>
      </c>
      <c r="H1886" s="168"/>
      <c r="I1886" s="167"/>
      <c r="J1886" s="214" t="s">
        <v>3690</v>
      </c>
      <c r="K1886" s="10" t="s">
        <v>3685</v>
      </c>
      <c r="N1886" s="37" t="s">
        <v>3771</v>
      </c>
      <c r="P1886" s="37" t="s">
        <v>97</v>
      </c>
      <c r="R1886" s="37" t="s">
        <v>1792</v>
      </c>
      <c r="S1886" s="37"/>
      <c r="T1886" s="37"/>
      <c r="U1886" s="22">
        <v>1</v>
      </c>
      <c r="V1886" s="22">
        <v>1</v>
      </c>
      <c r="W1886" s="73">
        <f t="shared" si="91"/>
        <v>236</v>
      </c>
      <c r="X1886" s="80">
        <f t="shared" si="90"/>
        <v>3054</v>
      </c>
      <c r="Y1886" s="82" t="s">
        <v>3584</v>
      </c>
      <c r="AF1886" s="19"/>
      <c r="AG1886" s="19"/>
      <c r="AH1886" s="19"/>
      <c r="AI1886" s="19"/>
      <c r="AJ1886" s="19"/>
      <c r="AK1886" s="19"/>
    </row>
    <row r="1887" spans="1:37" ht="15.45" customHeight="1" x14ac:dyDescent="0.25">
      <c r="A1887" s="156" t="s">
        <v>395</v>
      </c>
      <c r="B1887" s="28"/>
      <c r="C1887" s="37" t="s">
        <v>756</v>
      </c>
      <c r="E1887" s="37" t="s">
        <v>2830</v>
      </c>
      <c r="F1887" s="24" t="s">
        <v>1094</v>
      </c>
      <c r="H1887" s="168"/>
      <c r="I1887" s="167"/>
      <c r="J1887" s="214" t="s">
        <v>3690</v>
      </c>
      <c r="K1887" s="10" t="s">
        <v>3685</v>
      </c>
      <c r="N1887" s="37" t="s">
        <v>3771</v>
      </c>
      <c r="P1887" s="37" t="s">
        <v>97</v>
      </c>
      <c r="R1887" s="37" t="s">
        <v>1792</v>
      </c>
      <c r="S1887" s="37"/>
      <c r="T1887" s="37"/>
      <c r="U1887" s="22">
        <v>1</v>
      </c>
      <c r="V1887" s="22">
        <v>1</v>
      </c>
      <c r="W1887" s="73">
        <f t="shared" si="91"/>
        <v>237</v>
      </c>
      <c r="X1887" s="80">
        <f t="shared" si="90"/>
        <v>3055</v>
      </c>
      <c r="Y1887" s="82" t="s">
        <v>3584</v>
      </c>
      <c r="AF1887" s="19"/>
      <c r="AG1887" s="19"/>
      <c r="AH1887" s="19"/>
      <c r="AI1887" s="19"/>
      <c r="AJ1887" s="19"/>
      <c r="AK1887" s="19"/>
    </row>
    <row r="1888" spans="1:37" ht="15.45" customHeight="1" x14ac:dyDescent="0.25">
      <c r="A1888" s="156" t="s">
        <v>1437</v>
      </c>
      <c r="B1888" s="28"/>
      <c r="C1888" s="37" t="s">
        <v>756</v>
      </c>
      <c r="E1888" s="37" t="s">
        <v>2830</v>
      </c>
      <c r="F1888" s="24" t="s">
        <v>1094</v>
      </c>
      <c r="H1888" s="168"/>
      <c r="I1888" s="167"/>
      <c r="J1888" s="214" t="s">
        <v>3690</v>
      </c>
      <c r="K1888" s="10" t="s">
        <v>3685</v>
      </c>
      <c r="N1888" s="37" t="s">
        <v>3771</v>
      </c>
      <c r="P1888" s="37" t="s">
        <v>126</v>
      </c>
      <c r="R1888" s="37" t="s">
        <v>1792</v>
      </c>
      <c r="S1888" s="37"/>
      <c r="T1888" s="37"/>
      <c r="U1888" s="22">
        <v>2</v>
      </c>
      <c r="V1888" s="22">
        <v>2</v>
      </c>
      <c r="W1888" s="73">
        <f t="shared" si="91"/>
        <v>239</v>
      </c>
      <c r="X1888" s="80">
        <f t="shared" si="90"/>
        <v>3057</v>
      </c>
      <c r="Y1888" s="82" t="s">
        <v>3584</v>
      </c>
      <c r="AF1888" s="19"/>
      <c r="AG1888" s="19"/>
      <c r="AH1888" s="19"/>
      <c r="AI1888" s="19"/>
      <c r="AJ1888" s="19"/>
      <c r="AK1888" s="19"/>
    </row>
    <row r="1889" spans="1:37" ht="15.45" customHeight="1" x14ac:dyDescent="0.25">
      <c r="A1889" s="156" t="s">
        <v>494</v>
      </c>
      <c r="B1889" s="28"/>
      <c r="C1889" s="37" t="s">
        <v>756</v>
      </c>
      <c r="E1889" s="37" t="s">
        <v>2830</v>
      </c>
      <c r="F1889" s="24" t="s">
        <v>1094</v>
      </c>
      <c r="H1889" s="168"/>
      <c r="I1889" s="167"/>
      <c r="J1889" s="214" t="s">
        <v>3690</v>
      </c>
      <c r="K1889" s="10" t="s">
        <v>3685</v>
      </c>
      <c r="N1889" s="37" t="s">
        <v>3772</v>
      </c>
      <c r="S1889" s="37"/>
      <c r="T1889" s="37"/>
      <c r="U1889" s="22">
        <v>1</v>
      </c>
      <c r="V1889" s="22">
        <v>1</v>
      </c>
      <c r="W1889" s="73">
        <f t="shared" si="91"/>
        <v>240</v>
      </c>
      <c r="X1889" s="80">
        <f t="shared" si="90"/>
        <v>3058</v>
      </c>
      <c r="Y1889" s="82" t="s">
        <v>3584</v>
      </c>
      <c r="AF1889" s="19"/>
      <c r="AG1889" s="19"/>
      <c r="AH1889" s="19"/>
      <c r="AI1889" s="19"/>
      <c r="AJ1889" s="19"/>
      <c r="AK1889" s="19"/>
    </row>
    <row r="1890" spans="1:37" ht="15.45" customHeight="1" x14ac:dyDescent="0.25">
      <c r="A1890" s="156" t="s">
        <v>5840</v>
      </c>
      <c r="B1890" s="28"/>
      <c r="C1890" s="37" t="s">
        <v>756</v>
      </c>
      <c r="E1890" s="37" t="s">
        <v>2830</v>
      </c>
      <c r="F1890" s="24" t="s">
        <v>1094</v>
      </c>
      <c r="H1890" s="201" t="s">
        <v>5841</v>
      </c>
      <c r="I1890" s="167"/>
      <c r="J1890" s="214" t="s">
        <v>5684</v>
      </c>
      <c r="O1890" s="37" t="s">
        <v>1678</v>
      </c>
      <c r="P1890" s="37" t="s">
        <v>1463</v>
      </c>
      <c r="S1890" s="37"/>
      <c r="T1890" s="37"/>
      <c r="U1890" s="22">
        <v>2</v>
      </c>
      <c r="V1890" s="22">
        <v>2</v>
      </c>
      <c r="W1890" s="73">
        <f t="shared" si="91"/>
        <v>242</v>
      </c>
      <c r="X1890" s="80">
        <f t="shared" si="90"/>
        <v>3060</v>
      </c>
      <c r="Y1890" s="82" t="s">
        <v>3591</v>
      </c>
      <c r="Z1890" s="24" t="s">
        <v>2885</v>
      </c>
      <c r="AB1890" s="177">
        <v>44383</v>
      </c>
      <c r="AC1890" s="84" t="s">
        <v>5308</v>
      </c>
      <c r="AF1890" s="19"/>
      <c r="AG1890" s="19"/>
      <c r="AH1890" s="19"/>
      <c r="AI1890" s="19"/>
      <c r="AJ1890" s="19"/>
      <c r="AK1890" s="19"/>
    </row>
    <row r="1891" spans="1:37" ht="15.45" customHeight="1" x14ac:dyDescent="0.25">
      <c r="A1891" s="156" t="s">
        <v>6336</v>
      </c>
      <c r="B1891" s="28"/>
      <c r="C1891" s="37" t="s">
        <v>756</v>
      </c>
      <c r="E1891" s="37" t="s">
        <v>2830</v>
      </c>
      <c r="F1891" s="24" t="s">
        <v>5096</v>
      </c>
      <c r="H1891" s="168" t="s">
        <v>5857</v>
      </c>
      <c r="I1891" s="167"/>
      <c r="J1891" s="214" t="s">
        <v>5801</v>
      </c>
      <c r="O1891" s="37" t="s">
        <v>5858</v>
      </c>
      <c r="P1891" s="37" t="s">
        <v>486</v>
      </c>
      <c r="S1891" s="37" t="s">
        <v>3412</v>
      </c>
      <c r="T1891" s="37"/>
      <c r="U1891" s="22">
        <v>1</v>
      </c>
      <c r="V1891" s="22">
        <v>1</v>
      </c>
      <c r="W1891" s="73">
        <f t="shared" si="91"/>
        <v>243</v>
      </c>
      <c r="X1891" s="80">
        <f t="shared" si="90"/>
        <v>3061</v>
      </c>
      <c r="Y1891" s="82" t="s">
        <v>3591</v>
      </c>
      <c r="Z1891" s="24" t="s">
        <v>2885</v>
      </c>
      <c r="AB1891" s="177">
        <v>44383</v>
      </c>
      <c r="AC1891" s="84" t="s">
        <v>5308</v>
      </c>
      <c r="AF1891" s="19"/>
      <c r="AG1891" s="19"/>
      <c r="AH1891" s="19"/>
      <c r="AI1891" s="19"/>
      <c r="AJ1891" s="19"/>
      <c r="AK1891" s="19"/>
    </row>
    <row r="1892" spans="1:37" ht="15.45" customHeight="1" x14ac:dyDescent="0.25">
      <c r="A1892" s="156" t="s">
        <v>495</v>
      </c>
      <c r="B1892" s="28"/>
      <c r="C1892" s="37" t="s">
        <v>756</v>
      </c>
      <c r="E1892" s="37" t="s">
        <v>2830</v>
      </c>
      <c r="F1892" s="24" t="s">
        <v>1094</v>
      </c>
      <c r="H1892" s="168"/>
      <c r="I1892" s="167"/>
      <c r="J1892" s="214" t="s">
        <v>3690</v>
      </c>
      <c r="K1892" s="10" t="s">
        <v>3685</v>
      </c>
      <c r="N1892" s="37" t="s">
        <v>3772</v>
      </c>
      <c r="S1892" s="37"/>
      <c r="T1892" s="37"/>
      <c r="U1892" s="22">
        <v>1</v>
      </c>
      <c r="V1892" s="22">
        <v>1</v>
      </c>
      <c r="W1892" s="73">
        <f t="shared" si="91"/>
        <v>244</v>
      </c>
      <c r="X1892" s="80">
        <f t="shared" si="90"/>
        <v>3062</v>
      </c>
      <c r="Y1892" s="82" t="s">
        <v>3584</v>
      </c>
      <c r="AF1892" s="19"/>
      <c r="AG1892" s="19"/>
      <c r="AH1892" s="19"/>
      <c r="AI1892" s="19"/>
      <c r="AJ1892" s="19"/>
      <c r="AK1892" s="19"/>
    </row>
    <row r="1893" spans="1:37" ht="15.45" customHeight="1" x14ac:dyDescent="0.25">
      <c r="A1893" s="156" t="s">
        <v>498</v>
      </c>
      <c r="B1893" s="28"/>
      <c r="C1893" s="37" t="s">
        <v>756</v>
      </c>
      <c r="E1893" s="37" t="s">
        <v>2830</v>
      </c>
      <c r="F1893" s="24" t="s">
        <v>1094</v>
      </c>
      <c r="H1893" s="168"/>
      <c r="I1893" s="167"/>
      <c r="J1893" s="214" t="s">
        <v>3690</v>
      </c>
      <c r="K1893" s="10" t="s">
        <v>3685</v>
      </c>
      <c r="N1893" s="37" t="s">
        <v>3771</v>
      </c>
      <c r="P1893" s="37" t="s">
        <v>97</v>
      </c>
      <c r="S1893" s="37"/>
      <c r="T1893" s="37"/>
      <c r="U1893" s="22">
        <v>3</v>
      </c>
      <c r="V1893" s="22">
        <v>3</v>
      </c>
      <c r="W1893" s="73">
        <f t="shared" si="91"/>
        <v>247</v>
      </c>
      <c r="X1893" s="80">
        <f t="shared" si="90"/>
        <v>3065</v>
      </c>
      <c r="Y1893" s="82" t="s">
        <v>3584</v>
      </c>
      <c r="AF1893" s="19"/>
      <c r="AG1893" s="19"/>
      <c r="AH1893" s="19"/>
      <c r="AI1893" s="19"/>
      <c r="AJ1893" s="19"/>
      <c r="AK1893" s="19"/>
    </row>
    <row r="1894" spans="1:37" ht="15.45" customHeight="1" x14ac:dyDescent="0.25">
      <c r="A1894" s="156" t="s">
        <v>496</v>
      </c>
      <c r="B1894" s="28"/>
      <c r="C1894" s="37" t="s">
        <v>756</v>
      </c>
      <c r="E1894" s="37" t="s">
        <v>2830</v>
      </c>
      <c r="F1894" s="24" t="s">
        <v>2120</v>
      </c>
      <c r="H1894" s="168"/>
      <c r="I1894" s="167"/>
      <c r="J1894" s="214" t="s">
        <v>3690</v>
      </c>
      <c r="K1894" s="10" t="s">
        <v>3685</v>
      </c>
      <c r="N1894" s="37" t="s">
        <v>3771</v>
      </c>
      <c r="P1894" s="37" t="s">
        <v>98</v>
      </c>
      <c r="S1894" s="37"/>
      <c r="T1894" s="37"/>
      <c r="U1894" s="22">
        <v>1</v>
      </c>
      <c r="V1894" s="22">
        <v>1</v>
      </c>
      <c r="W1894" s="73">
        <f t="shared" si="91"/>
        <v>248</v>
      </c>
      <c r="X1894" s="80">
        <f t="shared" si="90"/>
        <v>3066</v>
      </c>
      <c r="Y1894" s="82" t="s">
        <v>3584</v>
      </c>
      <c r="AF1894" s="19"/>
      <c r="AG1894" s="19"/>
      <c r="AH1894" s="19"/>
      <c r="AI1894" s="19"/>
      <c r="AJ1894" s="19"/>
      <c r="AK1894" s="19"/>
    </row>
    <row r="1895" spans="1:37" ht="15.45" customHeight="1" x14ac:dyDescent="0.25">
      <c r="A1895" s="156" t="s">
        <v>980</v>
      </c>
      <c r="B1895" s="28"/>
      <c r="C1895" s="37" t="s">
        <v>756</v>
      </c>
      <c r="E1895" s="37" t="s">
        <v>2830</v>
      </c>
      <c r="F1895" s="24" t="s">
        <v>2120</v>
      </c>
      <c r="H1895" s="168"/>
      <c r="I1895" s="167"/>
      <c r="J1895" s="214" t="s">
        <v>3690</v>
      </c>
      <c r="K1895" s="10" t="s">
        <v>3685</v>
      </c>
      <c r="N1895" s="37" t="s">
        <v>3771</v>
      </c>
      <c r="P1895" s="37" t="s">
        <v>98</v>
      </c>
      <c r="S1895" s="37"/>
      <c r="T1895" s="37"/>
      <c r="U1895" s="22">
        <v>1</v>
      </c>
      <c r="V1895" s="22">
        <v>1</v>
      </c>
      <c r="W1895" s="73">
        <f t="shared" si="91"/>
        <v>249</v>
      </c>
      <c r="X1895" s="80">
        <f t="shared" si="90"/>
        <v>3067</v>
      </c>
      <c r="Y1895" s="82" t="s">
        <v>3584</v>
      </c>
      <c r="AF1895" s="19"/>
      <c r="AG1895" s="19"/>
      <c r="AH1895" s="19"/>
      <c r="AI1895" s="19"/>
      <c r="AJ1895" s="19"/>
      <c r="AK1895" s="19"/>
    </row>
    <row r="1896" spans="1:37" ht="15.45" customHeight="1" x14ac:dyDescent="0.25">
      <c r="A1896" s="156" t="s">
        <v>588</v>
      </c>
      <c r="B1896" s="28"/>
      <c r="C1896" s="37" t="s">
        <v>756</v>
      </c>
      <c r="E1896" s="37" t="s">
        <v>2830</v>
      </c>
      <c r="F1896" s="24" t="s">
        <v>2120</v>
      </c>
      <c r="H1896" s="168"/>
      <c r="I1896" s="167"/>
      <c r="J1896" s="214" t="s">
        <v>3690</v>
      </c>
      <c r="K1896" s="10" t="s">
        <v>3685</v>
      </c>
      <c r="N1896" s="37" t="s">
        <v>3771</v>
      </c>
      <c r="P1896" s="37" t="s">
        <v>175</v>
      </c>
      <c r="S1896" s="37"/>
      <c r="T1896" s="37"/>
      <c r="U1896" s="22">
        <v>1</v>
      </c>
      <c r="V1896" s="22">
        <v>1</v>
      </c>
      <c r="W1896" s="73">
        <f t="shared" si="91"/>
        <v>250</v>
      </c>
      <c r="X1896" s="80">
        <f t="shared" si="90"/>
        <v>3068</v>
      </c>
      <c r="Y1896" s="82" t="s">
        <v>3584</v>
      </c>
      <c r="AF1896" s="19"/>
      <c r="AG1896" s="19"/>
      <c r="AH1896" s="19"/>
      <c r="AI1896" s="19"/>
      <c r="AJ1896" s="19"/>
      <c r="AK1896" s="19"/>
    </row>
    <row r="1897" spans="1:37" ht="15.45" customHeight="1" x14ac:dyDescent="0.25">
      <c r="A1897" s="156" t="s">
        <v>888</v>
      </c>
      <c r="B1897" s="28"/>
      <c r="C1897" s="37" t="s">
        <v>756</v>
      </c>
      <c r="E1897" s="37" t="s">
        <v>2830</v>
      </c>
      <c r="F1897" s="24" t="s">
        <v>2120</v>
      </c>
      <c r="H1897" s="168"/>
      <c r="I1897" s="167"/>
      <c r="J1897" s="214" t="s">
        <v>3690</v>
      </c>
      <c r="K1897" s="10" t="s">
        <v>3685</v>
      </c>
      <c r="N1897" s="37" t="s">
        <v>3771</v>
      </c>
      <c r="P1897" s="37" t="s">
        <v>175</v>
      </c>
      <c r="S1897" s="37"/>
      <c r="T1897" s="37"/>
      <c r="U1897" s="22">
        <v>1</v>
      </c>
      <c r="V1897" s="22">
        <v>1</v>
      </c>
      <c r="W1897" s="73">
        <f t="shared" si="91"/>
        <v>251</v>
      </c>
      <c r="X1897" s="80">
        <f t="shared" si="90"/>
        <v>3069</v>
      </c>
      <c r="Y1897" s="82" t="s">
        <v>3584</v>
      </c>
      <c r="AF1897" s="19"/>
      <c r="AG1897" s="19"/>
      <c r="AH1897" s="19"/>
      <c r="AI1897" s="19"/>
      <c r="AJ1897" s="19"/>
      <c r="AK1897" s="19"/>
    </row>
    <row r="1898" spans="1:37" ht="15.45" customHeight="1" x14ac:dyDescent="0.25">
      <c r="A1898" s="156" t="s">
        <v>889</v>
      </c>
      <c r="B1898" s="28"/>
      <c r="C1898" s="37" t="s">
        <v>756</v>
      </c>
      <c r="E1898" s="37" t="s">
        <v>2830</v>
      </c>
      <c r="F1898" s="24" t="s">
        <v>2120</v>
      </c>
      <c r="H1898" s="168"/>
      <c r="I1898" s="167"/>
      <c r="J1898" s="214" t="s">
        <v>3690</v>
      </c>
      <c r="K1898" s="10" t="s">
        <v>3685</v>
      </c>
      <c r="N1898" s="37" t="s">
        <v>3771</v>
      </c>
      <c r="P1898" s="37" t="s">
        <v>175</v>
      </c>
      <c r="S1898" s="37"/>
      <c r="T1898" s="37"/>
      <c r="U1898" s="22">
        <v>1</v>
      </c>
      <c r="V1898" s="22">
        <v>1</v>
      </c>
      <c r="W1898" s="73">
        <f t="shared" si="91"/>
        <v>252</v>
      </c>
      <c r="X1898" s="80">
        <f t="shared" si="90"/>
        <v>3070</v>
      </c>
      <c r="Y1898" s="82" t="s">
        <v>3584</v>
      </c>
      <c r="AF1898" s="19"/>
      <c r="AG1898" s="19"/>
      <c r="AH1898" s="19"/>
      <c r="AI1898" s="19"/>
      <c r="AJ1898" s="19"/>
      <c r="AK1898" s="19"/>
    </row>
    <row r="1899" spans="1:37" ht="15.45" customHeight="1" x14ac:dyDescent="0.25">
      <c r="A1899" s="156" t="s">
        <v>890</v>
      </c>
      <c r="B1899" s="28"/>
      <c r="C1899" s="37" t="s">
        <v>756</v>
      </c>
      <c r="E1899" s="37" t="s">
        <v>2830</v>
      </c>
      <c r="F1899" s="24" t="s">
        <v>2120</v>
      </c>
      <c r="H1899" s="168"/>
      <c r="I1899" s="167"/>
      <c r="J1899" s="214" t="s">
        <v>3690</v>
      </c>
      <c r="K1899" s="10" t="s">
        <v>3685</v>
      </c>
      <c r="N1899" s="37" t="s">
        <v>3771</v>
      </c>
      <c r="P1899" s="37" t="s">
        <v>4192</v>
      </c>
      <c r="Q1899" s="37" t="s">
        <v>4193</v>
      </c>
      <c r="S1899" s="37"/>
      <c r="T1899" s="37"/>
      <c r="U1899" s="22">
        <v>1</v>
      </c>
      <c r="V1899" s="22">
        <v>1</v>
      </c>
      <c r="W1899" s="73">
        <f t="shared" si="91"/>
        <v>253</v>
      </c>
      <c r="X1899" s="80">
        <f t="shared" si="90"/>
        <v>3071</v>
      </c>
      <c r="Y1899" s="82" t="s">
        <v>3584</v>
      </c>
      <c r="AF1899" s="19"/>
      <c r="AG1899" s="19"/>
      <c r="AH1899" s="19"/>
      <c r="AI1899" s="19"/>
      <c r="AJ1899" s="19"/>
      <c r="AK1899" s="19"/>
    </row>
    <row r="1900" spans="1:37" ht="15.45" customHeight="1" x14ac:dyDescent="0.25">
      <c r="A1900" s="156" t="s">
        <v>1546</v>
      </c>
      <c r="B1900" s="28"/>
      <c r="C1900" s="37" t="s">
        <v>756</v>
      </c>
      <c r="E1900" s="37" t="s">
        <v>2830</v>
      </c>
      <c r="F1900" s="24" t="s">
        <v>2120</v>
      </c>
      <c r="H1900" s="168"/>
      <c r="I1900" s="167"/>
      <c r="J1900" s="214" t="s">
        <v>3690</v>
      </c>
      <c r="K1900" s="10" t="s">
        <v>3685</v>
      </c>
      <c r="N1900" s="37" t="s">
        <v>3771</v>
      </c>
      <c r="P1900" s="37" t="s">
        <v>258</v>
      </c>
      <c r="S1900" s="37"/>
      <c r="T1900" s="37"/>
      <c r="U1900" s="22">
        <v>1</v>
      </c>
      <c r="V1900" s="22">
        <v>1</v>
      </c>
      <c r="W1900" s="73">
        <f t="shared" si="91"/>
        <v>254</v>
      </c>
      <c r="X1900" s="80">
        <f t="shared" si="90"/>
        <v>3072</v>
      </c>
      <c r="Y1900" s="82" t="s">
        <v>3584</v>
      </c>
      <c r="AF1900" s="19"/>
      <c r="AG1900" s="19"/>
      <c r="AH1900" s="19"/>
      <c r="AI1900" s="19"/>
      <c r="AJ1900" s="19"/>
      <c r="AK1900" s="19"/>
    </row>
    <row r="1901" spans="1:37" ht="15.45" customHeight="1" x14ac:dyDescent="0.25">
      <c r="A1901" s="156" t="s">
        <v>1547</v>
      </c>
      <c r="B1901" s="28"/>
      <c r="C1901" s="37" t="s">
        <v>756</v>
      </c>
      <c r="E1901" s="37" t="s">
        <v>2830</v>
      </c>
      <c r="F1901" s="24" t="s">
        <v>2120</v>
      </c>
      <c r="H1901" s="168"/>
      <c r="I1901" s="167"/>
      <c r="J1901" s="214" t="s">
        <v>3690</v>
      </c>
      <c r="K1901" s="10" t="s">
        <v>3685</v>
      </c>
      <c r="N1901" s="37" t="s">
        <v>3771</v>
      </c>
      <c r="P1901" s="37" t="s">
        <v>98</v>
      </c>
      <c r="S1901" s="37"/>
      <c r="T1901" s="37"/>
      <c r="U1901" s="22">
        <v>1</v>
      </c>
      <c r="V1901" s="22">
        <v>1</v>
      </c>
      <c r="W1901" s="73">
        <f t="shared" si="91"/>
        <v>255</v>
      </c>
      <c r="X1901" s="80">
        <f t="shared" si="90"/>
        <v>3073</v>
      </c>
      <c r="Y1901" s="82" t="s">
        <v>3584</v>
      </c>
      <c r="AF1901" s="19"/>
      <c r="AG1901" s="19"/>
      <c r="AH1901" s="19"/>
      <c r="AI1901" s="19"/>
      <c r="AJ1901" s="19"/>
      <c r="AK1901" s="19"/>
    </row>
    <row r="1902" spans="1:37" ht="15.45" customHeight="1" x14ac:dyDescent="0.25">
      <c r="A1902" s="156" t="s">
        <v>1206</v>
      </c>
      <c r="B1902" s="28"/>
      <c r="C1902" s="37" t="s">
        <v>756</v>
      </c>
      <c r="E1902" s="37" t="s">
        <v>2830</v>
      </c>
      <c r="F1902" s="24" t="s">
        <v>1095</v>
      </c>
      <c r="H1902" s="168"/>
      <c r="I1902" s="167"/>
      <c r="J1902" s="214" t="s">
        <v>3690</v>
      </c>
      <c r="K1902" s="10" t="s">
        <v>3685</v>
      </c>
      <c r="N1902" s="37" t="s">
        <v>3771</v>
      </c>
      <c r="P1902" s="37" t="s">
        <v>3773</v>
      </c>
      <c r="Q1902" s="37" t="s">
        <v>3774</v>
      </c>
      <c r="S1902" s="37"/>
      <c r="T1902" s="37"/>
      <c r="U1902" s="22">
        <v>1</v>
      </c>
      <c r="V1902" s="22">
        <v>1</v>
      </c>
      <c r="W1902" s="73">
        <f t="shared" si="91"/>
        <v>256</v>
      </c>
      <c r="X1902" s="80">
        <f t="shared" si="90"/>
        <v>3074</v>
      </c>
      <c r="Y1902" s="82" t="s">
        <v>3584</v>
      </c>
      <c r="AF1902" s="19"/>
      <c r="AG1902" s="19"/>
      <c r="AH1902" s="19"/>
      <c r="AI1902" s="19"/>
      <c r="AJ1902" s="19"/>
      <c r="AK1902" s="19"/>
    </row>
    <row r="1903" spans="1:37" ht="15.45" customHeight="1" x14ac:dyDescent="0.25">
      <c r="A1903" s="156" t="s">
        <v>1230</v>
      </c>
      <c r="B1903" s="28"/>
      <c r="C1903" s="37" t="s">
        <v>756</v>
      </c>
      <c r="E1903" s="37" t="s">
        <v>2830</v>
      </c>
      <c r="F1903" s="24" t="s">
        <v>1095</v>
      </c>
      <c r="H1903" s="168"/>
      <c r="I1903" s="167"/>
      <c r="J1903" s="214" t="s">
        <v>3690</v>
      </c>
      <c r="K1903" s="10" t="s">
        <v>3685</v>
      </c>
      <c r="N1903" s="37" t="s">
        <v>3771</v>
      </c>
      <c r="P1903" s="37" t="s">
        <v>259</v>
      </c>
      <c r="S1903" s="37"/>
      <c r="T1903" s="37"/>
      <c r="U1903" s="22">
        <v>2</v>
      </c>
      <c r="V1903" s="22">
        <v>2</v>
      </c>
      <c r="W1903" s="73">
        <f t="shared" si="91"/>
        <v>258</v>
      </c>
      <c r="X1903" s="80">
        <f t="shared" si="90"/>
        <v>3076</v>
      </c>
      <c r="Y1903" s="82" t="s">
        <v>3584</v>
      </c>
      <c r="AF1903" s="19"/>
      <c r="AG1903" s="19"/>
      <c r="AH1903" s="19"/>
      <c r="AI1903" s="19"/>
      <c r="AJ1903" s="19"/>
      <c r="AK1903" s="19"/>
    </row>
    <row r="1904" spans="1:37" ht="15.45" customHeight="1" x14ac:dyDescent="0.25">
      <c r="A1904" s="156" t="s">
        <v>1218</v>
      </c>
      <c r="B1904" s="28"/>
      <c r="C1904" s="37" t="s">
        <v>756</v>
      </c>
      <c r="E1904" s="37" t="s">
        <v>2830</v>
      </c>
      <c r="F1904" s="24" t="s">
        <v>1095</v>
      </c>
      <c r="H1904" s="168"/>
      <c r="I1904" s="167"/>
      <c r="J1904" s="214" t="s">
        <v>3690</v>
      </c>
      <c r="K1904" s="10" t="s">
        <v>3685</v>
      </c>
      <c r="N1904" s="37" t="s">
        <v>3771</v>
      </c>
      <c r="P1904" s="37" t="s">
        <v>260</v>
      </c>
      <c r="S1904" s="37"/>
      <c r="T1904" s="37"/>
      <c r="U1904" s="22">
        <v>1</v>
      </c>
      <c r="V1904" s="22">
        <v>1</v>
      </c>
      <c r="W1904" s="73">
        <f t="shared" si="91"/>
        <v>259</v>
      </c>
      <c r="X1904" s="80">
        <f t="shared" si="90"/>
        <v>3077</v>
      </c>
      <c r="Y1904" s="82" t="s">
        <v>3584</v>
      </c>
      <c r="AF1904" s="19"/>
      <c r="AG1904" s="19"/>
      <c r="AH1904" s="19"/>
      <c r="AI1904" s="19"/>
      <c r="AJ1904" s="19"/>
      <c r="AK1904" s="19"/>
    </row>
    <row r="1905" spans="1:37" ht="15.45" customHeight="1" x14ac:dyDescent="0.25">
      <c r="A1905" s="156" t="s">
        <v>3225</v>
      </c>
      <c r="B1905" s="28"/>
      <c r="C1905" s="37" t="s">
        <v>756</v>
      </c>
      <c r="E1905" s="37" t="s">
        <v>2830</v>
      </c>
      <c r="F1905" s="24" t="s">
        <v>1095</v>
      </c>
      <c r="H1905" s="168" t="s">
        <v>3791</v>
      </c>
      <c r="I1905" s="167"/>
      <c r="J1905" s="214" t="s">
        <v>3690</v>
      </c>
      <c r="K1905" s="10" t="s">
        <v>3685</v>
      </c>
      <c r="N1905" s="37" t="s">
        <v>3771</v>
      </c>
      <c r="P1905" s="37" t="s">
        <v>260</v>
      </c>
      <c r="S1905" s="37"/>
      <c r="T1905" s="37"/>
      <c r="U1905" s="22">
        <v>1</v>
      </c>
      <c r="V1905" s="22">
        <v>1</v>
      </c>
      <c r="W1905" s="73">
        <f t="shared" si="91"/>
        <v>260</v>
      </c>
      <c r="X1905" s="80">
        <f t="shared" si="90"/>
        <v>3078</v>
      </c>
      <c r="Y1905" s="82" t="s">
        <v>3584</v>
      </c>
      <c r="AF1905" s="19"/>
      <c r="AG1905" s="19"/>
      <c r="AH1905" s="19"/>
      <c r="AI1905" s="19"/>
      <c r="AJ1905" s="19"/>
      <c r="AK1905" s="19"/>
    </row>
    <row r="1906" spans="1:37" ht="15.45" customHeight="1" x14ac:dyDescent="0.25">
      <c r="A1906" s="156" t="s">
        <v>1234</v>
      </c>
      <c r="B1906" s="28"/>
      <c r="C1906" s="37" t="s">
        <v>756</v>
      </c>
      <c r="E1906" s="37" t="s">
        <v>2830</v>
      </c>
      <c r="F1906" s="24" t="s">
        <v>1095</v>
      </c>
      <c r="H1906" s="168"/>
      <c r="I1906" s="167"/>
      <c r="J1906" s="214" t="s">
        <v>3690</v>
      </c>
      <c r="K1906" s="10" t="s">
        <v>3685</v>
      </c>
      <c r="N1906" s="37" t="s">
        <v>3771</v>
      </c>
      <c r="P1906" s="37" t="s">
        <v>359</v>
      </c>
      <c r="S1906" s="37"/>
      <c r="T1906" s="37"/>
      <c r="U1906" s="22">
        <v>1</v>
      </c>
      <c r="V1906" s="22">
        <v>1</v>
      </c>
      <c r="W1906" s="73">
        <f t="shared" si="91"/>
        <v>261</v>
      </c>
      <c r="X1906" s="80">
        <f t="shared" si="90"/>
        <v>3079</v>
      </c>
      <c r="Y1906" s="82" t="s">
        <v>3584</v>
      </c>
      <c r="AF1906" s="19"/>
      <c r="AG1906" s="19"/>
      <c r="AH1906" s="19"/>
      <c r="AI1906" s="19"/>
      <c r="AJ1906" s="19"/>
      <c r="AK1906" s="19"/>
    </row>
    <row r="1907" spans="1:37" ht="15.45" customHeight="1" x14ac:dyDescent="0.25">
      <c r="A1907" s="156" t="s">
        <v>1111</v>
      </c>
      <c r="B1907" s="28"/>
      <c r="C1907" s="37" t="s">
        <v>756</v>
      </c>
      <c r="E1907" s="37" t="s">
        <v>2830</v>
      </c>
      <c r="F1907" s="24" t="s">
        <v>1095</v>
      </c>
      <c r="H1907" s="168"/>
      <c r="I1907" s="167"/>
      <c r="J1907" s="214" t="s">
        <v>3690</v>
      </c>
      <c r="K1907" s="10" t="s">
        <v>3685</v>
      </c>
      <c r="N1907" s="37" t="s">
        <v>3771</v>
      </c>
      <c r="P1907" s="37" t="s">
        <v>360</v>
      </c>
      <c r="S1907" s="37"/>
      <c r="T1907" s="37"/>
      <c r="U1907" s="22">
        <v>1</v>
      </c>
      <c r="V1907" s="22">
        <v>1</v>
      </c>
      <c r="W1907" s="73">
        <f t="shared" si="91"/>
        <v>262</v>
      </c>
      <c r="X1907" s="80">
        <f t="shared" si="90"/>
        <v>3080</v>
      </c>
      <c r="Y1907" s="82" t="s">
        <v>3584</v>
      </c>
      <c r="AF1907" s="19"/>
      <c r="AG1907" s="19"/>
      <c r="AH1907" s="19"/>
      <c r="AI1907" s="19"/>
      <c r="AJ1907" s="19"/>
      <c r="AK1907" s="19"/>
    </row>
    <row r="1908" spans="1:37" ht="15.45" customHeight="1" x14ac:dyDescent="0.25">
      <c r="A1908" s="156" t="s">
        <v>1112</v>
      </c>
      <c r="B1908" s="28"/>
      <c r="C1908" s="37" t="s">
        <v>756</v>
      </c>
      <c r="E1908" s="37" t="s">
        <v>2830</v>
      </c>
      <c r="F1908" s="24" t="s">
        <v>1095</v>
      </c>
      <c r="H1908" s="168"/>
      <c r="I1908" s="167"/>
      <c r="J1908" s="214" t="s">
        <v>3690</v>
      </c>
      <c r="K1908" s="10" t="s">
        <v>3685</v>
      </c>
      <c r="N1908" s="37" t="s">
        <v>3771</v>
      </c>
      <c r="P1908" s="37" t="s">
        <v>126</v>
      </c>
      <c r="S1908" s="37"/>
      <c r="T1908" s="37"/>
      <c r="U1908" s="22">
        <v>1</v>
      </c>
      <c r="V1908" s="22">
        <v>1</v>
      </c>
      <c r="W1908" s="73">
        <f t="shared" si="91"/>
        <v>263</v>
      </c>
      <c r="X1908" s="80">
        <f t="shared" si="90"/>
        <v>3081</v>
      </c>
      <c r="Y1908" s="82" t="s">
        <v>3584</v>
      </c>
      <c r="AF1908" s="19"/>
      <c r="AG1908" s="19"/>
      <c r="AH1908" s="19"/>
      <c r="AI1908" s="19"/>
      <c r="AJ1908" s="19"/>
      <c r="AK1908" s="19"/>
    </row>
    <row r="1909" spans="1:37" ht="15.45" customHeight="1" x14ac:dyDescent="0.25">
      <c r="A1909" s="156" t="s">
        <v>1113</v>
      </c>
      <c r="B1909" s="28"/>
      <c r="C1909" s="37" t="s">
        <v>756</v>
      </c>
      <c r="E1909" s="37" t="s">
        <v>2830</v>
      </c>
      <c r="F1909" s="24" t="s">
        <v>1095</v>
      </c>
      <c r="H1909" s="168"/>
      <c r="I1909" s="167"/>
      <c r="J1909" s="214" t="s">
        <v>3690</v>
      </c>
      <c r="K1909" s="10" t="s">
        <v>3685</v>
      </c>
      <c r="N1909" s="37" t="s">
        <v>3771</v>
      </c>
      <c r="P1909" s="37" t="s">
        <v>88</v>
      </c>
      <c r="S1909" s="37"/>
      <c r="T1909" s="37"/>
      <c r="U1909" s="22">
        <v>1</v>
      </c>
      <c r="V1909" s="22">
        <v>1</v>
      </c>
      <c r="W1909" s="73">
        <f t="shared" si="91"/>
        <v>264</v>
      </c>
      <c r="X1909" s="80">
        <f t="shared" si="90"/>
        <v>3082</v>
      </c>
      <c r="Y1909" s="82" t="s">
        <v>3584</v>
      </c>
      <c r="AF1909" s="19"/>
      <c r="AG1909" s="19"/>
      <c r="AH1909" s="19"/>
      <c r="AI1909" s="19"/>
      <c r="AJ1909" s="19"/>
      <c r="AK1909" s="19"/>
    </row>
    <row r="1910" spans="1:37" ht="15.45" customHeight="1" x14ac:dyDescent="0.25">
      <c r="A1910" s="156" t="s">
        <v>1224</v>
      </c>
      <c r="B1910" s="28"/>
      <c r="C1910" s="37" t="s">
        <v>756</v>
      </c>
      <c r="E1910" s="37" t="s">
        <v>2830</v>
      </c>
      <c r="F1910" s="24" t="s">
        <v>1095</v>
      </c>
      <c r="H1910" s="168"/>
      <c r="I1910" s="167"/>
      <c r="J1910" s="214" t="s">
        <v>3690</v>
      </c>
      <c r="K1910" s="10" t="s">
        <v>3685</v>
      </c>
      <c r="N1910" s="37" t="s">
        <v>3771</v>
      </c>
      <c r="P1910" s="37" t="s">
        <v>361</v>
      </c>
      <c r="S1910" s="37"/>
      <c r="T1910" s="37"/>
      <c r="U1910" s="22">
        <v>1</v>
      </c>
      <c r="V1910" s="22">
        <v>1</v>
      </c>
      <c r="W1910" s="73">
        <f t="shared" si="91"/>
        <v>265</v>
      </c>
      <c r="X1910" s="80">
        <f t="shared" si="90"/>
        <v>3083</v>
      </c>
      <c r="Y1910" s="82" t="s">
        <v>3584</v>
      </c>
      <c r="AF1910" s="19"/>
      <c r="AG1910" s="19"/>
      <c r="AH1910" s="19"/>
      <c r="AI1910" s="19"/>
      <c r="AJ1910" s="19"/>
      <c r="AK1910" s="19"/>
    </row>
    <row r="1911" spans="1:37" ht="15.45" customHeight="1" x14ac:dyDescent="0.25">
      <c r="A1911" s="156" t="s">
        <v>1369</v>
      </c>
      <c r="B1911" s="28"/>
      <c r="C1911" s="37" t="s">
        <v>756</v>
      </c>
      <c r="E1911" s="37" t="s">
        <v>2830</v>
      </c>
      <c r="F1911" s="24" t="s">
        <v>1095</v>
      </c>
      <c r="H1911" s="168"/>
      <c r="I1911" s="167"/>
      <c r="J1911" s="214" t="s">
        <v>3690</v>
      </c>
      <c r="K1911" s="10" t="s">
        <v>3685</v>
      </c>
      <c r="N1911" s="37" t="s">
        <v>3771</v>
      </c>
      <c r="P1911" s="37" t="s">
        <v>209</v>
      </c>
      <c r="S1911" s="37"/>
      <c r="T1911" s="37"/>
      <c r="U1911" s="22">
        <v>1</v>
      </c>
      <c r="V1911" s="22">
        <v>1</v>
      </c>
      <c r="W1911" s="73">
        <f t="shared" si="91"/>
        <v>266</v>
      </c>
      <c r="X1911" s="80">
        <f t="shared" si="90"/>
        <v>3084</v>
      </c>
      <c r="Y1911" s="82" t="s">
        <v>3584</v>
      </c>
      <c r="AF1911" s="19"/>
      <c r="AG1911" s="19"/>
      <c r="AH1911" s="19"/>
      <c r="AI1911" s="19"/>
      <c r="AJ1911" s="19"/>
      <c r="AK1911" s="19"/>
    </row>
    <row r="1912" spans="1:37" ht="15.45" customHeight="1" x14ac:dyDescent="0.25">
      <c r="A1912" s="156" t="s">
        <v>1117</v>
      </c>
      <c r="B1912" s="28"/>
      <c r="C1912" s="37" t="s">
        <v>756</v>
      </c>
      <c r="E1912" s="37" t="s">
        <v>2830</v>
      </c>
      <c r="F1912" s="24" t="s">
        <v>1095</v>
      </c>
      <c r="H1912" s="168"/>
      <c r="I1912" s="167"/>
      <c r="J1912" s="214" t="s">
        <v>3690</v>
      </c>
      <c r="K1912" s="10" t="s">
        <v>3685</v>
      </c>
      <c r="N1912" s="37" t="s">
        <v>3771</v>
      </c>
      <c r="P1912" s="37" t="s">
        <v>210</v>
      </c>
      <c r="S1912" s="37"/>
      <c r="T1912" s="37"/>
      <c r="U1912" s="22">
        <v>1</v>
      </c>
      <c r="V1912" s="22">
        <v>1</v>
      </c>
      <c r="W1912" s="73">
        <f t="shared" si="91"/>
        <v>267</v>
      </c>
      <c r="X1912" s="80">
        <f t="shared" si="90"/>
        <v>3085</v>
      </c>
      <c r="Y1912" s="82" t="s">
        <v>3584</v>
      </c>
      <c r="AF1912" s="19"/>
      <c r="AG1912" s="19"/>
      <c r="AH1912" s="19"/>
      <c r="AI1912" s="19"/>
      <c r="AJ1912" s="19"/>
      <c r="AK1912" s="19"/>
    </row>
    <row r="1913" spans="1:37" ht="15.45" customHeight="1" x14ac:dyDescent="0.25">
      <c r="A1913" s="156" t="s">
        <v>1117</v>
      </c>
      <c r="B1913" s="28"/>
      <c r="C1913" s="37" t="s">
        <v>756</v>
      </c>
      <c r="E1913" s="37" t="s">
        <v>2830</v>
      </c>
      <c r="F1913" s="24" t="s">
        <v>6323</v>
      </c>
      <c r="H1913" s="201" t="s">
        <v>6324</v>
      </c>
      <c r="I1913" s="167"/>
      <c r="J1913" s="214" t="s">
        <v>5684</v>
      </c>
      <c r="O1913" s="37" t="s">
        <v>6109</v>
      </c>
      <c r="P1913" s="37" t="s">
        <v>1463</v>
      </c>
      <c r="S1913" s="37"/>
      <c r="T1913" s="37"/>
      <c r="U1913" s="22">
        <v>1</v>
      </c>
      <c r="V1913" s="22">
        <v>1</v>
      </c>
      <c r="W1913" s="73">
        <f t="shared" si="91"/>
        <v>268</v>
      </c>
      <c r="X1913" s="80">
        <f t="shared" si="90"/>
        <v>3086</v>
      </c>
      <c r="Y1913" s="82" t="s">
        <v>3591</v>
      </c>
      <c r="Z1913" s="24" t="s">
        <v>2885</v>
      </c>
      <c r="AB1913" s="177">
        <v>44383</v>
      </c>
      <c r="AC1913" s="84" t="s">
        <v>5308</v>
      </c>
      <c r="AF1913" s="19"/>
      <c r="AG1913" s="19"/>
      <c r="AH1913" s="19"/>
      <c r="AI1913" s="19"/>
      <c r="AJ1913" s="19"/>
      <c r="AK1913" s="19"/>
    </row>
    <row r="1914" spans="1:37" ht="15.45" customHeight="1" x14ac:dyDescent="0.25">
      <c r="A1914" s="156" t="s">
        <v>1117</v>
      </c>
      <c r="B1914" s="28"/>
      <c r="C1914" s="37" t="s">
        <v>756</v>
      </c>
      <c r="E1914" s="37" t="s">
        <v>2830</v>
      </c>
      <c r="F1914" s="24" t="s">
        <v>1095</v>
      </c>
      <c r="H1914" s="201" t="s">
        <v>5844</v>
      </c>
      <c r="I1914" s="167"/>
      <c r="J1914" s="214" t="s">
        <v>5684</v>
      </c>
      <c r="O1914" s="37" t="s">
        <v>5845</v>
      </c>
      <c r="P1914" s="37" t="s">
        <v>1463</v>
      </c>
      <c r="S1914" s="37"/>
      <c r="T1914" s="37"/>
      <c r="U1914" s="22">
        <v>1</v>
      </c>
      <c r="V1914" s="22">
        <v>1</v>
      </c>
      <c r="W1914" s="73">
        <f t="shared" si="91"/>
        <v>269</v>
      </c>
      <c r="X1914" s="80">
        <f t="shared" si="90"/>
        <v>3087</v>
      </c>
      <c r="Y1914" s="82" t="s">
        <v>3591</v>
      </c>
      <c r="Z1914" s="24" t="s">
        <v>2885</v>
      </c>
      <c r="AB1914" s="177">
        <v>44383</v>
      </c>
      <c r="AC1914" s="84" t="s">
        <v>5308</v>
      </c>
      <c r="AF1914" s="19"/>
      <c r="AG1914" s="19"/>
      <c r="AH1914" s="19"/>
      <c r="AI1914" s="19"/>
      <c r="AJ1914" s="19"/>
      <c r="AK1914" s="19"/>
    </row>
    <row r="1915" spans="1:37" ht="15.45" customHeight="1" x14ac:dyDescent="0.25">
      <c r="A1915" s="156" t="s">
        <v>1114</v>
      </c>
      <c r="B1915" s="28"/>
      <c r="C1915" s="37" t="s">
        <v>756</v>
      </c>
      <c r="E1915" s="37" t="s">
        <v>2830</v>
      </c>
      <c r="F1915" s="24" t="s">
        <v>1095</v>
      </c>
      <c r="H1915" s="168"/>
      <c r="I1915" s="167"/>
      <c r="J1915" s="214" t="s">
        <v>3690</v>
      </c>
      <c r="K1915" s="10" t="s">
        <v>3685</v>
      </c>
      <c r="N1915" s="37" t="s">
        <v>3771</v>
      </c>
      <c r="P1915" s="37" t="s">
        <v>175</v>
      </c>
      <c r="S1915" s="37"/>
      <c r="T1915" s="37"/>
      <c r="U1915" s="22">
        <v>1</v>
      </c>
      <c r="V1915" s="22">
        <v>1</v>
      </c>
      <c r="W1915" s="73">
        <f t="shared" si="91"/>
        <v>270</v>
      </c>
      <c r="X1915" s="80">
        <f t="shared" si="90"/>
        <v>3088</v>
      </c>
      <c r="Y1915" s="82" t="s">
        <v>3584</v>
      </c>
      <c r="AF1915" s="19"/>
      <c r="AG1915" s="19"/>
      <c r="AH1915" s="19"/>
      <c r="AI1915" s="19"/>
      <c r="AJ1915" s="19"/>
      <c r="AK1915" s="19"/>
    </row>
    <row r="1916" spans="1:37" ht="15.45" customHeight="1" x14ac:dyDescent="0.25">
      <c r="A1916" s="156" t="s">
        <v>908</v>
      </c>
      <c r="B1916" s="28"/>
      <c r="C1916" s="37" t="s">
        <v>756</v>
      </c>
      <c r="E1916" s="37" t="s">
        <v>2830</v>
      </c>
      <c r="F1916" s="24" t="s">
        <v>1095</v>
      </c>
      <c r="H1916" s="166"/>
      <c r="I1916" s="167"/>
      <c r="J1916" s="214" t="s">
        <v>3690</v>
      </c>
      <c r="K1916" s="10" t="s">
        <v>3685</v>
      </c>
      <c r="N1916" s="37" t="s">
        <v>3771</v>
      </c>
      <c r="P1916" s="37" t="s">
        <v>175</v>
      </c>
      <c r="S1916" s="37"/>
      <c r="T1916" s="37"/>
      <c r="U1916" s="22">
        <v>1</v>
      </c>
      <c r="V1916" s="22">
        <v>1</v>
      </c>
      <c r="W1916" s="73">
        <f t="shared" si="91"/>
        <v>271</v>
      </c>
      <c r="X1916" s="80">
        <f t="shared" si="90"/>
        <v>3089</v>
      </c>
      <c r="Y1916" s="82" t="s">
        <v>3584</v>
      </c>
      <c r="AF1916" s="19"/>
      <c r="AG1916" s="19"/>
      <c r="AH1916" s="19"/>
      <c r="AI1916" s="19"/>
      <c r="AJ1916" s="19"/>
      <c r="AK1916" s="19"/>
    </row>
    <row r="1917" spans="1:37" ht="15.45" customHeight="1" x14ac:dyDescent="0.25">
      <c r="A1917" s="156" t="s">
        <v>3226</v>
      </c>
      <c r="B1917" s="28"/>
      <c r="C1917" s="37" t="s">
        <v>756</v>
      </c>
      <c r="E1917" s="37" t="s">
        <v>2830</v>
      </c>
      <c r="F1917" s="24" t="s">
        <v>1095</v>
      </c>
      <c r="H1917" s="166" t="s">
        <v>3799</v>
      </c>
      <c r="I1917" s="167"/>
      <c r="J1917" s="214" t="s">
        <v>3690</v>
      </c>
      <c r="K1917" s="10" t="s">
        <v>3685</v>
      </c>
      <c r="N1917" s="37" t="s">
        <v>3771</v>
      </c>
      <c r="P1917" s="37" t="s">
        <v>89</v>
      </c>
      <c r="S1917" s="37"/>
      <c r="T1917" s="37"/>
      <c r="U1917" s="22">
        <v>1</v>
      </c>
      <c r="V1917" s="22">
        <v>1</v>
      </c>
      <c r="W1917" s="73">
        <f t="shared" si="91"/>
        <v>272</v>
      </c>
      <c r="X1917" s="80">
        <f t="shared" si="90"/>
        <v>3090</v>
      </c>
      <c r="Y1917" s="82" t="s">
        <v>3584</v>
      </c>
      <c r="AF1917" s="19"/>
      <c r="AG1917" s="19"/>
      <c r="AH1917" s="19"/>
      <c r="AI1917" s="19"/>
      <c r="AJ1917" s="19"/>
      <c r="AK1917" s="19"/>
    </row>
    <row r="1918" spans="1:37" ht="15.45" customHeight="1" x14ac:dyDescent="0.25">
      <c r="A1918" s="156" t="s">
        <v>1012</v>
      </c>
      <c r="B1918" s="28"/>
      <c r="C1918" s="37" t="s">
        <v>756</v>
      </c>
      <c r="E1918" s="37" t="s">
        <v>2830</v>
      </c>
      <c r="F1918" s="24" t="s">
        <v>1095</v>
      </c>
      <c r="H1918" s="166"/>
      <c r="I1918" s="167"/>
      <c r="J1918" s="214" t="s">
        <v>3690</v>
      </c>
      <c r="K1918" s="10" t="s">
        <v>3685</v>
      </c>
      <c r="N1918" s="37" t="s">
        <v>3771</v>
      </c>
      <c r="P1918" s="37" t="s">
        <v>89</v>
      </c>
      <c r="S1918" s="37"/>
      <c r="T1918" s="37"/>
      <c r="U1918" s="22">
        <v>1</v>
      </c>
      <c r="V1918" s="22">
        <v>1</v>
      </c>
      <c r="W1918" s="73">
        <f t="shared" si="91"/>
        <v>273</v>
      </c>
      <c r="X1918" s="80">
        <f t="shared" si="90"/>
        <v>3091</v>
      </c>
      <c r="Y1918" s="82" t="s">
        <v>3584</v>
      </c>
      <c r="AF1918" s="19"/>
      <c r="AG1918" s="19"/>
      <c r="AH1918" s="19"/>
      <c r="AI1918" s="19"/>
      <c r="AJ1918" s="19"/>
      <c r="AK1918" s="19"/>
    </row>
    <row r="1919" spans="1:37" ht="15.45" customHeight="1" x14ac:dyDescent="0.25">
      <c r="A1919" s="156" t="s">
        <v>1013</v>
      </c>
      <c r="B1919" s="28"/>
      <c r="C1919" s="37" t="s">
        <v>756</v>
      </c>
      <c r="E1919" s="37" t="s">
        <v>2830</v>
      </c>
      <c r="F1919" s="24" t="s">
        <v>490</v>
      </c>
      <c r="H1919" s="166"/>
      <c r="I1919" s="167"/>
      <c r="J1919" s="214" t="s">
        <v>3690</v>
      </c>
      <c r="K1919" s="10" t="s">
        <v>3685</v>
      </c>
      <c r="N1919" s="37" t="s">
        <v>3771</v>
      </c>
      <c r="P1919" s="37" t="s">
        <v>24</v>
      </c>
      <c r="S1919" s="37"/>
      <c r="T1919" s="37"/>
      <c r="U1919" s="22">
        <v>1</v>
      </c>
      <c r="V1919" s="22">
        <v>1</v>
      </c>
      <c r="W1919" s="73">
        <f t="shared" si="91"/>
        <v>274</v>
      </c>
      <c r="X1919" s="80">
        <f t="shared" si="90"/>
        <v>3092</v>
      </c>
      <c r="Y1919" s="82" t="s">
        <v>3584</v>
      </c>
      <c r="AF1919" s="19"/>
      <c r="AG1919" s="19"/>
      <c r="AH1919" s="19"/>
      <c r="AI1919" s="19"/>
      <c r="AJ1919" s="19"/>
      <c r="AK1919" s="19"/>
    </row>
    <row r="1920" spans="1:37" ht="15.45" customHeight="1" x14ac:dyDescent="0.25">
      <c r="A1920" s="156" t="s">
        <v>190</v>
      </c>
      <c r="B1920" s="28"/>
      <c r="C1920" s="37" t="s">
        <v>756</v>
      </c>
      <c r="E1920" s="37" t="s">
        <v>2830</v>
      </c>
      <c r="F1920" s="24" t="s">
        <v>2120</v>
      </c>
      <c r="H1920" s="166"/>
      <c r="I1920" s="167"/>
      <c r="J1920" s="214" t="s">
        <v>3690</v>
      </c>
      <c r="K1920" s="10" t="s">
        <v>3685</v>
      </c>
      <c r="N1920" s="37" t="s">
        <v>3771</v>
      </c>
      <c r="P1920" s="37" t="s">
        <v>24</v>
      </c>
      <c r="S1920" s="37"/>
      <c r="T1920" s="37"/>
      <c r="U1920" s="22">
        <v>2</v>
      </c>
      <c r="V1920" s="22">
        <v>2</v>
      </c>
      <c r="W1920" s="73">
        <f t="shared" si="91"/>
        <v>276</v>
      </c>
      <c r="X1920" s="80">
        <f t="shared" si="90"/>
        <v>3094</v>
      </c>
      <c r="Y1920" s="82" t="s">
        <v>3584</v>
      </c>
      <c r="AF1920" s="19"/>
      <c r="AG1920" s="19"/>
      <c r="AH1920" s="19"/>
      <c r="AI1920" s="19"/>
      <c r="AJ1920" s="19"/>
      <c r="AK1920" s="19"/>
    </row>
    <row r="1921" spans="1:37" ht="15.45" customHeight="1" x14ac:dyDescent="0.25">
      <c r="A1921" s="156" t="s">
        <v>1124</v>
      </c>
      <c r="B1921" s="28"/>
      <c r="C1921" s="37" t="s">
        <v>756</v>
      </c>
      <c r="E1921" s="37" t="s">
        <v>2830</v>
      </c>
      <c r="F1921" s="24" t="s">
        <v>2120</v>
      </c>
      <c r="H1921" s="166"/>
      <c r="I1921" s="167"/>
      <c r="J1921" s="214" t="s">
        <v>3690</v>
      </c>
      <c r="K1921" s="10" t="s">
        <v>3685</v>
      </c>
      <c r="N1921" s="37" t="s">
        <v>3771</v>
      </c>
      <c r="P1921" s="37" t="s">
        <v>3773</v>
      </c>
      <c r="Q1921" s="37" t="s">
        <v>3775</v>
      </c>
      <c r="S1921" s="37"/>
      <c r="T1921" s="37"/>
      <c r="U1921" s="22">
        <v>2</v>
      </c>
      <c r="V1921" s="22">
        <v>2</v>
      </c>
      <c r="W1921" s="73">
        <f t="shared" si="91"/>
        <v>278</v>
      </c>
      <c r="X1921" s="80">
        <f t="shared" ref="X1921:X1984" si="92">V1921+X1920</f>
        <v>3096</v>
      </c>
      <c r="Y1921" s="82" t="s">
        <v>3584</v>
      </c>
      <c r="AF1921" s="19"/>
      <c r="AG1921" s="19"/>
      <c r="AH1921" s="19"/>
      <c r="AI1921" s="19"/>
      <c r="AJ1921" s="19"/>
      <c r="AK1921" s="19"/>
    </row>
    <row r="1922" spans="1:37" ht="15.45" customHeight="1" x14ac:dyDescent="0.25">
      <c r="A1922" s="156" t="s">
        <v>1125</v>
      </c>
      <c r="B1922" s="28"/>
      <c r="C1922" s="37" t="s">
        <v>756</v>
      </c>
      <c r="E1922" s="37" t="s">
        <v>2830</v>
      </c>
      <c r="F1922" s="24" t="s">
        <v>2120</v>
      </c>
      <c r="H1922" s="166"/>
      <c r="I1922" s="167"/>
      <c r="J1922" s="214" t="s">
        <v>3690</v>
      </c>
      <c r="K1922" s="10" t="s">
        <v>3685</v>
      </c>
      <c r="N1922" s="37" t="s">
        <v>3771</v>
      </c>
      <c r="P1922" s="37" t="s">
        <v>211</v>
      </c>
      <c r="S1922" s="37"/>
      <c r="T1922" s="37"/>
      <c r="U1922" s="22">
        <v>5</v>
      </c>
      <c r="V1922" s="22">
        <v>5</v>
      </c>
      <c r="W1922" s="73">
        <f t="shared" si="91"/>
        <v>283</v>
      </c>
      <c r="X1922" s="80">
        <f t="shared" si="92"/>
        <v>3101</v>
      </c>
      <c r="Y1922" s="82" t="s">
        <v>3584</v>
      </c>
      <c r="AF1922" s="19"/>
      <c r="AG1922" s="19"/>
      <c r="AH1922" s="19"/>
      <c r="AI1922" s="19"/>
      <c r="AJ1922" s="19"/>
      <c r="AK1922" s="19"/>
    </row>
    <row r="1923" spans="1:37" ht="15.45" customHeight="1" x14ac:dyDescent="0.25">
      <c r="A1923" s="156" t="s">
        <v>1014</v>
      </c>
      <c r="B1923" s="28"/>
      <c r="C1923" s="37" t="s">
        <v>756</v>
      </c>
      <c r="E1923" s="37" t="s">
        <v>2830</v>
      </c>
      <c r="F1923" s="24" t="s">
        <v>2120</v>
      </c>
      <c r="H1923" s="166"/>
      <c r="I1923" s="167"/>
      <c r="J1923" s="214" t="s">
        <v>3690</v>
      </c>
      <c r="K1923" s="10" t="s">
        <v>3685</v>
      </c>
      <c r="N1923" s="37" t="s">
        <v>3771</v>
      </c>
      <c r="P1923" s="37" t="s">
        <v>66</v>
      </c>
      <c r="Q1923" s="37" t="s">
        <v>1998</v>
      </c>
      <c r="S1923" s="37"/>
      <c r="T1923" s="37"/>
      <c r="U1923" s="22">
        <v>1</v>
      </c>
      <c r="V1923" s="22">
        <v>1</v>
      </c>
      <c r="W1923" s="73">
        <f t="shared" si="91"/>
        <v>284</v>
      </c>
      <c r="X1923" s="80">
        <f t="shared" si="92"/>
        <v>3102</v>
      </c>
      <c r="Y1923" s="82" t="s">
        <v>3584</v>
      </c>
      <c r="AF1923" s="19"/>
      <c r="AG1923" s="19"/>
      <c r="AH1923" s="19"/>
      <c r="AI1923" s="19"/>
      <c r="AJ1923" s="19"/>
      <c r="AK1923" s="19"/>
    </row>
    <row r="1924" spans="1:37" ht="15.45" customHeight="1" x14ac:dyDescent="0.25">
      <c r="A1924" s="156" t="s">
        <v>907</v>
      </c>
      <c r="B1924" s="28"/>
      <c r="C1924" s="37" t="s">
        <v>756</v>
      </c>
      <c r="E1924" s="37" t="s">
        <v>2830</v>
      </c>
      <c r="F1924" s="24" t="s">
        <v>2120</v>
      </c>
      <c r="H1924" s="166"/>
      <c r="I1924" s="167"/>
      <c r="J1924" s="214" t="s">
        <v>3690</v>
      </c>
      <c r="K1924" s="10" t="s">
        <v>3685</v>
      </c>
      <c r="N1924" s="37" t="s">
        <v>3771</v>
      </c>
      <c r="P1924" s="37" t="s">
        <v>3773</v>
      </c>
      <c r="Q1924" s="37" t="s">
        <v>3774</v>
      </c>
      <c r="S1924" s="37"/>
      <c r="T1924" s="37"/>
      <c r="U1924" s="22">
        <v>3</v>
      </c>
      <c r="V1924" s="22">
        <v>3</v>
      </c>
      <c r="W1924" s="73">
        <f t="shared" si="91"/>
        <v>287</v>
      </c>
      <c r="X1924" s="80">
        <f t="shared" si="92"/>
        <v>3105</v>
      </c>
      <c r="Y1924" s="82" t="s">
        <v>3584</v>
      </c>
      <c r="AF1924" s="19"/>
      <c r="AG1924" s="19"/>
      <c r="AH1924" s="19"/>
      <c r="AI1924" s="19"/>
      <c r="AJ1924" s="19"/>
      <c r="AK1924" s="19"/>
    </row>
    <row r="1925" spans="1:37" ht="15.45" customHeight="1" x14ac:dyDescent="0.25">
      <c r="A1925" s="156" t="s">
        <v>1008</v>
      </c>
      <c r="B1925" s="28"/>
      <c r="C1925" s="37" t="s">
        <v>756</v>
      </c>
      <c r="E1925" s="37" t="s">
        <v>2830</v>
      </c>
      <c r="F1925" s="24" t="s">
        <v>2120</v>
      </c>
      <c r="H1925" s="166"/>
      <c r="I1925" s="167"/>
      <c r="J1925" s="214" t="s">
        <v>3690</v>
      </c>
      <c r="K1925" s="10" t="s">
        <v>3685</v>
      </c>
      <c r="N1925" s="37" t="s">
        <v>3771</v>
      </c>
      <c r="P1925" s="37" t="s">
        <v>293</v>
      </c>
      <c r="S1925" s="37"/>
      <c r="T1925" s="37"/>
      <c r="U1925" s="22">
        <v>1</v>
      </c>
      <c r="V1925" s="22">
        <v>1</v>
      </c>
      <c r="W1925" s="73">
        <f t="shared" si="91"/>
        <v>288</v>
      </c>
      <c r="X1925" s="80">
        <f t="shared" si="92"/>
        <v>3106</v>
      </c>
      <c r="Y1925" s="82" t="s">
        <v>3584</v>
      </c>
      <c r="AF1925" s="19"/>
      <c r="AG1925" s="19"/>
      <c r="AH1925" s="19"/>
      <c r="AI1925" s="19"/>
      <c r="AJ1925" s="19"/>
      <c r="AK1925" s="19"/>
    </row>
    <row r="1926" spans="1:37" ht="15.45" customHeight="1" x14ac:dyDescent="0.25">
      <c r="A1926" s="156" t="s">
        <v>1231</v>
      </c>
      <c r="B1926" s="28"/>
      <c r="C1926" s="37" t="s">
        <v>756</v>
      </c>
      <c r="E1926" s="37" t="s">
        <v>2830</v>
      </c>
      <c r="F1926" s="24" t="s">
        <v>2120</v>
      </c>
      <c r="H1926" s="166"/>
      <c r="I1926" s="167"/>
      <c r="J1926" s="214" t="s">
        <v>3690</v>
      </c>
      <c r="K1926" s="10" t="s">
        <v>3685</v>
      </c>
      <c r="N1926" s="37" t="s">
        <v>3771</v>
      </c>
      <c r="P1926" s="37" t="s">
        <v>293</v>
      </c>
      <c r="S1926" s="37"/>
      <c r="T1926" s="37"/>
      <c r="U1926" s="22">
        <v>2</v>
      </c>
      <c r="V1926" s="22">
        <v>2</v>
      </c>
      <c r="W1926" s="73">
        <f t="shared" si="91"/>
        <v>290</v>
      </c>
      <c r="X1926" s="80">
        <f t="shared" si="92"/>
        <v>3108</v>
      </c>
      <c r="Y1926" s="82" t="s">
        <v>3584</v>
      </c>
      <c r="AF1926" s="19"/>
      <c r="AG1926" s="19"/>
      <c r="AH1926" s="19"/>
      <c r="AI1926" s="19"/>
      <c r="AJ1926" s="19"/>
      <c r="AK1926" s="19"/>
    </row>
    <row r="1927" spans="1:37" ht="15.45" customHeight="1" x14ac:dyDescent="0.25">
      <c r="A1927" s="156" t="s">
        <v>1017</v>
      </c>
      <c r="B1927" s="28"/>
      <c r="C1927" s="37" t="s">
        <v>756</v>
      </c>
      <c r="E1927" s="37" t="s">
        <v>2830</v>
      </c>
      <c r="F1927" s="24" t="s">
        <v>2120</v>
      </c>
      <c r="H1927" s="166"/>
      <c r="I1927" s="167"/>
      <c r="J1927" s="214" t="s">
        <v>3690</v>
      </c>
      <c r="K1927" s="10" t="s">
        <v>3685</v>
      </c>
      <c r="N1927" s="37" t="s">
        <v>3771</v>
      </c>
      <c r="P1927" s="37" t="s">
        <v>67</v>
      </c>
      <c r="S1927" s="37"/>
      <c r="T1927" s="37"/>
      <c r="U1927" s="22">
        <v>2</v>
      </c>
      <c r="V1927" s="22">
        <v>2</v>
      </c>
      <c r="W1927" s="73">
        <f t="shared" ref="W1927:W1992" si="93">W1926+V1927</f>
        <v>292</v>
      </c>
      <c r="X1927" s="80">
        <f t="shared" si="92"/>
        <v>3110</v>
      </c>
      <c r="Y1927" s="82" t="s">
        <v>3584</v>
      </c>
      <c r="AF1927" s="19"/>
      <c r="AG1927" s="19"/>
      <c r="AH1927" s="19"/>
      <c r="AI1927" s="19"/>
      <c r="AJ1927" s="19"/>
      <c r="AK1927" s="19"/>
    </row>
    <row r="1928" spans="1:37" ht="15.45" customHeight="1" x14ac:dyDescent="0.25">
      <c r="A1928" s="156" t="s">
        <v>1019</v>
      </c>
      <c r="B1928" s="28"/>
      <c r="C1928" s="37" t="s">
        <v>756</v>
      </c>
      <c r="E1928" s="37" t="s">
        <v>2830</v>
      </c>
      <c r="F1928" s="24" t="s">
        <v>2120</v>
      </c>
      <c r="H1928" s="166"/>
      <c r="I1928" s="167"/>
      <c r="J1928" s="214" t="s">
        <v>3690</v>
      </c>
      <c r="K1928" s="10" t="s">
        <v>3685</v>
      </c>
      <c r="N1928" s="37" t="s">
        <v>3772</v>
      </c>
      <c r="S1928" s="37"/>
      <c r="T1928" s="37"/>
      <c r="U1928" s="22">
        <v>2</v>
      </c>
      <c r="V1928" s="22">
        <v>2</v>
      </c>
      <c r="W1928" s="73">
        <f t="shared" si="93"/>
        <v>294</v>
      </c>
      <c r="X1928" s="80">
        <f t="shared" si="92"/>
        <v>3112</v>
      </c>
      <c r="Y1928" s="82" t="s">
        <v>3584</v>
      </c>
      <c r="AF1928" s="19"/>
      <c r="AG1928" s="19"/>
      <c r="AH1928" s="19"/>
      <c r="AI1928" s="19"/>
      <c r="AJ1928" s="19"/>
      <c r="AK1928" s="19"/>
    </row>
    <row r="1929" spans="1:37" ht="15.45" customHeight="1" x14ac:dyDescent="0.25">
      <c r="A1929" s="156" t="s">
        <v>1016</v>
      </c>
      <c r="B1929" s="28"/>
      <c r="C1929" s="37" t="s">
        <v>756</v>
      </c>
      <c r="E1929" s="37" t="s">
        <v>2830</v>
      </c>
      <c r="F1929" s="24" t="s">
        <v>2120</v>
      </c>
      <c r="H1929" s="166"/>
      <c r="I1929" s="167"/>
      <c r="J1929" s="214" t="s">
        <v>3690</v>
      </c>
      <c r="K1929" s="10" t="s">
        <v>3685</v>
      </c>
      <c r="N1929" s="37" t="s">
        <v>3771</v>
      </c>
      <c r="P1929" s="37" t="s">
        <v>68</v>
      </c>
      <c r="S1929" s="37"/>
      <c r="T1929" s="37"/>
      <c r="U1929" s="22">
        <v>1</v>
      </c>
      <c r="V1929" s="22">
        <v>1</v>
      </c>
      <c r="W1929" s="73">
        <f t="shared" si="93"/>
        <v>295</v>
      </c>
      <c r="X1929" s="80">
        <f t="shared" si="92"/>
        <v>3113</v>
      </c>
      <c r="Y1929" s="82" t="s">
        <v>3584</v>
      </c>
      <c r="AF1929" s="19"/>
      <c r="AG1929" s="19"/>
      <c r="AH1929" s="19"/>
      <c r="AI1929" s="19"/>
      <c r="AJ1929" s="19"/>
      <c r="AK1929" s="19"/>
    </row>
    <row r="1930" spans="1:37" ht="15.45" customHeight="1" x14ac:dyDescent="0.25">
      <c r="A1930" s="156" t="s">
        <v>1225</v>
      </c>
      <c r="B1930" s="28"/>
      <c r="C1930" s="37" t="s">
        <v>756</v>
      </c>
      <c r="E1930" s="37" t="s">
        <v>2830</v>
      </c>
      <c r="F1930" s="24" t="s">
        <v>2120</v>
      </c>
      <c r="H1930" s="166"/>
      <c r="I1930" s="167"/>
      <c r="J1930" s="214" t="s">
        <v>3690</v>
      </c>
      <c r="K1930" s="10" t="s">
        <v>3685</v>
      </c>
      <c r="N1930" s="37" t="s">
        <v>3771</v>
      </c>
      <c r="P1930" s="37" t="s">
        <v>126</v>
      </c>
      <c r="S1930" s="37"/>
      <c r="T1930" s="37"/>
      <c r="U1930" s="22">
        <v>2</v>
      </c>
      <c r="V1930" s="22">
        <v>2</v>
      </c>
      <c r="W1930" s="73">
        <f t="shared" si="93"/>
        <v>297</v>
      </c>
      <c r="X1930" s="80">
        <f t="shared" si="92"/>
        <v>3115</v>
      </c>
      <c r="Y1930" s="82" t="s">
        <v>3584</v>
      </c>
      <c r="AF1930" s="19"/>
      <c r="AG1930" s="19"/>
      <c r="AH1930" s="19"/>
      <c r="AI1930" s="19"/>
      <c r="AJ1930" s="19"/>
      <c r="AK1930" s="19"/>
    </row>
    <row r="1931" spans="1:37" ht="15.45" customHeight="1" x14ac:dyDescent="0.25">
      <c r="A1931" s="156" t="s">
        <v>1015</v>
      </c>
      <c r="B1931" s="28"/>
      <c r="C1931" s="37" t="s">
        <v>756</v>
      </c>
      <c r="E1931" s="37" t="s">
        <v>2830</v>
      </c>
      <c r="F1931" s="24" t="s">
        <v>2120</v>
      </c>
      <c r="H1931" s="166"/>
      <c r="I1931" s="167"/>
      <c r="J1931" s="214" t="s">
        <v>3690</v>
      </c>
      <c r="K1931" s="10" t="s">
        <v>3685</v>
      </c>
      <c r="N1931" s="37" t="s">
        <v>3771</v>
      </c>
      <c r="P1931" s="37" t="s">
        <v>126</v>
      </c>
      <c r="S1931" s="37"/>
      <c r="T1931" s="37"/>
      <c r="U1931" s="22">
        <v>2</v>
      </c>
      <c r="V1931" s="22">
        <v>2</v>
      </c>
      <c r="W1931" s="73">
        <f t="shared" si="93"/>
        <v>299</v>
      </c>
      <c r="X1931" s="80">
        <f t="shared" si="92"/>
        <v>3117</v>
      </c>
      <c r="Y1931" s="82" t="s">
        <v>3584</v>
      </c>
      <c r="AF1931" s="19"/>
      <c r="AG1931" s="19"/>
      <c r="AH1931" s="19"/>
      <c r="AI1931" s="19"/>
      <c r="AJ1931" s="19"/>
      <c r="AK1931" s="19"/>
    </row>
    <row r="1932" spans="1:37" ht="15.45" customHeight="1" x14ac:dyDescent="0.25">
      <c r="A1932" s="156" t="s">
        <v>1004</v>
      </c>
      <c r="B1932" s="28"/>
      <c r="C1932" s="37" t="s">
        <v>756</v>
      </c>
      <c r="E1932" s="37" t="s">
        <v>2830</v>
      </c>
      <c r="F1932" s="24" t="s">
        <v>2120</v>
      </c>
      <c r="H1932" s="166"/>
      <c r="I1932" s="167"/>
      <c r="J1932" s="214" t="s">
        <v>3690</v>
      </c>
      <c r="K1932" s="10" t="s">
        <v>3685</v>
      </c>
      <c r="N1932" s="37" t="s">
        <v>3771</v>
      </c>
      <c r="P1932" s="37" t="s">
        <v>72</v>
      </c>
      <c r="S1932" s="37"/>
      <c r="T1932" s="37"/>
      <c r="U1932" s="22">
        <v>1</v>
      </c>
      <c r="V1932" s="22">
        <v>1</v>
      </c>
      <c r="W1932" s="73">
        <f t="shared" si="93"/>
        <v>300</v>
      </c>
      <c r="X1932" s="80">
        <f t="shared" si="92"/>
        <v>3118</v>
      </c>
      <c r="Y1932" s="82" t="s">
        <v>3584</v>
      </c>
      <c r="AF1932" s="19"/>
      <c r="AG1932" s="19"/>
      <c r="AH1932" s="19"/>
      <c r="AI1932" s="19"/>
      <c r="AJ1932" s="19"/>
      <c r="AK1932" s="19"/>
    </row>
    <row r="1933" spans="1:37" ht="15.45" customHeight="1" x14ac:dyDescent="0.25">
      <c r="A1933" s="156" t="s">
        <v>1005</v>
      </c>
      <c r="B1933" s="28"/>
      <c r="C1933" s="37" t="s">
        <v>756</v>
      </c>
      <c r="E1933" s="37" t="s">
        <v>2830</v>
      </c>
      <c r="F1933" s="24" t="s">
        <v>2120</v>
      </c>
      <c r="H1933" s="166"/>
      <c r="I1933" s="167"/>
      <c r="J1933" s="214" t="s">
        <v>3690</v>
      </c>
      <c r="K1933" s="10" t="s">
        <v>3685</v>
      </c>
      <c r="N1933" s="37" t="s">
        <v>3771</v>
      </c>
      <c r="P1933" s="37" t="s">
        <v>68</v>
      </c>
      <c r="S1933" s="37"/>
      <c r="T1933" s="37"/>
      <c r="U1933" s="22">
        <v>1</v>
      </c>
      <c r="V1933" s="22">
        <v>1</v>
      </c>
      <c r="W1933" s="73">
        <f t="shared" si="93"/>
        <v>301</v>
      </c>
      <c r="X1933" s="80">
        <f t="shared" si="92"/>
        <v>3119</v>
      </c>
      <c r="Y1933" s="82" t="s">
        <v>3584</v>
      </c>
      <c r="AF1933" s="19"/>
      <c r="AG1933" s="19"/>
      <c r="AH1933" s="19"/>
      <c r="AI1933" s="19"/>
      <c r="AJ1933" s="19"/>
      <c r="AK1933" s="19"/>
    </row>
    <row r="1934" spans="1:37" ht="15.45" customHeight="1" x14ac:dyDescent="0.25">
      <c r="A1934" s="156" t="s">
        <v>910</v>
      </c>
      <c r="B1934" s="28"/>
      <c r="C1934" s="37" t="s">
        <v>756</v>
      </c>
      <c r="E1934" s="37" t="s">
        <v>2830</v>
      </c>
      <c r="F1934" s="24" t="s">
        <v>2120</v>
      </c>
      <c r="H1934" s="166"/>
      <c r="I1934" s="167"/>
      <c r="J1934" s="214" t="s">
        <v>3690</v>
      </c>
      <c r="K1934" s="10" t="s">
        <v>3685</v>
      </c>
      <c r="N1934" s="37" t="s">
        <v>3771</v>
      </c>
      <c r="P1934" s="37" t="s">
        <v>68</v>
      </c>
      <c r="S1934" s="37"/>
      <c r="T1934" s="37"/>
      <c r="U1934" s="22">
        <v>1</v>
      </c>
      <c r="V1934" s="22">
        <v>1</v>
      </c>
      <c r="W1934" s="73">
        <f t="shared" si="93"/>
        <v>302</v>
      </c>
      <c r="X1934" s="80">
        <f t="shared" si="92"/>
        <v>3120</v>
      </c>
      <c r="Y1934" s="82" t="s">
        <v>3584</v>
      </c>
      <c r="AF1934" s="19"/>
      <c r="AG1934" s="19"/>
      <c r="AH1934" s="19"/>
      <c r="AI1934" s="19"/>
      <c r="AJ1934" s="19"/>
      <c r="AK1934" s="19"/>
    </row>
    <row r="1935" spans="1:37" ht="15.45" customHeight="1" x14ac:dyDescent="0.25">
      <c r="A1935" s="156" t="s">
        <v>906</v>
      </c>
      <c r="B1935" s="28"/>
      <c r="C1935" s="37" t="s">
        <v>756</v>
      </c>
      <c r="E1935" s="37" t="s">
        <v>2830</v>
      </c>
      <c r="F1935" s="24" t="s">
        <v>2120</v>
      </c>
      <c r="H1935" s="166"/>
      <c r="I1935" s="167"/>
      <c r="J1935" s="214" t="s">
        <v>3690</v>
      </c>
      <c r="K1935" s="10" t="s">
        <v>3685</v>
      </c>
      <c r="N1935" s="37" t="s">
        <v>3771</v>
      </c>
      <c r="P1935" s="37" t="s">
        <v>73</v>
      </c>
      <c r="S1935" s="37"/>
      <c r="T1935" s="37"/>
      <c r="U1935" s="22">
        <v>3</v>
      </c>
      <c r="V1935" s="22">
        <v>3</v>
      </c>
      <c r="W1935" s="73">
        <f t="shared" si="93"/>
        <v>305</v>
      </c>
      <c r="X1935" s="80">
        <f t="shared" si="92"/>
        <v>3123</v>
      </c>
      <c r="Y1935" s="82" t="s">
        <v>3584</v>
      </c>
      <c r="AF1935" s="19"/>
      <c r="AG1935" s="19"/>
      <c r="AH1935" s="19"/>
      <c r="AI1935" s="19"/>
      <c r="AJ1935" s="19"/>
      <c r="AK1935" s="19"/>
    </row>
    <row r="1936" spans="1:37" ht="15.45" customHeight="1" x14ac:dyDescent="0.25">
      <c r="A1936" s="156" t="s">
        <v>1023</v>
      </c>
      <c r="B1936" s="28"/>
      <c r="C1936" s="37" t="s">
        <v>756</v>
      </c>
      <c r="E1936" s="37" t="s">
        <v>2830</v>
      </c>
      <c r="F1936" s="24" t="s">
        <v>2120</v>
      </c>
      <c r="H1936" s="166"/>
      <c r="I1936" s="167"/>
      <c r="J1936" s="214" t="s">
        <v>3690</v>
      </c>
      <c r="K1936" s="10" t="s">
        <v>3685</v>
      </c>
      <c r="N1936" s="37" t="s">
        <v>3771</v>
      </c>
      <c r="P1936" s="37" t="s">
        <v>68</v>
      </c>
      <c r="S1936" s="37"/>
      <c r="T1936" s="37"/>
      <c r="U1936" s="22">
        <v>1</v>
      </c>
      <c r="V1936" s="22">
        <v>1</v>
      </c>
      <c r="W1936" s="73">
        <f t="shared" si="93"/>
        <v>306</v>
      </c>
      <c r="X1936" s="80">
        <f t="shared" si="92"/>
        <v>3124</v>
      </c>
      <c r="Y1936" s="82" t="s">
        <v>3584</v>
      </c>
      <c r="AF1936" s="19"/>
      <c r="AG1936" s="19"/>
      <c r="AH1936" s="19"/>
      <c r="AI1936" s="19"/>
      <c r="AJ1936" s="19"/>
      <c r="AK1936" s="19"/>
    </row>
    <row r="1937" spans="1:37" ht="15.45" customHeight="1" x14ac:dyDescent="0.25">
      <c r="A1937" s="156" t="s">
        <v>1024</v>
      </c>
      <c r="B1937" s="28"/>
      <c r="C1937" s="37" t="s">
        <v>756</v>
      </c>
      <c r="E1937" s="37" t="s">
        <v>2830</v>
      </c>
      <c r="F1937" s="24" t="s">
        <v>2120</v>
      </c>
      <c r="H1937" s="166"/>
      <c r="I1937" s="167"/>
      <c r="J1937" s="214" t="s">
        <v>3690</v>
      </c>
      <c r="K1937" s="10" t="s">
        <v>3685</v>
      </c>
      <c r="N1937" s="37" t="s">
        <v>3771</v>
      </c>
      <c r="P1937" s="37" t="s">
        <v>74</v>
      </c>
      <c r="S1937" s="37"/>
      <c r="T1937" s="37"/>
      <c r="U1937" s="22">
        <v>1</v>
      </c>
      <c r="V1937" s="22">
        <v>1</v>
      </c>
      <c r="W1937" s="73">
        <f t="shared" si="93"/>
        <v>307</v>
      </c>
      <c r="X1937" s="80">
        <f t="shared" si="92"/>
        <v>3125</v>
      </c>
      <c r="Y1937" s="82" t="s">
        <v>3584</v>
      </c>
      <c r="AF1937" s="19"/>
      <c r="AG1937" s="19"/>
      <c r="AH1937" s="19"/>
      <c r="AI1937" s="19"/>
      <c r="AJ1937" s="19"/>
      <c r="AK1937" s="19"/>
    </row>
    <row r="1938" spans="1:37" ht="15.45" customHeight="1" x14ac:dyDescent="0.25">
      <c r="A1938" s="156" t="s">
        <v>1009</v>
      </c>
      <c r="B1938" s="28"/>
      <c r="C1938" s="37" t="s">
        <v>756</v>
      </c>
      <c r="E1938" s="37" t="s">
        <v>2830</v>
      </c>
      <c r="F1938" s="24" t="s">
        <v>2120</v>
      </c>
      <c r="H1938" s="166"/>
      <c r="I1938" s="167"/>
      <c r="J1938" s="214" t="s">
        <v>3690</v>
      </c>
      <c r="K1938" s="10" t="s">
        <v>3685</v>
      </c>
      <c r="N1938" s="37" t="s">
        <v>3771</v>
      </c>
      <c r="P1938" s="37" t="s">
        <v>74</v>
      </c>
      <c r="S1938" s="37"/>
      <c r="T1938" s="37"/>
      <c r="U1938" s="22">
        <v>3</v>
      </c>
      <c r="V1938" s="22">
        <v>3</v>
      </c>
      <c r="W1938" s="73">
        <f t="shared" si="93"/>
        <v>310</v>
      </c>
      <c r="X1938" s="80">
        <f t="shared" si="92"/>
        <v>3128</v>
      </c>
      <c r="Y1938" s="82" t="s">
        <v>3584</v>
      </c>
      <c r="AF1938" s="19"/>
      <c r="AG1938" s="19"/>
      <c r="AH1938" s="19"/>
      <c r="AI1938" s="19"/>
      <c r="AJ1938" s="19"/>
      <c r="AK1938" s="19"/>
    </row>
    <row r="1939" spans="1:37" ht="15.45" customHeight="1" x14ac:dyDescent="0.25">
      <c r="A1939" s="156" t="s">
        <v>191</v>
      </c>
      <c r="B1939" s="28"/>
      <c r="C1939" s="37" t="s">
        <v>756</v>
      </c>
      <c r="E1939" s="37" t="s">
        <v>2830</v>
      </c>
      <c r="F1939" s="24" t="s">
        <v>2120</v>
      </c>
      <c r="H1939" s="166"/>
      <c r="I1939" s="167"/>
      <c r="J1939" s="214" t="s">
        <v>3690</v>
      </c>
      <c r="K1939" s="10" t="s">
        <v>3685</v>
      </c>
      <c r="N1939" s="37" t="s">
        <v>3771</v>
      </c>
      <c r="P1939" s="37" t="s">
        <v>75</v>
      </c>
      <c r="S1939" s="37"/>
      <c r="T1939" s="37"/>
      <c r="U1939" s="22">
        <v>3</v>
      </c>
      <c r="V1939" s="22">
        <v>3</v>
      </c>
      <c r="W1939" s="73">
        <f t="shared" si="93"/>
        <v>313</v>
      </c>
      <c r="X1939" s="80">
        <f t="shared" si="92"/>
        <v>3131</v>
      </c>
      <c r="Y1939" s="82" t="s">
        <v>3584</v>
      </c>
      <c r="AF1939" s="19"/>
      <c r="AG1939" s="19"/>
      <c r="AH1939" s="19"/>
      <c r="AI1939" s="19"/>
      <c r="AJ1939" s="19"/>
      <c r="AK1939" s="19"/>
    </row>
    <row r="1940" spans="1:37" ht="15.45" customHeight="1" x14ac:dyDescent="0.25">
      <c r="A1940" s="156" t="s">
        <v>902</v>
      </c>
      <c r="B1940" s="28"/>
      <c r="C1940" s="37" t="s">
        <v>756</v>
      </c>
      <c r="E1940" s="37" t="s">
        <v>2830</v>
      </c>
      <c r="F1940" s="24" t="s">
        <v>2120</v>
      </c>
      <c r="H1940" s="166"/>
      <c r="I1940" s="167"/>
      <c r="J1940" s="214" t="s">
        <v>3690</v>
      </c>
      <c r="K1940" s="10" t="s">
        <v>3685</v>
      </c>
      <c r="N1940" s="37" t="s">
        <v>3771</v>
      </c>
      <c r="P1940" s="37" t="s">
        <v>75</v>
      </c>
      <c r="S1940" s="37"/>
      <c r="T1940" s="37"/>
      <c r="U1940" s="22">
        <v>1</v>
      </c>
      <c r="V1940" s="22">
        <v>1</v>
      </c>
      <c r="W1940" s="73">
        <f t="shared" si="93"/>
        <v>314</v>
      </c>
      <c r="X1940" s="80">
        <f t="shared" si="92"/>
        <v>3132</v>
      </c>
      <c r="Y1940" s="82" t="s">
        <v>3584</v>
      </c>
      <c r="AF1940" s="19"/>
      <c r="AG1940" s="19"/>
      <c r="AH1940" s="19"/>
      <c r="AI1940" s="19"/>
      <c r="AJ1940" s="19"/>
      <c r="AK1940" s="19"/>
    </row>
    <row r="1941" spans="1:37" ht="15.45" customHeight="1" x14ac:dyDescent="0.25">
      <c r="A1941" s="156" t="s">
        <v>829</v>
      </c>
      <c r="B1941" s="28"/>
      <c r="C1941" s="37" t="s">
        <v>756</v>
      </c>
      <c r="E1941" s="37" t="s">
        <v>2925</v>
      </c>
      <c r="F1941" s="24" t="s">
        <v>2120</v>
      </c>
      <c r="H1941" s="168"/>
      <c r="I1941" s="167"/>
      <c r="J1941" s="214" t="s">
        <v>3690</v>
      </c>
      <c r="K1941" s="10" t="s">
        <v>3685</v>
      </c>
      <c r="N1941" s="37" t="s">
        <v>3771</v>
      </c>
      <c r="P1941" s="37" t="s">
        <v>126</v>
      </c>
      <c r="S1941" s="37"/>
      <c r="T1941" s="37"/>
      <c r="U1941" s="22">
        <v>3</v>
      </c>
      <c r="V1941" s="22">
        <v>3</v>
      </c>
      <c r="W1941" s="73">
        <f t="shared" si="93"/>
        <v>317</v>
      </c>
      <c r="X1941" s="80">
        <f t="shared" si="92"/>
        <v>3135</v>
      </c>
      <c r="Y1941" s="82" t="s">
        <v>3584</v>
      </c>
      <c r="AF1941" s="19"/>
      <c r="AG1941" s="19"/>
      <c r="AH1941" s="19"/>
      <c r="AI1941" s="19"/>
      <c r="AJ1941" s="19"/>
      <c r="AK1941" s="19"/>
    </row>
    <row r="1942" spans="1:37" ht="15.45" customHeight="1" x14ac:dyDescent="0.25">
      <c r="A1942" s="156" t="s">
        <v>5839</v>
      </c>
      <c r="B1942" s="28"/>
      <c r="C1942" s="37" t="s">
        <v>756</v>
      </c>
      <c r="E1942" s="37" t="s">
        <v>2925</v>
      </c>
      <c r="F1942" s="24" t="s">
        <v>2120</v>
      </c>
      <c r="H1942" s="168" t="s">
        <v>5098</v>
      </c>
      <c r="I1942" s="167"/>
      <c r="J1942" s="215">
        <v>2019</v>
      </c>
      <c r="K1942" s="10" t="s">
        <v>3591</v>
      </c>
      <c r="P1942" s="37" t="s">
        <v>5097</v>
      </c>
      <c r="Q1942" s="37" t="s">
        <v>3506</v>
      </c>
      <c r="S1942" s="37" t="s">
        <v>3436</v>
      </c>
      <c r="T1942" s="37"/>
      <c r="U1942" s="22">
        <v>1</v>
      </c>
      <c r="V1942" s="22">
        <v>1</v>
      </c>
      <c r="W1942" s="73">
        <f t="shared" si="93"/>
        <v>318</v>
      </c>
      <c r="X1942" s="80">
        <f t="shared" si="92"/>
        <v>3136</v>
      </c>
      <c r="Y1942" s="82" t="s">
        <v>3591</v>
      </c>
      <c r="Z1942" s="24" t="s">
        <v>4515</v>
      </c>
      <c r="AB1942" s="177">
        <v>43865</v>
      </c>
      <c r="AC1942" s="84" t="s">
        <v>2885</v>
      </c>
      <c r="AF1942" s="19"/>
      <c r="AG1942" s="19"/>
      <c r="AH1942" s="19"/>
      <c r="AI1942" s="19"/>
      <c r="AJ1942" s="19"/>
      <c r="AK1942" s="19"/>
    </row>
    <row r="1943" spans="1:37" ht="15.45" customHeight="1" x14ac:dyDescent="0.25">
      <c r="A1943" s="156" t="s">
        <v>3228</v>
      </c>
      <c r="B1943" s="28"/>
      <c r="C1943" s="37" t="s">
        <v>756</v>
      </c>
      <c r="E1943" s="37" t="s">
        <v>2830</v>
      </c>
      <c r="F1943" s="24" t="s">
        <v>1095</v>
      </c>
      <c r="H1943" s="168" t="s">
        <v>3227</v>
      </c>
      <c r="I1943" s="167"/>
      <c r="J1943" s="214" t="s">
        <v>3690</v>
      </c>
      <c r="K1943" s="10" t="s">
        <v>3685</v>
      </c>
      <c r="N1943" s="37" t="s">
        <v>3771</v>
      </c>
      <c r="S1943" s="37"/>
      <c r="T1943" s="37"/>
      <c r="U1943" s="22">
        <v>1</v>
      </c>
      <c r="V1943" s="22">
        <v>1</v>
      </c>
      <c r="W1943" s="73">
        <f t="shared" si="93"/>
        <v>319</v>
      </c>
      <c r="X1943" s="80">
        <f t="shared" si="92"/>
        <v>3137</v>
      </c>
      <c r="Y1943" s="82" t="s">
        <v>3584</v>
      </c>
      <c r="AF1943" s="19"/>
      <c r="AG1943" s="19"/>
      <c r="AH1943" s="19"/>
      <c r="AI1943" s="19"/>
      <c r="AJ1943" s="19"/>
      <c r="AK1943" s="19"/>
    </row>
    <row r="1944" spans="1:37" ht="15.45" customHeight="1" x14ac:dyDescent="0.25">
      <c r="A1944" s="156" t="s">
        <v>5859</v>
      </c>
      <c r="B1944" s="28"/>
      <c r="C1944" s="37" t="s">
        <v>756</v>
      </c>
      <c r="E1944" s="37" t="s">
        <v>2830</v>
      </c>
      <c r="H1944" s="201" t="s">
        <v>5860</v>
      </c>
      <c r="I1944" s="167"/>
      <c r="J1944" s="214" t="s">
        <v>5684</v>
      </c>
      <c r="P1944" s="37" t="s">
        <v>1463</v>
      </c>
      <c r="Q1944" s="37" t="s">
        <v>3506</v>
      </c>
      <c r="S1944" s="37" t="s">
        <v>3412</v>
      </c>
      <c r="T1944" s="37"/>
      <c r="U1944" s="22">
        <v>1</v>
      </c>
      <c r="V1944" s="22">
        <v>1</v>
      </c>
      <c r="W1944" s="73">
        <f t="shared" si="93"/>
        <v>320</v>
      </c>
      <c r="X1944" s="80">
        <f t="shared" si="92"/>
        <v>3138</v>
      </c>
      <c r="Y1944" s="82" t="s">
        <v>3591</v>
      </c>
      <c r="Z1944" s="24" t="s">
        <v>2885</v>
      </c>
      <c r="AB1944" s="177">
        <v>44398</v>
      </c>
      <c r="AC1944" s="84" t="s">
        <v>5308</v>
      </c>
      <c r="AF1944" s="19"/>
      <c r="AG1944" s="19"/>
      <c r="AH1944" s="19"/>
      <c r="AI1944" s="19"/>
      <c r="AJ1944" s="19"/>
      <c r="AK1944" s="19"/>
    </row>
    <row r="1945" spans="1:37" ht="15.45" customHeight="1" x14ac:dyDescent="0.25">
      <c r="A1945" s="156" t="s">
        <v>898</v>
      </c>
      <c r="B1945" s="28"/>
      <c r="C1945" s="37" t="s">
        <v>756</v>
      </c>
      <c r="E1945" s="37" t="s">
        <v>2830</v>
      </c>
      <c r="F1945" s="24" t="s">
        <v>1095</v>
      </c>
      <c r="H1945" s="168"/>
      <c r="I1945" s="167"/>
      <c r="J1945" s="214" t="s">
        <v>3690</v>
      </c>
      <c r="K1945" s="10" t="s">
        <v>3685</v>
      </c>
      <c r="N1945" s="37" t="s">
        <v>3771</v>
      </c>
      <c r="P1945" s="37" t="s">
        <v>76</v>
      </c>
      <c r="S1945" s="37"/>
      <c r="T1945" s="37"/>
      <c r="U1945" s="22">
        <v>1</v>
      </c>
      <c r="V1945" s="22">
        <v>1</v>
      </c>
      <c r="W1945" s="73">
        <f t="shared" si="93"/>
        <v>321</v>
      </c>
      <c r="X1945" s="80">
        <f t="shared" si="92"/>
        <v>3139</v>
      </c>
      <c r="Y1945" s="82" t="s">
        <v>3584</v>
      </c>
      <c r="AF1945" s="19"/>
      <c r="AG1945" s="19"/>
      <c r="AH1945" s="19"/>
      <c r="AI1945" s="19"/>
      <c r="AJ1945" s="19"/>
      <c r="AK1945" s="19"/>
    </row>
    <row r="1946" spans="1:37" ht="15.45" customHeight="1" x14ac:dyDescent="0.25">
      <c r="A1946" s="156" t="s">
        <v>763</v>
      </c>
      <c r="B1946" s="28"/>
      <c r="C1946" s="37" t="s">
        <v>756</v>
      </c>
      <c r="E1946" s="37" t="s">
        <v>2830</v>
      </c>
      <c r="F1946" s="24" t="s">
        <v>1095</v>
      </c>
      <c r="H1946" s="168"/>
      <c r="I1946" s="167"/>
      <c r="J1946" s="214" t="s">
        <v>3690</v>
      </c>
      <c r="K1946" s="10" t="s">
        <v>3685</v>
      </c>
      <c r="N1946" s="37" t="s">
        <v>3771</v>
      </c>
      <c r="P1946" s="37" t="s">
        <v>392</v>
      </c>
      <c r="S1946" s="37"/>
      <c r="T1946" s="37"/>
      <c r="U1946" s="22">
        <v>1</v>
      </c>
      <c r="V1946" s="22">
        <v>1</v>
      </c>
      <c r="W1946" s="73">
        <f t="shared" si="93"/>
        <v>322</v>
      </c>
      <c r="X1946" s="80">
        <f t="shared" si="92"/>
        <v>3140</v>
      </c>
      <c r="Y1946" s="82" t="s">
        <v>3584</v>
      </c>
      <c r="AF1946" s="19"/>
      <c r="AG1946" s="19"/>
      <c r="AH1946" s="19"/>
      <c r="AI1946" s="19"/>
      <c r="AJ1946" s="19"/>
      <c r="AK1946" s="19"/>
    </row>
    <row r="1947" spans="1:37" ht="15.45" customHeight="1" x14ac:dyDescent="0.25">
      <c r="A1947" s="156" t="s">
        <v>1036</v>
      </c>
      <c r="B1947" s="28"/>
      <c r="C1947" s="37" t="s">
        <v>756</v>
      </c>
      <c r="E1947" s="37" t="s">
        <v>2830</v>
      </c>
      <c r="F1947" s="24" t="s">
        <v>1095</v>
      </c>
      <c r="H1947" s="168"/>
      <c r="I1947" s="167"/>
      <c r="J1947" s="214" t="s">
        <v>3690</v>
      </c>
      <c r="K1947" s="10" t="s">
        <v>3685</v>
      </c>
      <c r="N1947" s="37" t="s">
        <v>3771</v>
      </c>
      <c r="P1947" s="37" t="s">
        <v>394</v>
      </c>
      <c r="S1947" s="37"/>
      <c r="T1947" s="37"/>
      <c r="U1947" s="22">
        <v>2</v>
      </c>
      <c r="V1947" s="22">
        <v>2</v>
      </c>
      <c r="W1947" s="73">
        <f t="shared" si="93"/>
        <v>324</v>
      </c>
      <c r="X1947" s="80">
        <f t="shared" si="92"/>
        <v>3142</v>
      </c>
      <c r="Y1947" s="82" t="s">
        <v>3584</v>
      </c>
      <c r="AF1947" s="19"/>
      <c r="AG1947" s="19"/>
      <c r="AH1947" s="19"/>
      <c r="AI1947" s="19"/>
      <c r="AJ1947" s="19"/>
      <c r="AK1947" s="19"/>
    </row>
    <row r="1948" spans="1:37" ht="15.45" customHeight="1" x14ac:dyDescent="0.25">
      <c r="A1948" s="156" t="s">
        <v>793</v>
      </c>
      <c r="B1948" s="28"/>
      <c r="C1948" s="37" t="s">
        <v>756</v>
      </c>
      <c r="E1948" s="37" t="s">
        <v>2830</v>
      </c>
      <c r="F1948" s="24" t="s">
        <v>1095</v>
      </c>
      <c r="H1948" s="168"/>
      <c r="I1948" s="167"/>
      <c r="J1948" s="214" t="s">
        <v>3690</v>
      </c>
      <c r="K1948" s="10" t="s">
        <v>3685</v>
      </c>
      <c r="N1948" s="37" t="s">
        <v>3771</v>
      </c>
      <c r="P1948" s="37" t="s">
        <v>3773</v>
      </c>
      <c r="Q1948" s="37" t="s">
        <v>3774</v>
      </c>
      <c r="S1948" s="37"/>
      <c r="T1948" s="37"/>
      <c r="U1948" s="22">
        <v>4</v>
      </c>
      <c r="V1948" s="22">
        <v>4</v>
      </c>
      <c r="W1948" s="73">
        <f t="shared" si="93"/>
        <v>328</v>
      </c>
      <c r="X1948" s="80">
        <f t="shared" si="92"/>
        <v>3146</v>
      </c>
      <c r="Y1948" s="82" t="s">
        <v>3584</v>
      </c>
      <c r="AF1948" s="19"/>
      <c r="AG1948" s="19"/>
      <c r="AH1948" s="19"/>
      <c r="AI1948" s="19"/>
      <c r="AJ1948" s="19"/>
      <c r="AK1948" s="19"/>
    </row>
    <row r="1949" spans="1:37" ht="15.45" customHeight="1" x14ac:dyDescent="0.25">
      <c r="A1949" s="156" t="s">
        <v>1010</v>
      </c>
      <c r="B1949" s="28"/>
      <c r="C1949" s="37" t="s">
        <v>756</v>
      </c>
      <c r="E1949" s="37" t="s">
        <v>2830</v>
      </c>
      <c r="F1949" s="24" t="s">
        <v>1095</v>
      </c>
      <c r="H1949" s="168"/>
      <c r="I1949" s="167"/>
      <c r="J1949" s="214" t="s">
        <v>3690</v>
      </c>
      <c r="K1949" s="10" t="s">
        <v>3685</v>
      </c>
      <c r="N1949" s="37" t="s">
        <v>3771</v>
      </c>
      <c r="P1949" s="37" t="s">
        <v>5</v>
      </c>
      <c r="S1949" s="37"/>
      <c r="T1949" s="37"/>
      <c r="U1949" s="22">
        <v>1</v>
      </c>
      <c r="V1949" s="22">
        <v>1</v>
      </c>
      <c r="W1949" s="73">
        <f t="shared" si="93"/>
        <v>329</v>
      </c>
      <c r="X1949" s="80">
        <f t="shared" si="92"/>
        <v>3147</v>
      </c>
      <c r="Y1949" s="82" t="s">
        <v>3584</v>
      </c>
      <c r="AF1949" s="19"/>
      <c r="AG1949" s="19"/>
      <c r="AH1949" s="19"/>
      <c r="AI1949" s="19"/>
      <c r="AJ1949" s="19"/>
      <c r="AK1949" s="19"/>
    </row>
    <row r="1950" spans="1:37" ht="15.45" customHeight="1" x14ac:dyDescent="0.25">
      <c r="A1950" s="156" t="s">
        <v>854</v>
      </c>
      <c r="B1950" s="28"/>
      <c r="C1950" s="37" t="s">
        <v>756</v>
      </c>
      <c r="E1950" s="37" t="s">
        <v>2830</v>
      </c>
      <c r="F1950" s="24" t="s">
        <v>1095</v>
      </c>
      <c r="H1950" s="168"/>
      <c r="I1950" s="167"/>
      <c r="J1950" s="214" t="s">
        <v>3690</v>
      </c>
      <c r="K1950" s="10" t="s">
        <v>3685</v>
      </c>
      <c r="N1950" s="37" t="s">
        <v>3771</v>
      </c>
      <c r="P1950" s="37" t="s">
        <v>510</v>
      </c>
      <c r="S1950" s="37"/>
      <c r="T1950" s="37"/>
      <c r="U1950" s="22">
        <v>2</v>
      </c>
      <c r="V1950" s="22">
        <v>2</v>
      </c>
      <c r="W1950" s="73">
        <f t="shared" si="93"/>
        <v>331</v>
      </c>
      <c r="X1950" s="80">
        <f t="shared" si="92"/>
        <v>3149</v>
      </c>
      <c r="Y1950" s="82" t="s">
        <v>3584</v>
      </c>
      <c r="AF1950" s="19"/>
      <c r="AG1950" s="19"/>
      <c r="AH1950" s="19"/>
      <c r="AI1950" s="19"/>
      <c r="AJ1950" s="19"/>
      <c r="AK1950" s="19"/>
    </row>
    <row r="1951" spans="1:37" ht="15.45" customHeight="1" x14ac:dyDescent="0.25">
      <c r="A1951" s="156" t="s">
        <v>511</v>
      </c>
      <c r="B1951" s="28"/>
      <c r="C1951" s="37" t="s">
        <v>756</v>
      </c>
      <c r="E1951" s="37" t="s">
        <v>2830</v>
      </c>
      <c r="F1951" s="24" t="s">
        <v>1095</v>
      </c>
      <c r="H1951" s="168"/>
      <c r="I1951" s="167"/>
      <c r="J1951" s="214" t="s">
        <v>3690</v>
      </c>
      <c r="K1951" s="10" t="s">
        <v>3685</v>
      </c>
      <c r="N1951" s="37" t="s">
        <v>3771</v>
      </c>
      <c r="P1951" s="37" t="s">
        <v>283</v>
      </c>
      <c r="S1951" s="37"/>
      <c r="T1951" s="37"/>
      <c r="U1951" s="22">
        <v>3</v>
      </c>
      <c r="V1951" s="22">
        <v>3</v>
      </c>
      <c r="W1951" s="73">
        <f t="shared" si="93"/>
        <v>334</v>
      </c>
      <c r="X1951" s="80">
        <f t="shared" si="92"/>
        <v>3152</v>
      </c>
      <c r="Y1951" s="82" t="s">
        <v>3584</v>
      </c>
      <c r="AF1951" s="19"/>
      <c r="AG1951" s="19"/>
      <c r="AH1951" s="19"/>
      <c r="AI1951" s="19"/>
      <c r="AJ1951" s="19"/>
      <c r="AK1951" s="19"/>
    </row>
    <row r="1952" spans="1:37" ht="15.45" customHeight="1" x14ac:dyDescent="0.25">
      <c r="A1952" s="156" t="s">
        <v>1011</v>
      </c>
      <c r="B1952" s="28"/>
      <c r="C1952" s="37" t="s">
        <v>756</v>
      </c>
      <c r="E1952" s="37" t="s">
        <v>2830</v>
      </c>
      <c r="F1952" s="24" t="s">
        <v>1095</v>
      </c>
      <c r="H1952" s="168"/>
      <c r="I1952" s="167"/>
      <c r="J1952" s="214" t="s">
        <v>3690</v>
      </c>
      <c r="K1952" s="10" t="s">
        <v>3685</v>
      </c>
      <c r="N1952" s="37" t="s">
        <v>3771</v>
      </c>
      <c r="P1952" s="37" t="s">
        <v>25</v>
      </c>
      <c r="S1952" s="37"/>
      <c r="T1952" s="37"/>
      <c r="U1952" s="22">
        <v>1</v>
      </c>
      <c r="V1952" s="22">
        <v>1</v>
      </c>
      <c r="W1952" s="73">
        <f t="shared" si="93"/>
        <v>335</v>
      </c>
      <c r="X1952" s="80">
        <f t="shared" si="92"/>
        <v>3153</v>
      </c>
      <c r="Y1952" s="82" t="s">
        <v>3584</v>
      </c>
      <c r="AF1952" s="19"/>
      <c r="AG1952" s="19"/>
      <c r="AH1952" s="19"/>
      <c r="AI1952" s="19"/>
      <c r="AJ1952" s="19"/>
      <c r="AK1952" s="19"/>
    </row>
    <row r="1953" spans="1:37" ht="15.45" customHeight="1" x14ac:dyDescent="0.25">
      <c r="A1953" s="156" t="s">
        <v>904</v>
      </c>
      <c r="B1953" s="28"/>
      <c r="C1953" s="37" t="s">
        <v>756</v>
      </c>
      <c r="E1953" s="37" t="s">
        <v>2830</v>
      </c>
      <c r="F1953" s="24" t="s">
        <v>1095</v>
      </c>
      <c r="H1953" s="168"/>
      <c r="I1953" s="167"/>
      <c r="J1953" s="214" t="s">
        <v>3690</v>
      </c>
      <c r="K1953" s="10" t="s">
        <v>3685</v>
      </c>
      <c r="N1953" s="37" t="s">
        <v>3771</v>
      </c>
      <c r="P1953" s="37" t="s">
        <v>387</v>
      </c>
      <c r="S1953" s="37"/>
      <c r="T1953" s="37"/>
      <c r="U1953" s="22">
        <v>1</v>
      </c>
      <c r="V1953" s="22">
        <v>1</v>
      </c>
      <c r="W1953" s="73">
        <f t="shared" si="93"/>
        <v>336</v>
      </c>
      <c r="X1953" s="80">
        <f t="shared" si="92"/>
        <v>3154</v>
      </c>
      <c r="Y1953" s="82" t="s">
        <v>3584</v>
      </c>
      <c r="AF1953" s="19"/>
      <c r="AG1953" s="19"/>
      <c r="AH1953" s="19"/>
      <c r="AI1953" s="19"/>
      <c r="AJ1953" s="19"/>
      <c r="AK1953" s="19"/>
    </row>
    <row r="1954" spans="1:37" ht="15.45" customHeight="1" x14ac:dyDescent="0.25">
      <c r="A1954" s="156" t="s">
        <v>5979</v>
      </c>
      <c r="B1954" s="28" t="s">
        <v>5868</v>
      </c>
      <c r="C1954" s="37" t="s">
        <v>756</v>
      </c>
      <c r="E1954" s="37" t="s">
        <v>2830</v>
      </c>
      <c r="F1954" s="24" t="s">
        <v>1095</v>
      </c>
      <c r="H1954" s="201" t="s">
        <v>5867</v>
      </c>
      <c r="I1954" s="167"/>
      <c r="J1954" s="214" t="s">
        <v>5684</v>
      </c>
      <c r="O1954" s="37" t="s">
        <v>1563</v>
      </c>
      <c r="Q1954" s="37" t="s">
        <v>3506</v>
      </c>
      <c r="S1954" s="37" t="s">
        <v>3412</v>
      </c>
      <c r="T1954" s="37"/>
      <c r="U1954" s="22">
        <v>2</v>
      </c>
      <c r="V1954" s="22">
        <v>2</v>
      </c>
      <c r="W1954" s="73">
        <f t="shared" si="93"/>
        <v>338</v>
      </c>
      <c r="X1954" s="80">
        <f t="shared" si="92"/>
        <v>3156</v>
      </c>
      <c r="Y1954" s="82" t="s">
        <v>3591</v>
      </c>
      <c r="Z1954" s="24" t="s">
        <v>2885</v>
      </c>
      <c r="AB1954" s="177">
        <v>44398</v>
      </c>
      <c r="AC1954" s="84" t="s">
        <v>5308</v>
      </c>
      <c r="AF1954" s="19"/>
      <c r="AG1954" s="19"/>
      <c r="AH1954" s="19"/>
      <c r="AI1954" s="19"/>
      <c r="AJ1954" s="19"/>
      <c r="AK1954" s="19"/>
    </row>
    <row r="1955" spans="1:37" ht="15.45" customHeight="1" x14ac:dyDescent="0.25">
      <c r="A1955" s="156" t="s">
        <v>844</v>
      </c>
      <c r="B1955" s="28"/>
      <c r="C1955" s="37" t="s">
        <v>756</v>
      </c>
      <c r="E1955" s="37" t="s">
        <v>2830</v>
      </c>
      <c r="F1955" s="24" t="s">
        <v>1095</v>
      </c>
      <c r="H1955" s="168"/>
      <c r="I1955" s="167"/>
      <c r="J1955" s="214" t="s">
        <v>3690</v>
      </c>
      <c r="K1955" s="10" t="s">
        <v>3685</v>
      </c>
      <c r="N1955" s="37" t="s">
        <v>3771</v>
      </c>
      <c r="P1955" s="37" t="s">
        <v>293</v>
      </c>
      <c r="S1955" s="37"/>
      <c r="T1955" s="37"/>
      <c r="U1955" s="22">
        <v>3</v>
      </c>
      <c r="V1955" s="22">
        <v>3</v>
      </c>
      <c r="W1955" s="73">
        <f t="shared" si="93"/>
        <v>341</v>
      </c>
      <c r="X1955" s="80">
        <f t="shared" si="92"/>
        <v>3159</v>
      </c>
      <c r="Y1955" s="82" t="s">
        <v>3584</v>
      </c>
      <c r="AF1955" s="19"/>
      <c r="AG1955" s="19"/>
      <c r="AH1955" s="19"/>
      <c r="AI1955" s="19"/>
      <c r="AJ1955" s="19"/>
      <c r="AK1955" s="19"/>
    </row>
    <row r="1956" spans="1:37" ht="15.45" customHeight="1" x14ac:dyDescent="0.25">
      <c r="A1956" s="156" t="s">
        <v>905</v>
      </c>
      <c r="B1956" s="28"/>
      <c r="C1956" s="37" t="s">
        <v>756</v>
      </c>
      <c r="E1956" s="37" t="s">
        <v>2830</v>
      </c>
      <c r="F1956" s="24" t="s">
        <v>1095</v>
      </c>
      <c r="H1956" s="168"/>
      <c r="I1956" s="167"/>
      <c r="J1956" s="214" t="s">
        <v>3690</v>
      </c>
      <c r="K1956" s="10" t="s">
        <v>3685</v>
      </c>
      <c r="N1956" s="37" t="s">
        <v>3771</v>
      </c>
      <c r="P1956" s="37" t="s">
        <v>359</v>
      </c>
      <c r="S1956" s="37"/>
      <c r="T1956" s="37"/>
      <c r="U1956" s="22">
        <v>1</v>
      </c>
      <c r="V1956" s="22">
        <v>1</v>
      </c>
      <c r="W1956" s="73">
        <f t="shared" si="93"/>
        <v>342</v>
      </c>
      <c r="X1956" s="80">
        <f t="shared" si="92"/>
        <v>3160</v>
      </c>
      <c r="Y1956" s="82" t="s">
        <v>3584</v>
      </c>
      <c r="AF1956" s="19"/>
      <c r="AG1956" s="19"/>
      <c r="AH1956" s="19"/>
      <c r="AI1956" s="19"/>
      <c r="AJ1956" s="19"/>
      <c r="AK1956" s="19"/>
    </row>
    <row r="1957" spans="1:37" ht="15.45" customHeight="1" x14ac:dyDescent="0.25">
      <c r="A1957" s="156" t="s">
        <v>913</v>
      </c>
      <c r="B1957" s="28"/>
      <c r="C1957" s="37" t="s">
        <v>756</v>
      </c>
      <c r="E1957" s="37" t="s">
        <v>2830</v>
      </c>
      <c r="F1957" s="24" t="s">
        <v>1095</v>
      </c>
      <c r="H1957" s="168"/>
      <c r="I1957" s="167"/>
      <c r="J1957" s="214" t="s">
        <v>3690</v>
      </c>
      <c r="K1957" s="10" t="s">
        <v>3685</v>
      </c>
      <c r="N1957" s="37" t="s">
        <v>3771</v>
      </c>
      <c r="P1957" s="37" t="s">
        <v>388</v>
      </c>
      <c r="S1957" s="37"/>
      <c r="T1957" s="37"/>
      <c r="U1957" s="22">
        <v>2</v>
      </c>
      <c r="V1957" s="22">
        <v>2</v>
      </c>
      <c r="W1957" s="73">
        <f t="shared" si="93"/>
        <v>344</v>
      </c>
      <c r="X1957" s="80">
        <f t="shared" si="92"/>
        <v>3162</v>
      </c>
      <c r="Y1957" s="82" t="s">
        <v>3584</v>
      </c>
      <c r="AF1957" s="19"/>
      <c r="AG1957" s="19"/>
      <c r="AH1957" s="19"/>
      <c r="AI1957" s="19"/>
      <c r="AJ1957" s="19"/>
      <c r="AK1957" s="19"/>
    </row>
    <row r="1958" spans="1:37" ht="15.45" customHeight="1" x14ac:dyDescent="0.25">
      <c r="A1958" s="156" t="s">
        <v>1101</v>
      </c>
      <c r="B1958" s="28"/>
      <c r="C1958" s="37" t="s">
        <v>756</v>
      </c>
      <c r="E1958" s="37" t="s">
        <v>2830</v>
      </c>
      <c r="F1958" s="24" t="s">
        <v>1095</v>
      </c>
      <c r="H1958" s="168"/>
      <c r="I1958" s="167"/>
      <c r="J1958" s="214" t="s">
        <v>3690</v>
      </c>
      <c r="K1958" s="10" t="s">
        <v>3685</v>
      </c>
      <c r="N1958" s="37" t="s">
        <v>3771</v>
      </c>
      <c r="P1958" s="37" t="s">
        <v>272</v>
      </c>
      <c r="S1958" s="37"/>
      <c r="T1958" s="37"/>
      <c r="U1958" s="22">
        <v>1</v>
      </c>
      <c r="V1958" s="22">
        <v>1</v>
      </c>
      <c r="W1958" s="73">
        <f t="shared" si="93"/>
        <v>345</v>
      </c>
      <c r="X1958" s="80">
        <f t="shared" si="92"/>
        <v>3163</v>
      </c>
      <c r="Y1958" s="82" t="s">
        <v>3584</v>
      </c>
      <c r="AF1958" s="19"/>
      <c r="AG1958" s="19"/>
      <c r="AH1958" s="19"/>
      <c r="AI1958" s="19"/>
      <c r="AJ1958" s="19"/>
      <c r="AK1958" s="19"/>
    </row>
    <row r="1959" spans="1:37" ht="15.45" customHeight="1" x14ac:dyDescent="0.25">
      <c r="A1959" s="156" t="s">
        <v>841</v>
      </c>
      <c r="B1959" s="28"/>
      <c r="C1959" s="37" t="s">
        <v>756</v>
      </c>
      <c r="E1959" s="37" t="s">
        <v>2830</v>
      </c>
      <c r="F1959" s="24" t="s">
        <v>1095</v>
      </c>
      <c r="H1959" s="168"/>
      <c r="I1959" s="167"/>
      <c r="J1959" s="214" t="s">
        <v>3690</v>
      </c>
      <c r="K1959" s="10" t="s">
        <v>3685</v>
      </c>
      <c r="N1959" s="37" t="s">
        <v>3771</v>
      </c>
      <c r="P1959" s="37" t="s">
        <v>360</v>
      </c>
      <c r="S1959" s="37"/>
      <c r="T1959" s="37"/>
      <c r="U1959" s="22">
        <v>1</v>
      </c>
      <c r="V1959" s="22">
        <v>1</v>
      </c>
      <c r="W1959" s="73">
        <f t="shared" si="93"/>
        <v>346</v>
      </c>
      <c r="X1959" s="80">
        <f t="shared" si="92"/>
        <v>3164</v>
      </c>
      <c r="Y1959" s="82" t="s">
        <v>3584</v>
      </c>
      <c r="AF1959" s="19"/>
      <c r="AG1959" s="19"/>
      <c r="AH1959" s="19"/>
      <c r="AI1959" s="19"/>
      <c r="AJ1959" s="19"/>
      <c r="AK1959" s="19"/>
    </row>
    <row r="1960" spans="1:37" ht="15.45" customHeight="1" x14ac:dyDescent="0.25">
      <c r="A1960" s="156" t="s">
        <v>848</v>
      </c>
      <c r="B1960" s="28"/>
      <c r="C1960" s="37" t="s">
        <v>756</v>
      </c>
      <c r="E1960" s="37" t="s">
        <v>2830</v>
      </c>
      <c r="F1960" s="24" t="s">
        <v>1095</v>
      </c>
      <c r="H1960" s="168"/>
      <c r="I1960" s="167"/>
      <c r="J1960" s="214" t="s">
        <v>3690</v>
      </c>
      <c r="K1960" s="10" t="s">
        <v>3685</v>
      </c>
      <c r="N1960" s="37" t="s">
        <v>3771</v>
      </c>
      <c r="P1960" s="37" t="s">
        <v>360</v>
      </c>
      <c r="S1960" s="37"/>
      <c r="T1960" s="37"/>
      <c r="U1960" s="22">
        <v>2</v>
      </c>
      <c r="V1960" s="22">
        <v>2</v>
      </c>
      <c r="W1960" s="73">
        <f t="shared" si="93"/>
        <v>348</v>
      </c>
      <c r="X1960" s="80">
        <f t="shared" si="92"/>
        <v>3166</v>
      </c>
      <c r="Y1960" s="82" t="s">
        <v>3584</v>
      </c>
      <c r="AF1960" s="19"/>
      <c r="AG1960" s="19"/>
      <c r="AH1960" s="19"/>
      <c r="AI1960" s="19"/>
      <c r="AJ1960" s="19"/>
      <c r="AK1960" s="19"/>
    </row>
    <row r="1961" spans="1:37" ht="15.45" customHeight="1" x14ac:dyDescent="0.25">
      <c r="A1961" s="156" t="s">
        <v>836</v>
      </c>
      <c r="B1961" s="28"/>
      <c r="C1961" s="37" t="s">
        <v>756</v>
      </c>
      <c r="E1961" s="37" t="s">
        <v>2830</v>
      </c>
      <c r="F1961" s="24" t="s">
        <v>1095</v>
      </c>
      <c r="H1961" s="168"/>
      <c r="I1961" s="167"/>
      <c r="J1961" s="214" t="s">
        <v>3690</v>
      </c>
      <c r="K1961" s="10" t="s">
        <v>3685</v>
      </c>
      <c r="N1961" s="37" t="s">
        <v>3771</v>
      </c>
      <c r="P1961" s="37" t="s">
        <v>273</v>
      </c>
      <c r="S1961" s="37"/>
      <c r="T1961" s="37"/>
      <c r="U1961" s="22">
        <v>2</v>
      </c>
      <c r="V1961" s="22">
        <v>2</v>
      </c>
      <c r="W1961" s="73">
        <f t="shared" si="93"/>
        <v>350</v>
      </c>
      <c r="X1961" s="80">
        <f t="shared" si="92"/>
        <v>3168</v>
      </c>
      <c r="Y1961" s="82" t="s">
        <v>3584</v>
      </c>
      <c r="AF1961" s="19"/>
      <c r="AG1961" s="19"/>
      <c r="AH1961" s="19"/>
      <c r="AI1961" s="19"/>
      <c r="AJ1961" s="19"/>
      <c r="AK1961" s="19"/>
    </row>
    <row r="1962" spans="1:37" ht="15.45" customHeight="1" x14ac:dyDescent="0.25">
      <c r="A1962" s="156" t="s">
        <v>999</v>
      </c>
      <c r="B1962" s="28"/>
      <c r="C1962" s="37" t="s">
        <v>756</v>
      </c>
      <c r="E1962" s="37" t="s">
        <v>2830</v>
      </c>
      <c r="F1962" s="24" t="s">
        <v>1095</v>
      </c>
      <c r="H1962" s="168"/>
      <c r="I1962" s="167"/>
      <c r="J1962" s="214" t="s">
        <v>3690</v>
      </c>
      <c r="K1962" s="10" t="s">
        <v>3685</v>
      </c>
      <c r="N1962" s="37" t="s">
        <v>3771</v>
      </c>
      <c r="P1962" s="37" t="s">
        <v>389</v>
      </c>
      <c r="S1962" s="37"/>
      <c r="T1962" s="37"/>
      <c r="U1962" s="22">
        <v>2</v>
      </c>
      <c r="V1962" s="22">
        <v>2</v>
      </c>
      <c r="W1962" s="73">
        <f t="shared" si="93"/>
        <v>352</v>
      </c>
      <c r="X1962" s="80">
        <f t="shared" si="92"/>
        <v>3170</v>
      </c>
      <c r="Y1962" s="82" t="s">
        <v>3584</v>
      </c>
      <c r="AF1962" s="19"/>
      <c r="AG1962" s="19"/>
      <c r="AH1962" s="19"/>
      <c r="AI1962" s="19"/>
      <c r="AJ1962" s="19"/>
      <c r="AK1962" s="19"/>
    </row>
    <row r="1963" spans="1:37" ht="15.45" customHeight="1" x14ac:dyDescent="0.25">
      <c r="A1963" s="156" t="s">
        <v>791</v>
      </c>
      <c r="B1963" s="28"/>
      <c r="C1963" s="37" t="s">
        <v>756</v>
      </c>
      <c r="E1963" s="37" t="s">
        <v>2830</v>
      </c>
      <c r="F1963" s="24" t="s">
        <v>1095</v>
      </c>
      <c r="H1963" s="168"/>
      <c r="I1963" s="167"/>
      <c r="J1963" s="214" t="s">
        <v>3690</v>
      </c>
      <c r="K1963" s="10" t="s">
        <v>3685</v>
      </c>
      <c r="N1963" s="37" t="s">
        <v>3771</v>
      </c>
      <c r="P1963" s="37" t="s">
        <v>390</v>
      </c>
      <c r="S1963" s="37"/>
      <c r="T1963" s="37"/>
      <c r="U1963" s="22">
        <v>1</v>
      </c>
      <c r="V1963" s="22">
        <v>1</v>
      </c>
      <c r="W1963" s="73">
        <f t="shared" si="93"/>
        <v>353</v>
      </c>
      <c r="X1963" s="80">
        <f t="shared" si="92"/>
        <v>3171</v>
      </c>
      <c r="Y1963" s="82" t="s">
        <v>3584</v>
      </c>
      <c r="AF1963" s="19"/>
      <c r="AG1963" s="19"/>
      <c r="AH1963" s="19"/>
      <c r="AI1963" s="19"/>
      <c r="AJ1963" s="19"/>
      <c r="AK1963" s="19"/>
    </row>
    <row r="1964" spans="1:37" ht="15.45" customHeight="1" x14ac:dyDescent="0.25">
      <c r="A1964" s="156" t="s">
        <v>502</v>
      </c>
      <c r="B1964" s="28"/>
      <c r="C1964" s="37" t="s">
        <v>756</v>
      </c>
      <c r="E1964" s="37" t="s">
        <v>2830</v>
      </c>
      <c r="F1964" s="24" t="s">
        <v>1095</v>
      </c>
      <c r="H1964" s="168"/>
      <c r="I1964" s="167"/>
      <c r="J1964" s="214" t="s">
        <v>3690</v>
      </c>
      <c r="K1964" s="10" t="s">
        <v>3685</v>
      </c>
      <c r="N1964" s="37" t="s">
        <v>3771</v>
      </c>
      <c r="P1964" s="37" t="s">
        <v>390</v>
      </c>
      <c r="S1964" s="37"/>
      <c r="T1964" s="37"/>
      <c r="U1964" s="22">
        <v>1</v>
      </c>
      <c r="V1964" s="22">
        <v>1</v>
      </c>
      <c r="W1964" s="73">
        <f t="shared" si="93"/>
        <v>354</v>
      </c>
      <c r="X1964" s="80">
        <f t="shared" si="92"/>
        <v>3172</v>
      </c>
      <c r="Y1964" s="82" t="s">
        <v>3584</v>
      </c>
      <c r="AF1964" s="19"/>
      <c r="AG1964" s="19"/>
      <c r="AH1964" s="19"/>
      <c r="AI1964" s="19"/>
      <c r="AJ1964" s="19"/>
      <c r="AK1964" s="19"/>
    </row>
    <row r="1965" spans="1:37" ht="15.45" customHeight="1" x14ac:dyDescent="0.25">
      <c r="A1965" s="156" t="s">
        <v>811</v>
      </c>
      <c r="B1965" s="28"/>
      <c r="C1965" s="37" t="s">
        <v>756</v>
      </c>
      <c r="E1965" s="37" t="s">
        <v>2830</v>
      </c>
      <c r="F1965" s="24" t="s">
        <v>1095</v>
      </c>
      <c r="H1965" s="168"/>
      <c r="I1965" s="167"/>
      <c r="J1965" s="214" t="s">
        <v>3690</v>
      </c>
      <c r="K1965" s="10" t="s">
        <v>3685</v>
      </c>
      <c r="N1965" s="37" t="s">
        <v>3771</v>
      </c>
      <c r="P1965" s="37" t="s">
        <v>74</v>
      </c>
      <c r="S1965" s="37"/>
      <c r="T1965" s="37"/>
      <c r="U1965" s="22">
        <v>2</v>
      </c>
      <c r="V1965" s="22">
        <v>2</v>
      </c>
      <c r="W1965" s="73">
        <f t="shared" si="93"/>
        <v>356</v>
      </c>
      <c r="X1965" s="80">
        <f t="shared" si="92"/>
        <v>3174</v>
      </c>
      <c r="Y1965" s="82" t="s">
        <v>3584</v>
      </c>
      <c r="AF1965" s="19"/>
      <c r="AG1965" s="19"/>
      <c r="AH1965" s="19"/>
      <c r="AI1965" s="19"/>
      <c r="AJ1965" s="19"/>
      <c r="AK1965" s="19"/>
    </row>
    <row r="1966" spans="1:37" ht="15.45" customHeight="1" x14ac:dyDescent="0.25">
      <c r="A1966" s="156" t="s">
        <v>638</v>
      </c>
      <c r="B1966" s="28"/>
      <c r="C1966" s="37" t="s">
        <v>756</v>
      </c>
      <c r="E1966" s="37" t="s">
        <v>2830</v>
      </c>
      <c r="F1966" s="24" t="s">
        <v>1095</v>
      </c>
      <c r="H1966" s="168"/>
      <c r="I1966" s="167"/>
      <c r="J1966" s="214" t="s">
        <v>3690</v>
      </c>
      <c r="K1966" s="10" t="s">
        <v>3685</v>
      </c>
      <c r="N1966" s="37" t="s">
        <v>3771</v>
      </c>
      <c r="P1966" s="37" t="s">
        <v>391</v>
      </c>
      <c r="Q1966" s="37" t="s">
        <v>1998</v>
      </c>
      <c r="S1966" s="37"/>
      <c r="T1966" s="37"/>
      <c r="U1966" s="22">
        <v>2</v>
      </c>
      <c r="V1966" s="22">
        <v>2</v>
      </c>
      <c r="W1966" s="73">
        <f t="shared" si="93"/>
        <v>358</v>
      </c>
      <c r="X1966" s="80">
        <f t="shared" si="92"/>
        <v>3176</v>
      </c>
      <c r="Y1966" s="82" t="s">
        <v>3584</v>
      </c>
      <c r="AF1966" s="19"/>
      <c r="AG1966" s="19"/>
      <c r="AH1966" s="19"/>
      <c r="AI1966" s="19"/>
      <c r="AJ1966" s="19"/>
      <c r="AK1966" s="19"/>
    </row>
    <row r="1967" spans="1:37" ht="15.45" customHeight="1" x14ac:dyDescent="0.25">
      <c r="A1967" s="156" t="s">
        <v>805</v>
      </c>
      <c r="B1967" s="28"/>
      <c r="C1967" s="37" t="s">
        <v>756</v>
      </c>
      <c r="E1967" s="37" t="s">
        <v>2830</v>
      </c>
      <c r="F1967" s="24" t="s">
        <v>1095</v>
      </c>
      <c r="H1967" s="168"/>
      <c r="I1967" s="167"/>
      <c r="J1967" s="214" t="s">
        <v>3690</v>
      </c>
      <c r="K1967" s="10" t="s">
        <v>3685</v>
      </c>
      <c r="N1967" s="37" t="s">
        <v>3771</v>
      </c>
      <c r="P1967" s="37" t="s">
        <v>281</v>
      </c>
      <c r="S1967" s="37"/>
      <c r="T1967" s="37"/>
      <c r="U1967" s="22">
        <v>1</v>
      </c>
      <c r="V1967" s="22">
        <v>1</v>
      </c>
      <c r="W1967" s="73">
        <f t="shared" si="93"/>
        <v>359</v>
      </c>
      <c r="X1967" s="80">
        <f t="shared" si="92"/>
        <v>3177</v>
      </c>
      <c r="Y1967" s="82" t="s">
        <v>3584</v>
      </c>
      <c r="AF1967" s="19"/>
      <c r="AG1967" s="19"/>
      <c r="AH1967" s="19"/>
      <c r="AI1967" s="19"/>
      <c r="AJ1967" s="19"/>
      <c r="AK1967" s="19"/>
    </row>
    <row r="1968" spans="1:37" ht="15.45" customHeight="1" x14ac:dyDescent="0.25">
      <c r="A1968" s="156" t="s">
        <v>1027</v>
      </c>
      <c r="B1968" s="28"/>
      <c r="C1968" s="37" t="s">
        <v>756</v>
      </c>
      <c r="E1968" s="37" t="s">
        <v>2830</v>
      </c>
      <c r="F1968" s="24" t="s">
        <v>1095</v>
      </c>
      <c r="H1968" s="168"/>
      <c r="I1968" s="167"/>
      <c r="J1968" s="214" t="s">
        <v>3690</v>
      </c>
      <c r="K1968" s="10" t="s">
        <v>3685</v>
      </c>
      <c r="N1968" s="37" t="s">
        <v>3771</v>
      </c>
      <c r="P1968" s="37" t="s">
        <v>281</v>
      </c>
      <c r="S1968" s="37"/>
      <c r="T1968" s="37"/>
      <c r="U1968" s="22">
        <v>3</v>
      </c>
      <c r="V1968" s="22">
        <v>3</v>
      </c>
      <c r="W1968" s="73">
        <f t="shared" si="93"/>
        <v>362</v>
      </c>
      <c r="X1968" s="80">
        <f t="shared" si="92"/>
        <v>3180</v>
      </c>
      <c r="Y1968" s="82" t="s">
        <v>3584</v>
      </c>
      <c r="AF1968" s="19"/>
      <c r="AG1968" s="19"/>
      <c r="AH1968" s="19"/>
      <c r="AI1968" s="19"/>
      <c r="AJ1968" s="19"/>
      <c r="AK1968" s="19"/>
    </row>
    <row r="1969" spans="1:37" ht="15.45" customHeight="1" x14ac:dyDescent="0.25">
      <c r="A1969" s="156" t="s">
        <v>794</v>
      </c>
      <c r="B1969" s="28"/>
      <c r="C1969" s="37" t="s">
        <v>756</v>
      </c>
      <c r="E1969" s="37" t="s">
        <v>2830</v>
      </c>
      <c r="F1969" s="24" t="s">
        <v>1095</v>
      </c>
      <c r="H1969" s="168"/>
      <c r="I1969" s="167"/>
      <c r="J1969" s="214" t="s">
        <v>3690</v>
      </c>
      <c r="K1969" s="10" t="s">
        <v>3685</v>
      </c>
      <c r="N1969" s="37" t="s">
        <v>3771</v>
      </c>
      <c r="P1969" s="37" t="s">
        <v>282</v>
      </c>
      <c r="S1969" s="37"/>
      <c r="T1969" s="37"/>
      <c r="U1969" s="22">
        <v>5</v>
      </c>
      <c r="V1969" s="22">
        <v>5</v>
      </c>
      <c r="W1969" s="73">
        <f t="shared" si="93"/>
        <v>367</v>
      </c>
      <c r="X1969" s="80">
        <f t="shared" si="92"/>
        <v>3185</v>
      </c>
      <c r="Y1969" s="82" t="s">
        <v>3584</v>
      </c>
      <c r="AF1969" s="19"/>
      <c r="AG1969" s="19"/>
      <c r="AH1969" s="19"/>
      <c r="AI1969" s="19"/>
      <c r="AJ1969" s="19"/>
      <c r="AK1969" s="19"/>
    </row>
    <row r="1970" spans="1:37" ht="15.45" customHeight="1" x14ac:dyDescent="0.25">
      <c r="A1970" s="156" t="s">
        <v>937</v>
      </c>
      <c r="B1970" s="28"/>
      <c r="C1970" s="37" t="s">
        <v>756</v>
      </c>
      <c r="E1970" s="37" t="s">
        <v>2830</v>
      </c>
      <c r="F1970" s="24" t="s">
        <v>1095</v>
      </c>
      <c r="H1970" s="168"/>
      <c r="I1970" s="167"/>
      <c r="J1970" s="214" t="s">
        <v>3690</v>
      </c>
      <c r="K1970" s="10" t="s">
        <v>3685</v>
      </c>
      <c r="N1970" s="37" t="s">
        <v>3771</v>
      </c>
      <c r="P1970" s="37" t="s">
        <v>75</v>
      </c>
      <c r="S1970" s="37"/>
      <c r="T1970" s="37"/>
      <c r="U1970" s="22">
        <v>3</v>
      </c>
      <c r="V1970" s="22">
        <v>3</v>
      </c>
      <c r="W1970" s="73">
        <f t="shared" si="93"/>
        <v>370</v>
      </c>
      <c r="X1970" s="80">
        <f t="shared" si="92"/>
        <v>3188</v>
      </c>
      <c r="Y1970" s="82" t="s">
        <v>3584</v>
      </c>
      <c r="AF1970" s="19"/>
      <c r="AG1970" s="19"/>
      <c r="AH1970" s="19"/>
      <c r="AI1970" s="19"/>
      <c r="AJ1970" s="19"/>
      <c r="AK1970" s="19"/>
    </row>
    <row r="1971" spans="1:37" ht="15.45" customHeight="1" x14ac:dyDescent="0.25">
      <c r="A1971" s="156" t="s">
        <v>1132</v>
      </c>
      <c r="B1971" s="28"/>
      <c r="C1971" s="37" t="s">
        <v>756</v>
      </c>
      <c r="E1971" s="37" t="s">
        <v>2830</v>
      </c>
      <c r="F1971" s="24" t="s">
        <v>1095</v>
      </c>
      <c r="H1971" s="168"/>
      <c r="I1971" s="167"/>
      <c r="J1971" s="214" t="s">
        <v>3690</v>
      </c>
      <c r="K1971" s="10" t="s">
        <v>3685</v>
      </c>
      <c r="N1971" s="37" t="s">
        <v>3771</v>
      </c>
      <c r="P1971" s="37" t="s">
        <v>175</v>
      </c>
      <c r="S1971" s="37"/>
      <c r="T1971" s="37"/>
      <c r="U1971" s="22">
        <v>3</v>
      </c>
      <c r="V1971" s="22">
        <v>3</v>
      </c>
      <c r="W1971" s="73">
        <f t="shared" si="93"/>
        <v>373</v>
      </c>
      <c r="X1971" s="80">
        <f t="shared" si="92"/>
        <v>3191</v>
      </c>
      <c r="Y1971" s="82" t="s">
        <v>3584</v>
      </c>
      <c r="AF1971" s="19"/>
      <c r="AG1971" s="19"/>
      <c r="AH1971" s="19"/>
      <c r="AI1971" s="19"/>
      <c r="AJ1971" s="19"/>
      <c r="AK1971" s="19"/>
    </row>
    <row r="1972" spans="1:37" ht="15.45" customHeight="1" x14ac:dyDescent="0.25">
      <c r="A1972" s="156" t="s">
        <v>3365</v>
      </c>
      <c r="B1972" s="28"/>
      <c r="C1972" s="37" t="s">
        <v>756</v>
      </c>
      <c r="E1972" s="37" t="s">
        <v>2830</v>
      </c>
      <c r="F1972" s="24" t="s">
        <v>1095</v>
      </c>
      <c r="H1972" s="168"/>
      <c r="I1972" s="167"/>
      <c r="J1972" s="214" t="s">
        <v>3690</v>
      </c>
      <c r="K1972" s="10" t="s">
        <v>3685</v>
      </c>
      <c r="N1972" s="37" t="s">
        <v>3772</v>
      </c>
      <c r="S1972" s="37"/>
      <c r="T1972" s="37"/>
      <c r="U1972" s="22">
        <v>2</v>
      </c>
      <c r="V1972" s="22">
        <v>2</v>
      </c>
      <c r="W1972" s="73">
        <f t="shared" si="93"/>
        <v>375</v>
      </c>
      <c r="X1972" s="80">
        <f t="shared" si="92"/>
        <v>3193</v>
      </c>
      <c r="Y1972" s="82" t="s">
        <v>3584</v>
      </c>
      <c r="AF1972" s="19"/>
      <c r="AG1972" s="19"/>
      <c r="AH1972" s="19"/>
      <c r="AI1972" s="19"/>
      <c r="AJ1972" s="19"/>
      <c r="AK1972" s="19"/>
    </row>
    <row r="1973" spans="1:37" ht="15.45" customHeight="1" x14ac:dyDescent="0.25">
      <c r="A1973" s="156" t="s">
        <v>931</v>
      </c>
      <c r="B1973" s="24" t="s">
        <v>4500</v>
      </c>
      <c r="C1973" s="37" t="s">
        <v>756</v>
      </c>
      <c r="E1973" s="37" t="s">
        <v>2830</v>
      </c>
      <c r="F1973" s="24" t="s">
        <v>490</v>
      </c>
      <c r="H1973" s="168"/>
      <c r="I1973" s="167"/>
      <c r="J1973" s="214" t="s">
        <v>3690</v>
      </c>
      <c r="K1973" s="10" t="s">
        <v>3685</v>
      </c>
      <c r="N1973" s="37" t="s">
        <v>3771</v>
      </c>
      <c r="P1973" s="37" t="s">
        <v>3773</v>
      </c>
      <c r="Q1973" s="37" t="s">
        <v>3774</v>
      </c>
      <c r="S1973" s="37"/>
      <c r="T1973" s="37"/>
      <c r="U1973" s="22">
        <v>1</v>
      </c>
      <c r="V1973" s="22">
        <v>1</v>
      </c>
      <c r="W1973" s="73">
        <f t="shared" si="93"/>
        <v>376</v>
      </c>
      <c r="X1973" s="80">
        <f t="shared" si="92"/>
        <v>3194</v>
      </c>
      <c r="Y1973" s="82" t="s">
        <v>3584</v>
      </c>
      <c r="AF1973" s="19"/>
      <c r="AG1973" s="19"/>
      <c r="AH1973" s="19"/>
      <c r="AI1973" s="19"/>
      <c r="AJ1973" s="19"/>
      <c r="AK1973" s="19"/>
    </row>
    <row r="1974" spans="1:37" ht="15.45" customHeight="1" x14ac:dyDescent="0.25">
      <c r="A1974" s="156" t="s">
        <v>925</v>
      </c>
      <c r="B1974" s="28"/>
      <c r="C1974" s="37" t="s">
        <v>756</v>
      </c>
      <c r="E1974" s="37" t="s">
        <v>2830</v>
      </c>
      <c r="F1974" s="24" t="s">
        <v>490</v>
      </c>
      <c r="H1974" s="168"/>
      <c r="I1974" s="167"/>
      <c r="J1974" s="214" t="s">
        <v>3690</v>
      </c>
      <c r="K1974" s="10" t="s">
        <v>3685</v>
      </c>
      <c r="N1974" s="37" t="s">
        <v>3771</v>
      </c>
      <c r="P1974" s="37" t="s">
        <v>392</v>
      </c>
      <c r="S1974" s="37"/>
      <c r="T1974" s="37"/>
      <c r="U1974" s="22">
        <v>1</v>
      </c>
      <c r="V1974" s="22">
        <v>1</v>
      </c>
      <c r="W1974" s="73">
        <f t="shared" si="93"/>
        <v>377</v>
      </c>
      <c r="X1974" s="80">
        <f t="shared" si="92"/>
        <v>3195</v>
      </c>
      <c r="Y1974" s="82" t="s">
        <v>3584</v>
      </c>
      <c r="AF1974" s="19"/>
      <c r="AG1974" s="19"/>
      <c r="AH1974" s="19"/>
      <c r="AI1974" s="19"/>
      <c r="AJ1974" s="19"/>
      <c r="AK1974" s="19"/>
    </row>
    <row r="1975" spans="1:37" ht="15.45" customHeight="1" x14ac:dyDescent="0.25">
      <c r="A1975" s="156" t="s">
        <v>710</v>
      </c>
      <c r="B1975" s="28"/>
      <c r="C1975" s="37" t="s">
        <v>756</v>
      </c>
      <c r="E1975" s="37" t="s">
        <v>2830</v>
      </c>
      <c r="F1975" s="24" t="s">
        <v>490</v>
      </c>
      <c r="H1975" s="168"/>
      <c r="I1975" s="167"/>
      <c r="J1975" s="214" t="s">
        <v>3690</v>
      </c>
      <c r="K1975" s="10" t="s">
        <v>3685</v>
      </c>
      <c r="N1975" s="37" t="s">
        <v>3771</v>
      </c>
      <c r="P1975" s="37" t="s">
        <v>77</v>
      </c>
      <c r="S1975" s="37"/>
      <c r="T1975" s="37"/>
      <c r="U1975" s="22">
        <v>1</v>
      </c>
      <c r="V1975" s="22">
        <v>1</v>
      </c>
      <c r="W1975" s="73">
        <f t="shared" si="93"/>
        <v>378</v>
      </c>
      <c r="X1975" s="80">
        <f t="shared" si="92"/>
        <v>3196</v>
      </c>
      <c r="Y1975" s="82" t="s">
        <v>3584</v>
      </c>
      <c r="AF1975" s="19"/>
      <c r="AG1975" s="19"/>
      <c r="AH1975" s="19"/>
      <c r="AI1975" s="19"/>
      <c r="AJ1975" s="19"/>
      <c r="AK1975" s="19"/>
    </row>
    <row r="1976" spans="1:37" ht="15.45" customHeight="1" x14ac:dyDescent="0.25">
      <c r="A1976" s="156" t="s">
        <v>1041</v>
      </c>
      <c r="B1976" s="28"/>
      <c r="C1976" s="37" t="s">
        <v>756</v>
      </c>
      <c r="E1976" s="37" t="s">
        <v>2830</v>
      </c>
      <c r="F1976" s="24" t="s">
        <v>490</v>
      </c>
      <c r="H1976" s="168"/>
      <c r="I1976" s="167"/>
      <c r="J1976" s="214" t="s">
        <v>3690</v>
      </c>
      <c r="K1976" s="10" t="s">
        <v>3685</v>
      </c>
      <c r="N1976" s="37" t="s">
        <v>3771</v>
      </c>
      <c r="P1976" s="37" t="s">
        <v>393</v>
      </c>
      <c r="S1976" s="37"/>
      <c r="T1976" s="37"/>
      <c r="U1976" s="22">
        <v>1</v>
      </c>
      <c r="V1976" s="22">
        <v>1</v>
      </c>
      <c r="W1976" s="73">
        <f t="shared" si="93"/>
        <v>379</v>
      </c>
      <c r="X1976" s="80">
        <f t="shared" si="92"/>
        <v>3197</v>
      </c>
      <c r="Y1976" s="82" t="s">
        <v>3584</v>
      </c>
      <c r="AF1976" s="19"/>
      <c r="AG1976" s="19"/>
      <c r="AH1976" s="19"/>
      <c r="AI1976" s="19"/>
      <c r="AJ1976" s="19"/>
      <c r="AK1976" s="19"/>
    </row>
    <row r="1977" spans="1:37" ht="15.45" customHeight="1" x14ac:dyDescent="0.25">
      <c r="A1977" s="156" t="s">
        <v>1042</v>
      </c>
      <c r="B1977" s="28"/>
      <c r="C1977" s="37" t="s">
        <v>756</v>
      </c>
      <c r="E1977" s="37" t="s">
        <v>2830</v>
      </c>
      <c r="F1977" s="24" t="s">
        <v>490</v>
      </c>
      <c r="H1977" s="168"/>
      <c r="I1977" s="167"/>
      <c r="J1977" s="214" t="s">
        <v>3690</v>
      </c>
      <c r="K1977" s="10" t="s">
        <v>3685</v>
      </c>
      <c r="N1977" s="37" t="s">
        <v>3771</v>
      </c>
      <c r="P1977" s="37" t="s">
        <v>289</v>
      </c>
      <c r="S1977" s="37"/>
      <c r="T1977" s="37"/>
      <c r="U1977" s="22">
        <v>1</v>
      </c>
      <c r="V1977" s="22">
        <v>1</v>
      </c>
      <c r="W1977" s="73">
        <f t="shared" si="93"/>
        <v>380</v>
      </c>
      <c r="X1977" s="80">
        <f t="shared" si="92"/>
        <v>3198</v>
      </c>
      <c r="Y1977" s="82" t="s">
        <v>3584</v>
      </c>
      <c r="AF1977" s="19"/>
      <c r="AG1977" s="19"/>
      <c r="AH1977" s="19"/>
      <c r="AI1977" s="19"/>
      <c r="AJ1977" s="19"/>
      <c r="AK1977" s="19"/>
    </row>
    <row r="1978" spans="1:37" ht="15.45" customHeight="1" x14ac:dyDescent="0.25">
      <c r="A1978" s="156" t="s">
        <v>1043</v>
      </c>
      <c r="B1978" s="28"/>
      <c r="C1978" s="37" t="s">
        <v>756</v>
      </c>
      <c r="E1978" s="37" t="s">
        <v>2830</v>
      </c>
      <c r="F1978" s="24" t="s">
        <v>490</v>
      </c>
      <c r="H1978" s="168"/>
      <c r="I1978" s="167"/>
      <c r="J1978" s="214" t="s">
        <v>3690</v>
      </c>
      <c r="K1978" s="10" t="s">
        <v>3685</v>
      </c>
      <c r="N1978" s="37" t="s">
        <v>3771</v>
      </c>
      <c r="P1978" s="37" t="s">
        <v>283</v>
      </c>
      <c r="S1978" s="37"/>
      <c r="T1978" s="37"/>
      <c r="U1978" s="22">
        <v>1</v>
      </c>
      <c r="V1978" s="22">
        <v>1</v>
      </c>
      <c r="W1978" s="73">
        <f t="shared" si="93"/>
        <v>381</v>
      </c>
      <c r="X1978" s="80">
        <f t="shared" si="92"/>
        <v>3199</v>
      </c>
      <c r="Y1978" s="82" t="s">
        <v>3584</v>
      </c>
      <c r="AF1978" s="19"/>
      <c r="AG1978" s="19"/>
      <c r="AH1978" s="19"/>
      <c r="AI1978" s="19"/>
      <c r="AJ1978" s="19"/>
      <c r="AK1978" s="19"/>
    </row>
    <row r="1979" spans="1:37" ht="15.45" customHeight="1" x14ac:dyDescent="0.25">
      <c r="A1979" s="156" t="s">
        <v>911</v>
      </c>
      <c r="B1979" s="28"/>
      <c r="C1979" s="37" t="s">
        <v>756</v>
      </c>
      <c r="E1979" s="37" t="s">
        <v>2830</v>
      </c>
      <c r="F1979" s="24" t="s">
        <v>490</v>
      </c>
      <c r="H1979" s="168"/>
      <c r="I1979" s="167"/>
      <c r="J1979" s="214" t="s">
        <v>3690</v>
      </c>
      <c r="K1979" s="10" t="s">
        <v>3685</v>
      </c>
      <c r="N1979" s="37" t="s">
        <v>3771</v>
      </c>
      <c r="P1979" s="37" t="s">
        <v>283</v>
      </c>
      <c r="S1979" s="37"/>
      <c r="T1979" s="37"/>
      <c r="U1979" s="22">
        <v>2</v>
      </c>
      <c r="V1979" s="22">
        <v>2</v>
      </c>
      <c r="W1979" s="73">
        <f t="shared" si="93"/>
        <v>383</v>
      </c>
      <c r="X1979" s="80">
        <f t="shared" si="92"/>
        <v>3201</v>
      </c>
      <c r="Y1979" s="82" t="s">
        <v>3584</v>
      </c>
      <c r="AF1979" s="19"/>
      <c r="AG1979" s="19"/>
      <c r="AH1979" s="19"/>
      <c r="AI1979" s="19"/>
      <c r="AJ1979" s="19"/>
      <c r="AK1979" s="19"/>
    </row>
    <row r="1980" spans="1:37" ht="15.45" customHeight="1" x14ac:dyDescent="0.25">
      <c r="A1980" s="156" t="s">
        <v>1038</v>
      </c>
      <c r="B1980" s="28"/>
      <c r="C1980" s="37" t="s">
        <v>756</v>
      </c>
      <c r="E1980" s="37" t="s">
        <v>2830</v>
      </c>
      <c r="F1980" s="24" t="s">
        <v>490</v>
      </c>
      <c r="H1980" s="168"/>
      <c r="I1980" s="167"/>
      <c r="J1980" s="214" t="s">
        <v>3690</v>
      </c>
      <c r="K1980" s="10" t="s">
        <v>3685</v>
      </c>
      <c r="N1980" s="37" t="s">
        <v>3771</v>
      </c>
      <c r="P1980" s="37" t="s">
        <v>289</v>
      </c>
      <c r="S1980" s="37"/>
      <c r="T1980" s="37"/>
      <c r="U1980" s="22">
        <v>1</v>
      </c>
      <c r="V1980" s="22">
        <v>1</v>
      </c>
      <c r="W1980" s="73">
        <f t="shared" si="93"/>
        <v>384</v>
      </c>
      <c r="X1980" s="80">
        <f t="shared" si="92"/>
        <v>3202</v>
      </c>
      <c r="Y1980" s="82" t="s">
        <v>3584</v>
      </c>
      <c r="AF1980" s="19"/>
      <c r="AG1980" s="19"/>
      <c r="AH1980" s="19"/>
      <c r="AI1980" s="19"/>
      <c r="AJ1980" s="19"/>
      <c r="AK1980" s="19"/>
    </row>
    <row r="1981" spans="1:37" ht="15.45" customHeight="1" x14ac:dyDescent="0.25">
      <c r="A1981" s="156" t="s">
        <v>1138</v>
      </c>
      <c r="B1981" s="28"/>
      <c r="C1981" s="37" t="s">
        <v>756</v>
      </c>
      <c r="E1981" s="37" t="s">
        <v>2830</v>
      </c>
      <c r="F1981" s="24" t="s">
        <v>490</v>
      </c>
      <c r="H1981" s="168"/>
      <c r="I1981" s="167"/>
      <c r="J1981" s="214" t="s">
        <v>3690</v>
      </c>
      <c r="K1981" s="10" t="s">
        <v>3685</v>
      </c>
      <c r="N1981" s="37" t="s">
        <v>3771</v>
      </c>
      <c r="P1981" s="37" t="s">
        <v>293</v>
      </c>
      <c r="S1981" s="37"/>
      <c r="T1981" s="37"/>
      <c r="U1981" s="22">
        <v>1</v>
      </c>
      <c r="V1981" s="22">
        <v>1</v>
      </c>
      <c r="W1981" s="73">
        <f t="shared" si="93"/>
        <v>385</v>
      </c>
      <c r="X1981" s="80">
        <f t="shared" si="92"/>
        <v>3203</v>
      </c>
      <c r="Y1981" s="82" t="s">
        <v>3584</v>
      </c>
      <c r="AF1981" s="19"/>
      <c r="AG1981" s="19"/>
      <c r="AH1981" s="19"/>
      <c r="AI1981" s="19"/>
      <c r="AJ1981" s="19"/>
      <c r="AK1981" s="19"/>
    </row>
    <row r="1982" spans="1:37" ht="15.45" customHeight="1" x14ac:dyDescent="0.25">
      <c r="A1982" s="156" t="s">
        <v>1040</v>
      </c>
      <c r="B1982" s="28"/>
      <c r="C1982" s="37" t="s">
        <v>756</v>
      </c>
      <c r="E1982" s="37" t="s">
        <v>2830</v>
      </c>
      <c r="F1982" s="24" t="s">
        <v>490</v>
      </c>
      <c r="H1982" s="168"/>
      <c r="I1982" s="167"/>
      <c r="J1982" s="214" t="s">
        <v>3690</v>
      </c>
      <c r="K1982" s="10" t="s">
        <v>3685</v>
      </c>
      <c r="N1982" s="37" t="s">
        <v>3771</v>
      </c>
      <c r="P1982" s="37" t="s">
        <v>359</v>
      </c>
      <c r="S1982" s="37"/>
      <c r="T1982" s="37"/>
      <c r="U1982" s="22">
        <v>3</v>
      </c>
      <c r="V1982" s="22">
        <v>3</v>
      </c>
      <c r="W1982" s="73">
        <f t="shared" si="93"/>
        <v>388</v>
      </c>
      <c r="X1982" s="80">
        <f t="shared" si="92"/>
        <v>3206</v>
      </c>
      <c r="Y1982" s="82" t="s">
        <v>3584</v>
      </c>
      <c r="AF1982" s="19"/>
      <c r="AG1982" s="19"/>
      <c r="AH1982" s="19"/>
      <c r="AI1982" s="19"/>
      <c r="AJ1982" s="19"/>
      <c r="AK1982" s="19"/>
    </row>
    <row r="1983" spans="1:37" ht="15.45" customHeight="1" x14ac:dyDescent="0.25">
      <c r="A1983" s="156" t="s">
        <v>1139</v>
      </c>
      <c r="B1983" s="28"/>
      <c r="C1983" s="37" t="s">
        <v>756</v>
      </c>
      <c r="E1983" s="37" t="s">
        <v>2830</v>
      </c>
      <c r="F1983" s="24" t="s">
        <v>490</v>
      </c>
      <c r="H1983" s="168"/>
      <c r="I1983" s="167"/>
      <c r="J1983" s="214" t="s">
        <v>3690</v>
      </c>
      <c r="K1983" s="10" t="s">
        <v>3685</v>
      </c>
      <c r="N1983" s="37" t="s">
        <v>3771</v>
      </c>
      <c r="P1983" s="37" t="s">
        <v>260</v>
      </c>
      <c r="S1983" s="37"/>
      <c r="T1983" s="37"/>
      <c r="U1983" s="22">
        <v>1</v>
      </c>
      <c r="V1983" s="22">
        <v>1</v>
      </c>
      <c r="W1983" s="73">
        <f t="shared" si="93"/>
        <v>389</v>
      </c>
      <c r="X1983" s="80">
        <f t="shared" si="92"/>
        <v>3207</v>
      </c>
      <c r="Y1983" s="82" t="s">
        <v>3584</v>
      </c>
      <c r="AF1983" s="19"/>
      <c r="AG1983" s="19"/>
      <c r="AH1983" s="19"/>
      <c r="AI1983" s="19"/>
      <c r="AJ1983" s="19"/>
      <c r="AK1983" s="19"/>
    </row>
    <row r="1984" spans="1:37" ht="15.45" customHeight="1" x14ac:dyDescent="0.25">
      <c r="A1984" s="156" t="s">
        <v>1140</v>
      </c>
      <c r="B1984" s="28"/>
      <c r="C1984" s="37" t="s">
        <v>756</v>
      </c>
      <c r="E1984" s="37" t="s">
        <v>2830</v>
      </c>
      <c r="F1984" s="24" t="s">
        <v>490</v>
      </c>
      <c r="H1984" s="168"/>
      <c r="I1984" s="167"/>
      <c r="J1984" s="214" t="s">
        <v>3690</v>
      </c>
      <c r="K1984" s="10" t="s">
        <v>3685</v>
      </c>
      <c r="N1984" s="37" t="s">
        <v>3771</v>
      </c>
      <c r="P1984" s="37" t="s">
        <v>359</v>
      </c>
      <c r="S1984" s="37"/>
      <c r="T1984" s="37"/>
      <c r="U1984" s="22">
        <v>1</v>
      </c>
      <c r="V1984" s="22">
        <v>1</v>
      </c>
      <c r="W1984" s="73">
        <f t="shared" si="93"/>
        <v>390</v>
      </c>
      <c r="X1984" s="80">
        <f t="shared" si="92"/>
        <v>3208</v>
      </c>
      <c r="Y1984" s="82" t="s">
        <v>3584</v>
      </c>
      <c r="AF1984" s="19"/>
      <c r="AG1984" s="19"/>
      <c r="AH1984" s="19"/>
      <c r="AI1984" s="19"/>
      <c r="AJ1984" s="19"/>
      <c r="AK1984" s="19"/>
    </row>
    <row r="1985" spans="1:37" ht="15.45" customHeight="1" x14ac:dyDescent="0.25">
      <c r="A1985" s="156" t="s">
        <v>1141</v>
      </c>
      <c r="B1985" s="28"/>
      <c r="C1985" s="37" t="s">
        <v>756</v>
      </c>
      <c r="E1985" s="37" t="s">
        <v>2830</v>
      </c>
      <c r="F1985" s="24" t="s">
        <v>490</v>
      </c>
      <c r="H1985" s="168"/>
      <c r="I1985" s="167"/>
      <c r="J1985" s="214" t="s">
        <v>3690</v>
      </c>
      <c r="K1985" s="10" t="s">
        <v>3685</v>
      </c>
      <c r="N1985" s="37" t="s">
        <v>3771</v>
      </c>
      <c r="P1985" s="37" t="s">
        <v>260</v>
      </c>
      <c r="S1985" s="37"/>
      <c r="T1985" s="37"/>
      <c r="U1985" s="22">
        <v>1</v>
      </c>
      <c r="V1985" s="22">
        <v>1</v>
      </c>
      <c r="W1985" s="73">
        <f t="shared" si="93"/>
        <v>391</v>
      </c>
      <c r="X1985" s="80">
        <f t="shared" ref="X1985:X2048" si="94">V1985+X1984</f>
        <v>3209</v>
      </c>
      <c r="Y1985" s="82" t="s">
        <v>3584</v>
      </c>
      <c r="AF1985" s="19"/>
      <c r="AG1985" s="19"/>
      <c r="AH1985" s="19"/>
      <c r="AI1985" s="19"/>
      <c r="AJ1985" s="19"/>
      <c r="AK1985" s="19"/>
    </row>
    <row r="1986" spans="1:37" ht="15.45" customHeight="1" x14ac:dyDescent="0.25">
      <c r="A1986" s="156" t="s">
        <v>922</v>
      </c>
      <c r="B1986" s="28"/>
      <c r="C1986" s="37" t="s">
        <v>756</v>
      </c>
      <c r="E1986" s="37" t="s">
        <v>2830</v>
      </c>
      <c r="F1986" s="24" t="s">
        <v>490</v>
      </c>
      <c r="H1986" s="168"/>
      <c r="I1986" s="167"/>
      <c r="J1986" s="214" t="s">
        <v>3690</v>
      </c>
      <c r="K1986" s="10" t="s">
        <v>3685</v>
      </c>
      <c r="N1986" s="37" t="s">
        <v>3771</v>
      </c>
      <c r="P1986" s="37" t="s">
        <v>172</v>
      </c>
      <c r="S1986" s="37"/>
      <c r="T1986" s="37"/>
      <c r="U1986" s="22">
        <v>7</v>
      </c>
      <c r="V1986" s="22">
        <v>7</v>
      </c>
      <c r="W1986" s="73">
        <f t="shared" si="93"/>
        <v>398</v>
      </c>
      <c r="X1986" s="80">
        <f t="shared" si="94"/>
        <v>3216</v>
      </c>
      <c r="Y1986" s="82" t="s">
        <v>3584</v>
      </c>
      <c r="AF1986" s="19"/>
      <c r="AG1986" s="19"/>
      <c r="AH1986" s="19"/>
      <c r="AI1986" s="19"/>
      <c r="AJ1986" s="19"/>
      <c r="AK1986" s="19"/>
    </row>
    <row r="1987" spans="1:37" ht="15.45" customHeight="1" x14ac:dyDescent="0.25">
      <c r="A1987" s="156" t="s">
        <v>856</v>
      </c>
      <c r="B1987" s="28"/>
      <c r="C1987" s="37" t="s">
        <v>756</v>
      </c>
      <c r="E1987" s="37" t="s">
        <v>2830</v>
      </c>
      <c r="F1987" s="24" t="s">
        <v>490</v>
      </c>
      <c r="H1987" s="168"/>
      <c r="I1987" s="167"/>
      <c r="J1987" s="214" t="s">
        <v>3690</v>
      </c>
      <c r="K1987" s="10" t="s">
        <v>3685</v>
      </c>
      <c r="N1987" s="37" t="s">
        <v>3771</v>
      </c>
      <c r="P1987" s="37" t="s">
        <v>272</v>
      </c>
      <c r="S1987" s="37"/>
      <c r="T1987" s="37"/>
      <c r="U1987" s="22">
        <v>1</v>
      </c>
      <c r="V1987" s="22">
        <v>1</v>
      </c>
      <c r="W1987" s="73">
        <f t="shared" si="93"/>
        <v>399</v>
      </c>
      <c r="X1987" s="80">
        <f t="shared" si="94"/>
        <v>3217</v>
      </c>
      <c r="Y1987" s="82" t="s">
        <v>3584</v>
      </c>
      <c r="AF1987" s="19"/>
      <c r="AG1987" s="19"/>
      <c r="AH1987" s="19"/>
      <c r="AI1987" s="19"/>
      <c r="AJ1987" s="19"/>
      <c r="AK1987" s="19"/>
    </row>
    <row r="1988" spans="1:37" ht="15.45" customHeight="1" x14ac:dyDescent="0.25">
      <c r="A1988" s="156" t="s">
        <v>611</v>
      </c>
      <c r="B1988" s="28"/>
      <c r="C1988" s="37" t="s">
        <v>756</v>
      </c>
      <c r="E1988" s="37" t="s">
        <v>2830</v>
      </c>
      <c r="F1988" s="24" t="s">
        <v>490</v>
      </c>
      <c r="H1988" s="168"/>
      <c r="I1988" s="167"/>
      <c r="J1988" s="214" t="s">
        <v>3690</v>
      </c>
      <c r="K1988" s="10" t="s">
        <v>3685</v>
      </c>
      <c r="N1988" s="37" t="s">
        <v>3771</v>
      </c>
      <c r="P1988" s="37" t="s">
        <v>86</v>
      </c>
      <c r="S1988" s="37"/>
      <c r="T1988" s="37"/>
      <c r="U1988" s="22">
        <v>1</v>
      </c>
      <c r="V1988" s="22">
        <v>1</v>
      </c>
      <c r="W1988" s="73">
        <f t="shared" si="93"/>
        <v>400</v>
      </c>
      <c r="X1988" s="80">
        <f t="shared" si="94"/>
        <v>3218</v>
      </c>
      <c r="Y1988" s="82" t="s">
        <v>3584</v>
      </c>
      <c r="AF1988" s="19"/>
      <c r="AG1988" s="19"/>
      <c r="AH1988" s="19"/>
      <c r="AI1988" s="19"/>
      <c r="AJ1988" s="19"/>
      <c r="AK1988" s="19"/>
    </row>
    <row r="1989" spans="1:37" ht="15.45" customHeight="1" x14ac:dyDescent="0.25">
      <c r="A1989" s="156" t="s">
        <v>612</v>
      </c>
      <c r="B1989" s="28"/>
      <c r="C1989" s="37" t="s">
        <v>756</v>
      </c>
      <c r="E1989" s="37" t="s">
        <v>2830</v>
      </c>
      <c r="F1989" s="24" t="s">
        <v>490</v>
      </c>
      <c r="H1989" s="168"/>
      <c r="I1989" s="167"/>
      <c r="J1989" s="214" t="s">
        <v>3690</v>
      </c>
      <c r="K1989" s="10" t="s">
        <v>3685</v>
      </c>
      <c r="N1989" s="37" t="s">
        <v>3771</v>
      </c>
      <c r="P1989" s="37" t="s">
        <v>73</v>
      </c>
      <c r="S1989" s="37"/>
      <c r="T1989" s="37"/>
      <c r="U1989" s="22">
        <v>1</v>
      </c>
      <c r="V1989" s="22">
        <v>1</v>
      </c>
      <c r="W1989" s="73">
        <f t="shared" si="93"/>
        <v>401</v>
      </c>
      <c r="X1989" s="80">
        <f t="shared" si="94"/>
        <v>3219</v>
      </c>
      <c r="Y1989" s="82" t="s">
        <v>3584</v>
      </c>
      <c r="AF1989" s="19"/>
      <c r="AG1989" s="19"/>
      <c r="AH1989" s="19"/>
      <c r="AI1989" s="19"/>
      <c r="AJ1989" s="19"/>
      <c r="AK1989" s="19"/>
    </row>
    <row r="1990" spans="1:37" ht="15.45" customHeight="1" x14ac:dyDescent="0.25">
      <c r="A1990" s="156" t="s">
        <v>1131</v>
      </c>
      <c r="B1990" s="28"/>
      <c r="C1990" s="37" t="s">
        <v>756</v>
      </c>
      <c r="E1990" s="37" t="s">
        <v>2830</v>
      </c>
      <c r="F1990" s="24" t="s">
        <v>490</v>
      </c>
      <c r="H1990" s="168"/>
      <c r="I1990" s="167"/>
      <c r="J1990" s="214" t="s">
        <v>3690</v>
      </c>
      <c r="K1990" s="10" t="s">
        <v>3685</v>
      </c>
      <c r="N1990" s="37" t="s">
        <v>3771</v>
      </c>
      <c r="P1990" s="37" t="s">
        <v>73</v>
      </c>
      <c r="S1990" s="37"/>
      <c r="T1990" s="37"/>
      <c r="U1990" s="22">
        <v>2</v>
      </c>
      <c r="V1990" s="22">
        <v>2</v>
      </c>
      <c r="W1990" s="73">
        <f t="shared" si="93"/>
        <v>403</v>
      </c>
      <c r="X1990" s="80">
        <f t="shared" si="94"/>
        <v>3221</v>
      </c>
      <c r="Y1990" s="82" t="s">
        <v>3584</v>
      </c>
      <c r="AF1990" s="19"/>
      <c r="AG1990" s="19"/>
      <c r="AH1990" s="19"/>
      <c r="AI1990" s="19"/>
      <c r="AJ1990" s="19"/>
      <c r="AK1990" s="19"/>
    </row>
    <row r="1991" spans="1:37" ht="15.45" customHeight="1" x14ac:dyDescent="0.25">
      <c r="A1991" s="156" t="s">
        <v>1613</v>
      </c>
      <c r="B1991" s="28"/>
      <c r="C1991" s="37" t="s">
        <v>756</v>
      </c>
      <c r="E1991" s="37" t="s">
        <v>2830</v>
      </c>
      <c r="F1991" s="24" t="s">
        <v>490</v>
      </c>
      <c r="H1991" s="168"/>
      <c r="I1991" s="167"/>
      <c r="J1991" s="214" t="s">
        <v>3690</v>
      </c>
      <c r="K1991" s="10" t="s">
        <v>3685</v>
      </c>
      <c r="N1991" s="37" t="s">
        <v>3771</v>
      </c>
      <c r="P1991" s="37" t="s">
        <v>73</v>
      </c>
      <c r="S1991" s="37"/>
      <c r="T1991" s="37"/>
      <c r="U1991" s="22">
        <v>3</v>
      </c>
      <c r="V1991" s="22">
        <v>3</v>
      </c>
      <c r="W1991" s="73">
        <f t="shared" si="93"/>
        <v>406</v>
      </c>
      <c r="X1991" s="80">
        <f t="shared" si="94"/>
        <v>3224</v>
      </c>
      <c r="Y1991" s="82" t="s">
        <v>3584</v>
      </c>
      <c r="AF1991" s="19"/>
      <c r="AG1991" s="19"/>
      <c r="AH1991" s="19"/>
      <c r="AI1991" s="19"/>
      <c r="AJ1991" s="19"/>
      <c r="AK1991" s="19"/>
    </row>
    <row r="1992" spans="1:37" ht="15.45" customHeight="1" x14ac:dyDescent="0.25">
      <c r="A1992" s="156" t="s">
        <v>1487</v>
      </c>
      <c r="B1992" s="28"/>
      <c r="C1992" s="37" t="s">
        <v>756</v>
      </c>
      <c r="E1992" s="37" t="s">
        <v>2830</v>
      </c>
      <c r="F1992" s="24" t="s">
        <v>490</v>
      </c>
      <c r="H1992" s="168"/>
      <c r="I1992" s="167"/>
      <c r="J1992" s="214" t="s">
        <v>3690</v>
      </c>
      <c r="K1992" s="10" t="s">
        <v>3685</v>
      </c>
      <c r="N1992" s="37" t="s">
        <v>3771</v>
      </c>
      <c r="P1992" s="37" t="s">
        <v>74</v>
      </c>
      <c r="S1992" s="37"/>
      <c r="T1992" s="37"/>
      <c r="U1992" s="22">
        <v>2</v>
      </c>
      <c r="V1992" s="22">
        <v>2</v>
      </c>
      <c r="W1992" s="73">
        <f t="shared" si="93"/>
        <v>408</v>
      </c>
      <c r="X1992" s="80">
        <f t="shared" si="94"/>
        <v>3226</v>
      </c>
      <c r="Y1992" s="82" t="s">
        <v>3584</v>
      </c>
      <c r="AF1992" s="19"/>
      <c r="AG1992" s="19"/>
      <c r="AH1992" s="19"/>
      <c r="AI1992" s="19"/>
      <c r="AJ1992" s="19"/>
      <c r="AK1992" s="19"/>
    </row>
    <row r="1993" spans="1:37" ht="15.45" customHeight="1" x14ac:dyDescent="0.25">
      <c r="A1993" s="156" t="s">
        <v>1614</v>
      </c>
      <c r="B1993" s="28"/>
      <c r="C1993" s="37" t="s">
        <v>756</v>
      </c>
      <c r="E1993" s="37" t="s">
        <v>2830</v>
      </c>
      <c r="F1993" s="24" t="s">
        <v>490</v>
      </c>
      <c r="H1993" s="168"/>
      <c r="I1993" s="167"/>
      <c r="J1993" s="214" t="s">
        <v>3690</v>
      </c>
      <c r="K1993" s="10" t="s">
        <v>3685</v>
      </c>
      <c r="N1993" s="37" t="s">
        <v>3771</v>
      </c>
      <c r="P1993" s="37" t="s">
        <v>281</v>
      </c>
      <c r="S1993" s="37"/>
      <c r="T1993" s="37"/>
      <c r="U1993" s="22">
        <v>5</v>
      </c>
      <c r="V1993" s="22">
        <v>5</v>
      </c>
      <c r="W1993" s="73">
        <f t="shared" ref="W1993:W2056" si="95">W1992+V1993</f>
        <v>413</v>
      </c>
      <c r="X1993" s="80">
        <f t="shared" si="94"/>
        <v>3231</v>
      </c>
      <c r="Y1993" s="82" t="s">
        <v>3584</v>
      </c>
      <c r="AF1993" s="19"/>
      <c r="AG1993" s="19"/>
      <c r="AH1993" s="19"/>
      <c r="AI1993" s="19"/>
      <c r="AJ1993" s="19"/>
      <c r="AK1993" s="19"/>
    </row>
    <row r="1994" spans="1:37" ht="15.45" customHeight="1" x14ac:dyDescent="0.25">
      <c r="A1994" s="156" t="s">
        <v>1615</v>
      </c>
      <c r="B1994" s="28"/>
      <c r="C1994" s="37" t="s">
        <v>756</v>
      </c>
      <c r="E1994" s="37" t="s">
        <v>2830</v>
      </c>
      <c r="F1994" s="24" t="s">
        <v>490</v>
      </c>
      <c r="H1994" s="168"/>
      <c r="I1994" s="167"/>
      <c r="J1994" s="214" t="s">
        <v>3690</v>
      </c>
      <c r="K1994" s="10" t="s">
        <v>3685</v>
      </c>
      <c r="N1994" s="37" t="s">
        <v>3771</v>
      </c>
      <c r="P1994" s="37" t="s">
        <v>281</v>
      </c>
      <c r="S1994" s="37"/>
      <c r="T1994" s="37"/>
      <c r="U1994" s="22">
        <v>4</v>
      </c>
      <c r="V1994" s="22">
        <v>4</v>
      </c>
      <c r="W1994" s="73">
        <f t="shared" si="95"/>
        <v>417</v>
      </c>
      <c r="X1994" s="80">
        <f t="shared" si="94"/>
        <v>3235</v>
      </c>
      <c r="Y1994" s="82" t="s">
        <v>3584</v>
      </c>
      <c r="AF1994" s="19"/>
      <c r="AG1994" s="19"/>
      <c r="AH1994" s="19"/>
      <c r="AI1994" s="19"/>
      <c r="AJ1994" s="19"/>
      <c r="AK1994" s="19"/>
    </row>
    <row r="1995" spans="1:37" ht="15.45" customHeight="1" x14ac:dyDescent="0.25">
      <c r="A1995" s="156" t="s">
        <v>1616</v>
      </c>
      <c r="B1995" s="28"/>
      <c r="C1995" s="37" t="s">
        <v>756</v>
      </c>
      <c r="E1995" s="37" t="s">
        <v>2830</v>
      </c>
      <c r="F1995" s="24" t="s">
        <v>490</v>
      </c>
      <c r="H1995" s="168"/>
      <c r="I1995" s="167"/>
      <c r="J1995" s="214" t="s">
        <v>3690</v>
      </c>
      <c r="K1995" s="10" t="s">
        <v>3685</v>
      </c>
      <c r="N1995" s="37" t="s">
        <v>3771</v>
      </c>
      <c r="P1995" s="37" t="s">
        <v>326</v>
      </c>
      <c r="S1995" s="37"/>
      <c r="T1995" s="37"/>
      <c r="U1995" s="22">
        <v>2</v>
      </c>
      <c r="V1995" s="22">
        <v>2</v>
      </c>
      <c r="W1995" s="73">
        <f t="shared" si="95"/>
        <v>419</v>
      </c>
      <c r="X1995" s="80">
        <f t="shared" si="94"/>
        <v>3237</v>
      </c>
      <c r="Y1995" s="82" t="s">
        <v>3584</v>
      </c>
      <c r="AF1995" s="19"/>
      <c r="AG1995" s="19"/>
      <c r="AH1995" s="19"/>
      <c r="AI1995" s="19"/>
      <c r="AJ1995" s="19"/>
      <c r="AK1995" s="19"/>
    </row>
    <row r="1996" spans="1:37" ht="15.45" customHeight="1" x14ac:dyDescent="0.25">
      <c r="A1996" s="156" t="s">
        <v>857</v>
      </c>
      <c r="B1996" s="28"/>
      <c r="C1996" s="37" t="s">
        <v>756</v>
      </c>
      <c r="E1996" s="37" t="s">
        <v>2830</v>
      </c>
      <c r="F1996" s="24" t="s">
        <v>490</v>
      </c>
      <c r="H1996" s="168"/>
      <c r="I1996" s="167"/>
      <c r="J1996" s="214" t="s">
        <v>3690</v>
      </c>
      <c r="K1996" s="10" t="s">
        <v>3685</v>
      </c>
      <c r="N1996" s="37" t="s">
        <v>3771</v>
      </c>
      <c r="P1996" s="37" t="s">
        <v>327</v>
      </c>
      <c r="S1996" s="37"/>
      <c r="T1996" s="37"/>
      <c r="U1996" s="22">
        <v>12</v>
      </c>
      <c r="V1996" s="22">
        <v>12</v>
      </c>
      <c r="W1996" s="73">
        <f t="shared" si="95"/>
        <v>431</v>
      </c>
      <c r="X1996" s="80">
        <f t="shared" si="94"/>
        <v>3249</v>
      </c>
      <c r="Y1996" s="82" t="s">
        <v>3584</v>
      </c>
      <c r="AF1996" s="19"/>
      <c r="AG1996" s="19"/>
      <c r="AH1996" s="19"/>
      <c r="AI1996" s="19"/>
      <c r="AJ1996" s="19"/>
      <c r="AK1996" s="19"/>
    </row>
    <row r="1997" spans="1:37" ht="15.45" customHeight="1" x14ac:dyDescent="0.25">
      <c r="A1997" s="156" t="s">
        <v>925</v>
      </c>
      <c r="B1997" s="28"/>
      <c r="C1997" s="37" t="s">
        <v>756</v>
      </c>
      <c r="E1997" s="37" t="s">
        <v>2830</v>
      </c>
      <c r="F1997" s="24" t="s">
        <v>490</v>
      </c>
      <c r="H1997" s="168"/>
      <c r="I1997" s="167"/>
      <c r="J1997" s="214" t="s">
        <v>3690</v>
      </c>
      <c r="K1997" s="10" t="s">
        <v>3685</v>
      </c>
      <c r="N1997" s="37" t="s">
        <v>3771</v>
      </c>
      <c r="P1997" s="37" t="s">
        <v>327</v>
      </c>
      <c r="S1997" s="37"/>
      <c r="T1997" s="37"/>
      <c r="U1997" s="22">
        <v>1</v>
      </c>
      <c r="V1997" s="22">
        <v>1</v>
      </c>
      <c r="W1997" s="73">
        <f t="shared" si="95"/>
        <v>432</v>
      </c>
      <c r="X1997" s="80">
        <f t="shared" si="94"/>
        <v>3250</v>
      </c>
      <c r="Y1997" s="82" t="s">
        <v>3584</v>
      </c>
      <c r="AF1997" s="19"/>
      <c r="AG1997" s="19"/>
      <c r="AH1997" s="19"/>
      <c r="AI1997" s="19"/>
      <c r="AJ1997" s="19"/>
      <c r="AK1997" s="19"/>
    </row>
    <row r="1998" spans="1:37" ht="15.45" customHeight="1" x14ac:dyDescent="0.25">
      <c r="A1998" s="156" t="s">
        <v>610</v>
      </c>
      <c r="B1998" s="28"/>
      <c r="C1998" s="37" t="s">
        <v>756</v>
      </c>
      <c r="E1998" s="37" t="s">
        <v>2830</v>
      </c>
      <c r="F1998" s="24" t="s">
        <v>490</v>
      </c>
      <c r="H1998" s="168"/>
      <c r="I1998" s="167"/>
      <c r="J1998" s="214" t="s">
        <v>3690</v>
      </c>
      <c r="K1998" s="10" t="s">
        <v>3685</v>
      </c>
      <c r="N1998" s="37" t="s">
        <v>3771</v>
      </c>
      <c r="P1998" s="37" t="s">
        <v>327</v>
      </c>
      <c r="S1998" s="37"/>
      <c r="T1998" s="37"/>
      <c r="U1998" s="22">
        <v>2</v>
      </c>
      <c r="V1998" s="22">
        <v>2</v>
      </c>
      <c r="W1998" s="73">
        <f t="shared" si="95"/>
        <v>434</v>
      </c>
      <c r="X1998" s="80">
        <f t="shared" si="94"/>
        <v>3252</v>
      </c>
      <c r="Y1998" s="82" t="s">
        <v>3584</v>
      </c>
      <c r="AF1998" s="19"/>
      <c r="AG1998" s="19"/>
      <c r="AH1998" s="19"/>
      <c r="AI1998" s="19"/>
      <c r="AJ1998" s="19"/>
      <c r="AK1998" s="19"/>
    </row>
    <row r="1999" spans="1:37" ht="15.45" customHeight="1" x14ac:dyDescent="0.25">
      <c r="A1999" s="156" t="s">
        <v>1149</v>
      </c>
      <c r="B1999" s="28"/>
      <c r="C1999" s="37" t="s">
        <v>756</v>
      </c>
      <c r="E1999" s="37" t="s">
        <v>2830</v>
      </c>
      <c r="F1999" s="24" t="s">
        <v>490</v>
      </c>
      <c r="H1999" s="168"/>
      <c r="I1999" s="167"/>
      <c r="J1999" s="214" t="s">
        <v>3690</v>
      </c>
      <c r="K1999" s="10" t="s">
        <v>3685</v>
      </c>
      <c r="N1999" s="37" t="s">
        <v>3772</v>
      </c>
      <c r="S1999" s="37"/>
      <c r="T1999" s="37"/>
      <c r="U1999" s="22">
        <v>2</v>
      </c>
      <c r="V1999" s="22">
        <v>2</v>
      </c>
      <c r="W1999" s="73">
        <f t="shared" si="95"/>
        <v>436</v>
      </c>
      <c r="X1999" s="80">
        <f t="shared" si="94"/>
        <v>3254</v>
      </c>
      <c r="Y1999" s="82" t="s">
        <v>3584</v>
      </c>
      <c r="AF1999" s="19"/>
      <c r="AG1999" s="19"/>
      <c r="AH1999" s="19"/>
      <c r="AI1999" s="19"/>
      <c r="AJ1999" s="19"/>
      <c r="AK1999" s="19"/>
    </row>
    <row r="2000" spans="1:37" ht="15.45" customHeight="1" x14ac:dyDescent="0.25">
      <c r="A2000" s="156" t="s">
        <v>613</v>
      </c>
      <c r="B2000" s="28"/>
      <c r="C2000" s="37" t="s">
        <v>756</v>
      </c>
      <c r="E2000" s="37" t="s">
        <v>2830</v>
      </c>
      <c r="F2000" s="24" t="s">
        <v>490</v>
      </c>
      <c r="H2000" s="168"/>
      <c r="I2000" s="167"/>
      <c r="J2000" s="214" t="s">
        <v>3690</v>
      </c>
      <c r="K2000" s="10" t="s">
        <v>3685</v>
      </c>
      <c r="N2000" s="37" t="s">
        <v>3771</v>
      </c>
      <c r="P2000" s="37" t="s">
        <v>328</v>
      </c>
      <c r="S2000" s="37"/>
      <c r="T2000" s="37"/>
      <c r="U2000" s="22">
        <v>1</v>
      </c>
      <c r="V2000" s="22">
        <v>1</v>
      </c>
      <c r="W2000" s="73">
        <f t="shared" si="95"/>
        <v>437</v>
      </c>
      <c r="X2000" s="80">
        <f t="shared" si="94"/>
        <v>3255</v>
      </c>
      <c r="Y2000" s="82" t="s">
        <v>3584</v>
      </c>
      <c r="AF2000" s="19"/>
      <c r="AG2000" s="19"/>
      <c r="AH2000" s="19"/>
      <c r="AI2000" s="19"/>
      <c r="AJ2000" s="19"/>
      <c r="AK2000" s="19"/>
    </row>
    <row r="2001" spans="1:37" ht="15.45" customHeight="1" x14ac:dyDescent="0.25">
      <c r="A2001" s="156" t="s">
        <v>1548</v>
      </c>
      <c r="B2001" s="28"/>
      <c r="C2001" s="37" t="s">
        <v>756</v>
      </c>
      <c r="E2001" s="37" t="s">
        <v>2830</v>
      </c>
      <c r="F2001" s="24" t="s">
        <v>491</v>
      </c>
      <c r="H2001" s="168"/>
      <c r="I2001" s="167"/>
      <c r="J2001" s="214" t="s">
        <v>3690</v>
      </c>
      <c r="K2001" s="10" t="s">
        <v>3685</v>
      </c>
      <c r="N2001" s="37" t="s">
        <v>3771</v>
      </c>
      <c r="P2001" s="37" t="s">
        <v>329</v>
      </c>
      <c r="S2001" s="37"/>
      <c r="T2001" s="37"/>
      <c r="U2001" s="22">
        <v>1</v>
      </c>
      <c r="V2001" s="22">
        <v>1</v>
      </c>
      <c r="W2001" s="73">
        <f t="shared" si="95"/>
        <v>438</v>
      </c>
      <c r="X2001" s="80">
        <f t="shared" si="94"/>
        <v>3256</v>
      </c>
      <c r="Y2001" s="82" t="s">
        <v>3584</v>
      </c>
      <c r="AF2001" s="19"/>
      <c r="AG2001" s="19"/>
      <c r="AH2001" s="19"/>
      <c r="AI2001" s="19"/>
      <c r="AJ2001" s="19"/>
      <c r="AK2001" s="19"/>
    </row>
    <row r="2002" spans="1:37" ht="15.45" customHeight="1" x14ac:dyDescent="0.25">
      <c r="A2002" s="156" t="s">
        <v>1102</v>
      </c>
      <c r="B2002" s="28"/>
      <c r="C2002" s="37" t="s">
        <v>756</v>
      </c>
      <c r="E2002" s="37" t="s">
        <v>2830</v>
      </c>
      <c r="F2002" s="24" t="s">
        <v>491</v>
      </c>
      <c r="H2002" s="168"/>
      <c r="I2002" s="167"/>
      <c r="J2002" s="214" t="s">
        <v>3690</v>
      </c>
      <c r="K2002" s="10" t="s">
        <v>3685</v>
      </c>
      <c r="N2002" s="37" t="s">
        <v>3771</v>
      </c>
      <c r="P2002" s="37" t="s">
        <v>24</v>
      </c>
      <c r="S2002" s="37"/>
      <c r="T2002" s="37"/>
      <c r="U2002" s="22">
        <v>6</v>
      </c>
      <c r="V2002" s="22">
        <v>6</v>
      </c>
      <c r="W2002" s="73">
        <f t="shared" si="95"/>
        <v>444</v>
      </c>
      <c r="X2002" s="80">
        <f t="shared" si="94"/>
        <v>3262</v>
      </c>
      <c r="Y2002" s="82" t="s">
        <v>3584</v>
      </c>
      <c r="AF2002" s="19"/>
      <c r="AG2002" s="19"/>
      <c r="AH2002" s="19"/>
      <c r="AI2002" s="19"/>
      <c r="AJ2002" s="19"/>
      <c r="AK2002" s="19"/>
    </row>
    <row r="2003" spans="1:37" ht="15.45" customHeight="1" x14ac:dyDescent="0.25">
      <c r="A2003" s="156" t="s">
        <v>901</v>
      </c>
      <c r="B2003" s="28"/>
      <c r="C2003" s="37" t="s">
        <v>756</v>
      </c>
      <c r="E2003" s="37" t="s">
        <v>2830</v>
      </c>
      <c r="F2003" s="24" t="s">
        <v>491</v>
      </c>
      <c r="H2003" s="168"/>
      <c r="I2003" s="167"/>
      <c r="J2003" s="214" t="s">
        <v>3690</v>
      </c>
      <c r="K2003" s="10" t="s">
        <v>3685</v>
      </c>
      <c r="N2003" s="37" t="s">
        <v>3771</v>
      </c>
      <c r="P2003" s="37" t="s">
        <v>394</v>
      </c>
      <c r="S2003" s="37"/>
      <c r="T2003" s="37"/>
      <c r="U2003" s="22">
        <v>2</v>
      </c>
      <c r="V2003" s="22">
        <v>2</v>
      </c>
      <c r="W2003" s="73">
        <f t="shared" si="95"/>
        <v>446</v>
      </c>
      <c r="X2003" s="80">
        <f t="shared" si="94"/>
        <v>3264</v>
      </c>
      <c r="Y2003" s="82" t="s">
        <v>3584</v>
      </c>
      <c r="AF2003" s="19"/>
      <c r="AG2003" s="19"/>
      <c r="AH2003" s="19"/>
      <c r="AI2003" s="19"/>
      <c r="AJ2003" s="19"/>
      <c r="AK2003" s="19"/>
    </row>
    <row r="2004" spans="1:37" ht="15.45" customHeight="1" x14ac:dyDescent="0.25">
      <c r="A2004" s="156" t="s">
        <v>1104</v>
      </c>
      <c r="B2004" s="28"/>
      <c r="C2004" s="37" t="s">
        <v>756</v>
      </c>
      <c r="E2004" s="37" t="s">
        <v>2830</v>
      </c>
      <c r="F2004" s="24" t="s">
        <v>491</v>
      </c>
      <c r="H2004" s="168"/>
      <c r="I2004" s="167"/>
      <c r="J2004" s="214" t="s">
        <v>3690</v>
      </c>
      <c r="K2004" s="10" t="s">
        <v>3685</v>
      </c>
      <c r="N2004" s="37" t="s">
        <v>3771</v>
      </c>
      <c r="P2004" s="37" t="s">
        <v>359</v>
      </c>
      <c r="S2004" s="37"/>
      <c r="T2004" s="37"/>
      <c r="U2004" s="22">
        <v>2</v>
      </c>
      <c r="V2004" s="22">
        <v>2</v>
      </c>
      <c r="W2004" s="73">
        <f t="shared" si="95"/>
        <v>448</v>
      </c>
      <c r="X2004" s="80">
        <f t="shared" si="94"/>
        <v>3266</v>
      </c>
      <c r="Y2004" s="82" t="s">
        <v>3584</v>
      </c>
      <c r="AF2004" s="19"/>
      <c r="AG2004" s="19"/>
      <c r="AH2004" s="19"/>
      <c r="AI2004" s="19"/>
      <c r="AJ2004" s="19"/>
      <c r="AK2004" s="19"/>
    </row>
    <row r="2005" spans="1:37" ht="15.45" customHeight="1" x14ac:dyDescent="0.25">
      <c r="A2005" s="156" t="s">
        <v>1329</v>
      </c>
      <c r="B2005" s="28"/>
      <c r="C2005" s="37" t="s">
        <v>756</v>
      </c>
      <c r="E2005" s="37" t="s">
        <v>2830</v>
      </c>
      <c r="F2005" s="24" t="s">
        <v>491</v>
      </c>
      <c r="H2005" s="168"/>
      <c r="I2005" s="167"/>
      <c r="J2005" s="214" t="s">
        <v>3690</v>
      </c>
      <c r="K2005" s="10" t="s">
        <v>3685</v>
      </c>
      <c r="N2005" s="37" t="s">
        <v>3771</v>
      </c>
      <c r="P2005" s="37" t="s">
        <v>359</v>
      </c>
      <c r="S2005" s="37"/>
      <c r="T2005" s="37"/>
      <c r="U2005" s="22">
        <v>2</v>
      </c>
      <c r="V2005" s="22">
        <v>2</v>
      </c>
      <c r="W2005" s="73">
        <f t="shared" si="95"/>
        <v>450</v>
      </c>
      <c r="X2005" s="80">
        <f t="shared" si="94"/>
        <v>3268</v>
      </c>
      <c r="Y2005" s="82" t="s">
        <v>3584</v>
      </c>
      <c r="AF2005" s="19"/>
      <c r="AG2005" s="19"/>
      <c r="AH2005" s="19"/>
      <c r="AI2005" s="19"/>
      <c r="AJ2005" s="19"/>
      <c r="AK2005" s="19"/>
    </row>
    <row r="2006" spans="1:37" ht="15.45" customHeight="1" x14ac:dyDescent="0.25">
      <c r="A2006" s="156" t="s">
        <v>228</v>
      </c>
      <c r="B2006" s="28"/>
      <c r="C2006" s="37" t="s">
        <v>756</v>
      </c>
      <c r="E2006" s="37" t="s">
        <v>2830</v>
      </c>
      <c r="F2006" s="24" t="s">
        <v>491</v>
      </c>
      <c r="H2006" s="168"/>
      <c r="I2006" s="167"/>
      <c r="P2006" s="37" t="s">
        <v>1563</v>
      </c>
      <c r="Q2006" s="37" t="s">
        <v>3506</v>
      </c>
      <c r="S2006" s="37"/>
      <c r="T2006" s="37"/>
      <c r="U2006" s="22">
        <v>1</v>
      </c>
      <c r="V2006" s="22">
        <v>1</v>
      </c>
      <c r="W2006" s="73">
        <f t="shared" si="95"/>
        <v>451</v>
      </c>
      <c r="X2006" s="80">
        <f t="shared" si="94"/>
        <v>3269</v>
      </c>
      <c r="Y2006" s="82" t="s">
        <v>3592</v>
      </c>
      <c r="Z2006" s="24" t="s">
        <v>2884</v>
      </c>
      <c r="AF2006" s="19"/>
      <c r="AG2006" s="19"/>
      <c r="AH2006" s="19"/>
      <c r="AI2006" s="19"/>
      <c r="AJ2006" s="19"/>
      <c r="AK2006" s="19"/>
    </row>
    <row r="2007" spans="1:37" ht="15.45" customHeight="1" x14ac:dyDescent="0.25">
      <c r="A2007" s="156" t="s">
        <v>989</v>
      </c>
      <c r="B2007" s="28"/>
      <c r="C2007" s="37" t="s">
        <v>756</v>
      </c>
      <c r="E2007" s="37" t="s">
        <v>2830</v>
      </c>
      <c r="F2007" s="24" t="s">
        <v>491</v>
      </c>
      <c r="H2007" s="168"/>
      <c r="I2007" s="167"/>
      <c r="J2007" s="214" t="s">
        <v>3690</v>
      </c>
      <c r="K2007" s="10" t="s">
        <v>3685</v>
      </c>
      <c r="N2007" s="37" t="s">
        <v>3771</v>
      </c>
      <c r="P2007" s="37" t="s">
        <v>360</v>
      </c>
      <c r="S2007" s="37"/>
      <c r="T2007" s="37"/>
      <c r="U2007" s="22">
        <v>1</v>
      </c>
      <c r="V2007" s="22">
        <v>1</v>
      </c>
      <c r="W2007" s="73">
        <f t="shared" si="95"/>
        <v>452</v>
      </c>
      <c r="X2007" s="80">
        <f t="shared" si="94"/>
        <v>3270</v>
      </c>
      <c r="Y2007" s="82" t="s">
        <v>3584</v>
      </c>
      <c r="AF2007" s="19"/>
      <c r="AG2007" s="19"/>
      <c r="AH2007" s="19"/>
      <c r="AI2007" s="19"/>
      <c r="AJ2007" s="19"/>
      <c r="AK2007" s="19"/>
    </row>
    <row r="2008" spans="1:37" ht="15.45" customHeight="1" x14ac:dyDescent="0.25">
      <c r="A2008" s="156" t="s">
        <v>987</v>
      </c>
      <c r="B2008" s="28"/>
      <c r="C2008" s="37" t="s">
        <v>756</v>
      </c>
      <c r="E2008" s="37" t="s">
        <v>2830</v>
      </c>
      <c r="F2008" s="24" t="s">
        <v>491</v>
      </c>
      <c r="H2008" s="168"/>
      <c r="I2008" s="167"/>
      <c r="J2008" s="214" t="s">
        <v>3690</v>
      </c>
      <c r="K2008" s="10" t="s">
        <v>3685</v>
      </c>
      <c r="N2008" s="37" t="s">
        <v>3771</v>
      </c>
      <c r="P2008" s="37" t="s">
        <v>229</v>
      </c>
      <c r="S2008" s="37"/>
      <c r="T2008" s="37"/>
      <c r="U2008" s="22">
        <v>1</v>
      </c>
      <c r="V2008" s="22">
        <v>1</v>
      </c>
      <c r="W2008" s="73">
        <f t="shared" si="95"/>
        <v>453</v>
      </c>
      <c r="X2008" s="80">
        <f t="shared" si="94"/>
        <v>3271</v>
      </c>
      <c r="Y2008" s="82" t="s">
        <v>3584</v>
      </c>
      <c r="AF2008" s="19"/>
      <c r="AG2008" s="19"/>
      <c r="AH2008" s="19"/>
      <c r="AI2008" s="19"/>
      <c r="AJ2008" s="19"/>
      <c r="AK2008" s="19"/>
    </row>
    <row r="2009" spans="1:37" ht="15.45" customHeight="1" x14ac:dyDescent="0.25">
      <c r="A2009" s="156" t="s">
        <v>497</v>
      </c>
      <c r="B2009" s="28"/>
      <c r="C2009" s="37" t="s">
        <v>756</v>
      </c>
      <c r="E2009" s="37" t="s">
        <v>2830</v>
      </c>
      <c r="F2009" s="24" t="s">
        <v>491</v>
      </c>
      <c r="H2009" s="168"/>
      <c r="I2009" s="167"/>
      <c r="J2009" s="214" t="s">
        <v>3690</v>
      </c>
      <c r="K2009" s="10" t="s">
        <v>3685</v>
      </c>
      <c r="N2009" s="37" t="s">
        <v>3771</v>
      </c>
      <c r="P2009" s="37" t="s">
        <v>230</v>
      </c>
      <c r="S2009" s="37"/>
      <c r="T2009" s="37"/>
      <c r="U2009" s="22">
        <v>1</v>
      </c>
      <c r="V2009" s="22">
        <v>1</v>
      </c>
      <c r="W2009" s="73">
        <f t="shared" si="95"/>
        <v>454</v>
      </c>
      <c r="X2009" s="80">
        <f t="shared" si="94"/>
        <v>3272</v>
      </c>
      <c r="Y2009" s="82" t="s">
        <v>3584</v>
      </c>
      <c r="AF2009" s="19"/>
      <c r="AG2009" s="19"/>
      <c r="AH2009" s="19"/>
      <c r="AI2009" s="19"/>
      <c r="AJ2009" s="19"/>
      <c r="AK2009" s="19"/>
    </row>
    <row r="2010" spans="1:37" ht="15.45" customHeight="1" x14ac:dyDescent="0.25">
      <c r="A2010" s="156" t="s">
        <v>1217</v>
      </c>
      <c r="B2010" s="28"/>
      <c r="C2010" s="37" t="s">
        <v>756</v>
      </c>
      <c r="E2010" s="37" t="s">
        <v>2830</v>
      </c>
      <c r="F2010" s="24" t="s">
        <v>491</v>
      </c>
      <c r="H2010" s="168"/>
      <c r="I2010" s="167"/>
      <c r="J2010" s="214" t="s">
        <v>3690</v>
      </c>
      <c r="K2010" s="10" t="s">
        <v>3685</v>
      </c>
      <c r="N2010" s="37" t="s">
        <v>3771</v>
      </c>
      <c r="P2010" s="37" t="s">
        <v>126</v>
      </c>
      <c r="S2010" s="37"/>
      <c r="T2010" s="37"/>
      <c r="U2010" s="22">
        <v>2</v>
      </c>
      <c r="V2010" s="22">
        <v>2</v>
      </c>
      <c r="W2010" s="73">
        <f t="shared" si="95"/>
        <v>456</v>
      </c>
      <c r="X2010" s="80">
        <f t="shared" si="94"/>
        <v>3274</v>
      </c>
      <c r="Y2010" s="82" t="s">
        <v>3584</v>
      </c>
      <c r="AF2010" s="19"/>
      <c r="AG2010" s="19"/>
      <c r="AH2010" s="19"/>
      <c r="AI2010" s="19"/>
      <c r="AJ2010" s="19"/>
      <c r="AK2010" s="19"/>
    </row>
    <row r="2011" spans="1:37" ht="15.45" customHeight="1" x14ac:dyDescent="0.25">
      <c r="A2011" s="156" t="s">
        <v>1215</v>
      </c>
      <c r="B2011" s="28"/>
      <c r="C2011" s="37" t="s">
        <v>756</v>
      </c>
      <c r="E2011" s="37" t="s">
        <v>2830</v>
      </c>
      <c r="F2011" s="24" t="s">
        <v>491</v>
      </c>
      <c r="H2011" s="168"/>
      <c r="I2011" s="167"/>
      <c r="J2011" s="214" t="s">
        <v>3690</v>
      </c>
      <c r="K2011" s="10" t="s">
        <v>3685</v>
      </c>
      <c r="N2011" s="37" t="s">
        <v>3771</v>
      </c>
      <c r="P2011" s="37" t="s">
        <v>231</v>
      </c>
      <c r="S2011" s="37"/>
      <c r="T2011" s="37"/>
      <c r="U2011" s="22">
        <v>2</v>
      </c>
      <c r="V2011" s="22">
        <v>2</v>
      </c>
      <c r="W2011" s="73">
        <f t="shared" si="95"/>
        <v>458</v>
      </c>
      <c r="X2011" s="80">
        <f t="shared" si="94"/>
        <v>3276</v>
      </c>
      <c r="Y2011" s="82" t="s">
        <v>3584</v>
      </c>
      <c r="AF2011" s="19"/>
      <c r="AG2011" s="19"/>
      <c r="AH2011" s="19"/>
      <c r="AI2011" s="19"/>
      <c r="AJ2011" s="19"/>
      <c r="AK2011" s="19"/>
    </row>
    <row r="2012" spans="1:37" ht="15.45" customHeight="1" x14ac:dyDescent="0.25">
      <c r="A2012" s="156" t="s">
        <v>1216</v>
      </c>
      <c r="B2012" s="28"/>
      <c r="C2012" s="37" t="s">
        <v>756</v>
      </c>
      <c r="E2012" s="37" t="s">
        <v>2830</v>
      </c>
      <c r="F2012" s="24" t="s">
        <v>491</v>
      </c>
      <c r="H2012" s="168"/>
      <c r="I2012" s="167"/>
      <c r="J2012" s="214" t="s">
        <v>3690</v>
      </c>
      <c r="K2012" s="10" t="s">
        <v>3685</v>
      </c>
      <c r="N2012" s="37" t="s">
        <v>3771</v>
      </c>
      <c r="P2012" s="37" t="s">
        <v>244</v>
      </c>
      <c r="S2012" s="37"/>
      <c r="T2012" s="37"/>
      <c r="U2012" s="22">
        <v>3</v>
      </c>
      <c r="V2012" s="22">
        <v>3</v>
      </c>
      <c r="W2012" s="73">
        <f t="shared" si="95"/>
        <v>461</v>
      </c>
      <c r="X2012" s="80">
        <f t="shared" si="94"/>
        <v>3279</v>
      </c>
      <c r="Y2012" s="82" t="s">
        <v>3584</v>
      </c>
      <c r="AF2012" s="19"/>
      <c r="AG2012" s="19"/>
      <c r="AH2012" s="19"/>
      <c r="AI2012" s="19"/>
      <c r="AJ2012" s="19"/>
      <c r="AK2012" s="19"/>
    </row>
    <row r="2013" spans="1:37" ht="15.45" customHeight="1" x14ac:dyDescent="0.25">
      <c r="A2013" s="156" t="s">
        <v>689</v>
      </c>
      <c r="B2013" s="28"/>
      <c r="C2013" s="37" t="s">
        <v>756</v>
      </c>
      <c r="E2013" s="37" t="s">
        <v>2830</v>
      </c>
      <c r="F2013" s="24" t="s">
        <v>491</v>
      </c>
      <c r="H2013" s="168"/>
      <c r="I2013" s="167"/>
      <c r="J2013" s="214" t="s">
        <v>3690</v>
      </c>
      <c r="K2013" s="10" t="s">
        <v>3685</v>
      </c>
      <c r="N2013" s="37" t="s">
        <v>3771</v>
      </c>
      <c r="P2013" s="37" t="s">
        <v>88</v>
      </c>
      <c r="S2013" s="37"/>
      <c r="T2013" s="37"/>
      <c r="U2013" s="22">
        <v>1</v>
      </c>
      <c r="V2013" s="22">
        <v>1</v>
      </c>
      <c r="W2013" s="73">
        <f t="shared" si="95"/>
        <v>462</v>
      </c>
      <c r="X2013" s="80">
        <f t="shared" si="94"/>
        <v>3280</v>
      </c>
      <c r="Y2013" s="82" t="s">
        <v>3584</v>
      </c>
      <c r="AF2013" s="19"/>
      <c r="AG2013" s="19"/>
      <c r="AH2013" s="19"/>
      <c r="AI2013" s="19"/>
      <c r="AJ2013" s="19"/>
      <c r="AK2013" s="19"/>
    </row>
    <row r="2014" spans="1:37" ht="15.45" customHeight="1" x14ac:dyDescent="0.25">
      <c r="A2014" s="156" t="s">
        <v>1232</v>
      </c>
      <c r="B2014" s="28"/>
      <c r="C2014" s="37" t="s">
        <v>756</v>
      </c>
      <c r="E2014" s="37" t="s">
        <v>2830</v>
      </c>
      <c r="F2014" s="24" t="s">
        <v>491</v>
      </c>
      <c r="H2014" s="168"/>
      <c r="I2014" s="167"/>
      <c r="J2014" s="214" t="s">
        <v>3690</v>
      </c>
      <c r="K2014" s="10" t="s">
        <v>3685</v>
      </c>
      <c r="N2014" s="37" t="s">
        <v>3771</v>
      </c>
      <c r="P2014" s="37" t="s">
        <v>73</v>
      </c>
      <c r="S2014" s="37"/>
      <c r="T2014" s="37"/>
      <c r="U2014" s="22">
        <v>3</v>
      </c>
      <c r="V2014" s="22">
        <v>3</v>
      </c>
      <c r="W2014" s="73">
        <f t="shared" si="95"/>
        <v>465</v>
      </c>
      <c r="X2014" s="80">
        <f t="shared" si="94"/>
        <v>3283</v>
      </c>
      <c r="Y2014" s="82" t="s">
        <v>3584</v>
      </c>
      <c r="AF2014" s="19"/>
      <c r="AG2014" s="19"/>
      <c r="AH2014" s="19"/>
      <c r="AI2014" s="19"/>
      <c r="AJ2014" s="19"/>
      <c r="AK2014" s="19"/>
    </row>
    <row r="2015" spans="1:37" ht="15.45" customHeight="1" x14ac:dyDescent="0.25">
      <c r="A2015" s="156" t="s">
        <v>1219</v>
      </c>
      <c r="B2015" s="28"/>
      <c r="C2015" s="37" t="s">
        <v>756</v>
      </c>
      <c r="E2015" s="37" t="s">
        <v>2830</v>
      </c>
      <c r="F2015" s="24" t="s">
        <v>491</v>
      </c>
      <c r="H2015" s="168"/>
      <c r="I2015" s="167"/>
      <c r="J2015" s="214" t="s">
        <v>3690</v>
      </c>
      <c r="K2015" s="10" t="s">
        <v>3685</v>
      </c>
      <c r="N2015" s="37" t="s">
        <v>3771</v>
      </c>
      <c r="P2015" s="37" t="s">
        <v>73</v>
      </c>
      <c r="S2015" s="37"/>
      <c r="T2015" s="37"/>
      <c r="U2015" s="22">
        <v>4</v>
      </c>
      <c r="V2015" s="22">
        <v>4</v>
      </c>
      <c r="W2015" s="73">
        <f t="shared" si="95"/>
        <v>469</v>
      </c>
      <c r="X2015" s="80">
        <f t="shared" si="94"/>
        <v>3287</v>
      </c>
      <c r="Y2015" s="82" t="s">
        <v>3584</v>
      </c>
      <c r="AF2015" s="19"/>
      <c r="AG2015" s="19"/>
      <c r="AH2015" s="19"/>
      <c r="AI2015" s="19"/>
      <c r="AJ2015" s="19"/>
      <c r="AK2015" s="19"/>
    </row>
    <row r="2016" spans="1:37" ht="15.45" customHeight="1" x14ac:dyDescent="0.25">
      <c r="A2016" s="156" t="s">
        <v>587</v>
      </c>
      <c r="B2016" s="28"/>
      <c r="C2016" s="37" t="s">
        <v>756</v>
      </c>
      <c r="E2016" s="37" t="s">
        <v>2830</v>
      </c>
      <c r="F2016" s="24" t="s">
        <v>491</v>
      </c>
      <c r="H2016" s="168"/>
      <c r="I2016" s="167"/>
      <c r="J2016" s="214" t="s">
        <v>3690</v>
      </c>
      <c r="K2016" s="10" t="s">
        <v>3685</v>
      </c>
      <c r="N2016" s="37" t="s">
        <v>3771</v>
      </c>
      <c r="P2016" s="37" t="s">
        <v>245</v>
      </c>
      <c r="S2016" s="37"/>
      <c r="T2016" s="37"/>
      <c r="U2016" s="22">
        <v>1</v>
      </c>
      <c r="V2016" s="22">
        <v>1</v>
      </c>
      <c r="W2016" s="73">
        <f t="shared" si="95"/>
        <v>470</v>
      </c>
      <c r="X2016" s="80">
        <f t="shared" si="94"/>
        <v>3288</v>
      </c>
      <c r="Y2016" s="82" t="s">
        <v>3584</v>
      </c>
      <c r="AF2016" s="19"/>
      <c r="AG2016" s="19"/>
      <c r="AH2016" s="19"/>
      <c r="AI2016" s="19"/>
      <c r="AJ2016" s="19"/>
      <c r="AK2016" s="19"/>
    </row>
    <row r="2017" spans="1:37" ht="15.45" customHeight="1" x14ac:dyDescent="0.25">
      <c r="A2017" s="156" t="s">
        <v>1110</v>
      </c>
      <c r="B2017" s="28"/>
      <c r="C2017" s="37" t="s">
        <v>756</v>
      </c>
      <c r="E2017" s="37" t="s">
        <v>2830</v>
      </c>
      <c r="F2017" s="24" t="s">
        <v>491</v>
      </c>
      <c r="H2017" s="168"/>
      <c r="I2017" s="167"/>
      <c r="J2017" s="214" t="s">
        <v>3690</v>
      </c>
      <c r="K2017" s="10" t="s">
        <v>3685</v>
      </c>
      <c r="N2017" s="37" t="s">
        <v>3771</v>
      </c>
      <c r="P2017" s="37" t="s">
        <v>245</v>
      </c>
      <c r="S2017" s="37"/>
      <c r="T2017" s="37"/>
      <c r="U2017" s="22">
        <v>3</v>
      </c>
      <c r="V2017" s="22">
        <v>3</v>
      </c>
      <c r="W2017" s="73">
        <f t="shared" si="95"/>
        <v>473</v>
      </c>
      <c r="X2017" s="80">
        <f t="shared" si="94"/>
        <v>3291</v>
      </c>
      <c r="Y2017" s="82" t="s">
        <v>3584</v>
      </c>
      <c r="AF2017" s="19"/>
      <c r="AG2017" s="19"/>
      <c r="AH2017" s="19"/>
      <c r="AI2017" s="19"/>
      <c r="AJ2017" s="19"/>
      <c r="AK2017" s="19"/>
    </row>
    <row r="2018" spans="1:37" ht="15.45" customHeight="1" x14ac:dyDescent="0.25">
      <c r="A2018" s="156" t="s">
        <v>774</v>
      </c>
      <c r="B2018" s="28"/>
      <c r="C2018" s="37" t="s">
        <v>756</v>
      </c>
      <c r="E2018" s="37" t="s">
        <v>2830</v>
      </c>
      <c r="F2018" s="24" t="s">
        <v>491</v>
      </c>
      <c r="H2018" s="168"/>
      <c r="I2018" s="167"/>
      <c r="J2018" s="214" t="s">
        <v>3690</v>
      </c>
      <c r="K2018" s="10" t="s">
        <v>3685</v>
      </c>
      <c r="N2018" s="37" t="s">
        <v>3771</v>
      </c>
      <c r="P2018" s="37" t="s">
        <v>74</v>
      </c>
      <c r="S2018" s="37"/>
      <c r="T2018" s="37"/>
      <c r="U2018" s="22">
        <v>1</v>
      </c>
      <c r="V2018" s="22">
        <v>1</v>
      </c>
      <c r="W2018" s="73">
        <f t="shared" si="95"/>
        <v>474</v>
      </c>
      <c r="X2018" s="80">
        <f t="shared" si="94"/>
        <v>3292</v>
      </c>
      <c r="Y2018" s="82" t="s">
        <v>3584</v>
      </c>
      <c r="AF2018" s="19"/>
      <c r="AG2018" s="19"/>
      <c r="AH2018" s="19"/>
      <c r="AI2018" s="19"/>
      <c r="AJ2018" s="19"/>
      <c r="AK2018" s="19"/>
    </row>
    <row r="2019" spans="1:37" ht="15.45" customHeight="1" x14ac:dyDescent="0.25">
      <c r="A2019" s="156" t="s">
        <v>1721</v>
      </c>
      <c r="B2019" s="28"/>
      <c r="C2019" s="37" t="s">
        <v>756</v>
      </c>
      <c r="E2019" s="37" t="s">
        <v>2830</v>
      </c>
      <c r="F2019" s="24" t="s">
        <v>491</v>
      </c>
      <c r="H2019" s="168"/>
      <c r="I2019" s="167"/>
      <c r="P2019" s="37" t="s">
        <v>3776</v>
      </c>
      <c r="Q2019" s="37" t="s">
        <v>581</v>
      </c>
      <c r="S2019" s="37"/>
      <c r="T2019" s="37"/>
      <c r="U2019" s="22">
        <v>1</v>
      </c>
      <c r="V2019" s="22">
        <v>1</v>
      </c>
      <c r="W2019" s="73">
        <f t="shared" si="95"/>
        <v>475</v>
      </c>
      <c r="X2019" s="80">
        <f t="shared" si="94"/>
        <v>3293</v>
      </c>
      <c r="Y2019" s="82" t="s">
        <v>3592</v>
      </c>
      <c r="Z2019" s="24" t="s">
        <v>2888</v>
      </c>
      <c r="AF2019" s="19"/>
      <c r="AG2019" s="19"/>
      <c r="AH2019" s="19"/>
      <c r="AI2019" s="19"/>
      <c r="AJ2019" s="19"/>
      <c r="AK2019" s="19"/>
    </row>
    <row r="2020" spans="1:37" ht="15.45" customHeight="1" x14ac:dyDescent="0.25">
      <c r="A2020" s="156" t="s">
        <v>775</v>
      </c>
      <c r="B2020" s="28"/>
      <c r="C2020" s="37" t="s">
        <v>756</v>
      </c>
      <c r="E2020" s="37" t="s">
        <v>2830</v>
      </c>
      <c r="F2020" s="24" t="s">
        <v>491</v>
      </c>
      <c r="H2020" s="168"/>
      <c r="I2020" s="167"/>
      <c r="J2020" s="214" t="s">
        <v>3690</v>
      </c>
      <c r="K2020" s="10" t="s">
        <v>3685</v>
      </c>
      <c r="N2020" s="37" t="s">
        <v>3771</v>
      </c>
      <c r="P2020" s="37" t="s">
        <v>281</v>
      </c>
      <c r="S2020" s="37"/>
      <c r="T2020" s="37"/>
      <c r="U2020" s="22">
        <v>1</v>
      </c>
      <c r="V2020" s="22">
        <v>1</v>
      </c>
      <c r="W2020" s="73">
        <f t="shared" si="95"/>
        <v>476</v>
      </c>
      <c r="X2020" s="80">
        <f t="shared" si="94"/>
        <v>3294</v>
      </c>
      <c r="Y2020" s="82" t="s">
        <v>3584</v>
      </c>
      <c r="AF2020" s="19"/>
      <c r="AG2020" s="19"/>
      <c r="AH2020" s="19"/>
      <c r="AI2020" s="19"/>
      <c r="AJ2020" s="19"/>
      <c r="AK2020" s="19"/>
    </row>
    <row r="2021" spans="1:37" ht="15.45" customHeight="1" x14ac:dyDescent="0.25">
      <c r="A2021" s="156" t="s">
        <v>899</v>
      </c>
      <c r="B2021" s="28"/>
      <c r="C2021" s="37" t="s">
        <v>756</v>
      </c>
      <c r="E2021" s="37" t="s">
        <v>2830</v>
      </c>
      <c r="F2021" s="24" t="s">
        <v>491</v>
      </c>
      <c r="H2021" s="168"/>
      <c r="I2021" s="167"/>
      <c r="J2021" s="214" t="s">
        <v>3690</v>
      </c>
      <c r="K2021" s="10" t="s">
        <v>3685</v>
      </c>
      <c r="N2021" s="37" t="s">
        <v>3771</v>
      </c>
      <c r="P2021" s="37" t="s">
        <v>75</v>
      </c>
      <c r="S2021" s="37"/>
      <c r="T2021" s="37"/>
      <c r="U2021" s="22">
        <v>1</v>
      </c>
      <c r="V2021" s="22">
        <v>1</v>
      </c>
      <c r="W2021" s="73">
        <f t="shared" si="95"/>
        <v>477</v>
      </c>
      <c r="X2021" s="80">
        <f t="shared" si="94"/>
        <v>3295</v>
      </c>
      <c r="Y2021" s="82" t="s">
        <v>3584</v>
      </c>
      <c r="AF2021" s="19"/>
      <c r="AG2021" s="19"/>
      <c r="AH2021" s="19"/>
      <c r="AI2021" s="19"/>
      <c r="AJ2021" s="19"/>
      <c r="AK2021" s="19"/>
    </row>
    <row r="2022" spans="1:37" ht="15.45" customHeight="1" x14ac:dyDescent="0.25">
      <c r="A2022" s="156" t="s">
        <v>900</v>
      </c>
      <c r="B2022" s="28"/>
      <c r="C2022" s="37" t="s">
        <v>756</v>
      </c>
      <c r="E2022" s="37" t="s">
        <v>2830</v>
      </c>
      <c r="F2022" s="24" t="s">
        <v>491</v>
      </c>
      <c r="H2022" s="168"/>
      <c r="I2022" s="167"/>
      <c r="J2022" s="214" t="s">
        <v>3690</v>
      </c>
      <c r="K2022" s="10" t="s">
        <v>3685</v>
      </c>
      <c r="N2022" s="37" t="s">
        <v>3771</v>
      </c>
      <c r="P2022" s="37" t="s">
        <v>246</v>
      </c>
      <c r="S2022" s="37"/>
      <c r="T2022" s="37"/>
      <c r="U2022" s="22">
        <v>1</v>
      </c>
      <c r="V2022" s="22">
        <v>1</v>
      </c>
      <c r="W2022" s="73">
        <f t="shared" si="95"/>
        <v>478</v>
      </c>
      <c r="X2022" s="80">
        <f t="shared" si="94"/>
        <v>3296</v>
      </c>
      <c r="Y2022" s="82" t="s">
        <v>3584</v>
      </c>
      <c r="AF2022" s="19"/>
      <c r="AG2022" s="19"/>
      <c r="AH2022" s="19"/>
      <c r="AI2022" s="19"/>
      <c r="AJ2022" s="19"/>
      <c r="AK2022" s="19"/>
    </row>
    <row r="2023" spans="1:37" ht="15.45" customHeight="1" x14ac:dyDescent="0.25">
      <c r="A2023" s="156" t="s">
        <v>1105</v>
      </c>
      <c r="B2023" s="28"/>
      <c r="C2023" s="37" t="s">
        <v>756</v>
      </c>
      <c r="E2023" s="37" t="s">
        <v>2830</v>
      </c>
      <c r="F2023" s="24" t="s">
        <v>491</v>
      </c>
      <c r="H2023" s="168"/>
      <c r="I2023" s="167"/>
      <c r="J2023" s="214" t="s">
        <v>3690</v>
      </c>
      <c r="K2023" s="10" t="s">
        <v>3685</v>
      </c>
      <c r="N2023" s="37" t="s">
        <v>3771</v>
      </c>
      <c r="P2023" s="37" t="s">
        <v>327</v>
      </c>
      <c r="S2023" s="37"/>
      <c r="T2023" s="37"/>
      <c r="U2023" s="22">
        <v>1</v>
      </c>
      <c r="V2023" s="22">
        <v>1</v>
      </c>
      <c r="W2023" s="73">
        <f t="shared" si="95"/>
        <v>479</v>
      </c>
      <c r="X2023" s="80">
        <f t="shared" si="94"/>
        <v>3297</v>
      </c>
      <c r="Y2023" s="82" t="s">
        <v>3584</v>
      </c>
      <c r="AF2023" s="19"/>
      <c r="AG2023" s="19"/>
      <c r="AH2023" s="19"/>
      <c r="AI2023" s="19"/>
      <c r="AJ2023" s="19"/>
      <c r="AK2023" s="19"/>
    </row>
    <row r="2024" spans="1:37" ht="15.45" customHeight="1" x14ac:dyDescent="0.25">
      <c r="A2024" s="156" t="s">
        <v>247</v>
      </c>
      <c r="B2024" s="28"/>
      <c r="C2024" s="37" t="s">
        <v>756</v>
      </c>
      <c r="E2024" s="37" t="s">
        <v>2830</v>
      </c>
      <c r="F2024" s="24" t="s">
        <v>491</v>
      </c>
      <c r="H2024" s="168"/>
      <c r="I2024" s="167"/>
      <c r="P2024" s="37" t="s">
        <v>1563</v>
      </c>
      <c r="Q2024" s="37" t="s">
        <v>3506</v>
      </c>
      <c r="S2024" s="37"/>
      <c r="T2024" s="37"/>
      <c r="U2024" s="22">
        <v>1</v>
      </c>
      <c r="V2024" s="22">
        <v>1</v>
      </c>
      <c r="W2024" s="73">
        <f t="shared" si="95"/>
        <v>480</v>
      </c>
      <c r="X2024" s="80">
        <f t="shared" si="94"/>
        <v>3298</v>
      </c>
      <c r="Y2024" s="82" t="s">
        <v>3592</v>
      </c>
      <c r="Z2024" s="24" t="s">
        <v>2884</v>
      </c>
      <c r="AF2024" s="19"/>
      <c r="AG2024" s="19"/>
      <c r="AH2024" s="19"/>
      <c r="AI2024" s="19"/>
      <c r="AJ2024" s="19"/>
      <c r="AK2024" s="19"/>
    </row>
    <row r="2025" spans="1:37" ht="15.45" customHeight="1" x14ac:dyDescent="0.25">
      <c r="A2025" s="156" t="s">
        <v>1205</v>
      </c>
      <c r="B2025" s="28"/>
      <c r="C2025" s="37" t="s">
        <v>756</v>
      </c>
      <c r="E2025" s="37" t="s">
        <v>2830</v>
      </c>
      <c r="F2025" s="24" t="s">
        <v>491</v>
      </c>
      <c r="H2025" s="168"/>
      <c r="I2025" s="167"/>
      <c r="J2025" s="214" t="s">
        <v>3690</v>
      </c>
      <c r="K2025" s="10" t="s">
        <v>3685</v>
      </c>
      <c r="N2025" s="37" t="s">
        <v>3771</v>
      </c>
      <c r="P2025" s="37" t="s">
        <v>327</v>
      </c>
      <c r="S2025" s="37"/>
      <c r="T2025" s="37"/>
      <c r="U2025" s="22">
        <v>1</v>
      </c>
      <c r="V2025" s="22">
        <v>1</v>
      </c>
      <c r="W2025" s="73">
        <f t="shared" si="95"/>
        <v>481</v>
      </c>
      <c r="X2025" s="80">
        <f t="shared" si="94"/>
        <v>3299</v>
      </c>
      <c r="Y2025" s="82" t="s">
        <v>3584</v>
      </c>
      <c r="AF2025" s="19"/>
      <c r="AG2025" s="19"/>
      <c r="AH2025" s="19"/>
      <c r="AI2025" s="19"/>
      <c r="AJ2025" s="19"/>
      <c r="AK2025" s="19"/>
    </row>
    <row r="2026" spans="1:37" ht="15.45" customHeight="1" x14ac:dyDescent="0.25">
      <c r="A2026" s="156" t="s">
        <v>3366</v>
      </c>
      <c r="B2026" s="28"/>
      <c r="C2026" s="37" t="s">
        <v>756</v>
      </c>
      <c r="E2026" s="37" t="s">
        <v>2830</v>
      </c>
      <c r="F2026" s="24" t="s">
        <v>491</v>
      </c>
      <c r="H2026" s="168"/>
      <c r="I2026" s="167"/>
      <c r="S2026" s="37"/>
      <c r="T2026" s="37"/>
      <c r="U2026" s="22">
        <v>1</v>
      </c>
      <c r="V2026" s="22">
        <v>1</v>
      </c>
      <c r="W2026" s="73">
        <f t="shared" si="95"/>
        <v>482</v>
      </c>
      <c r="X2026" s="80">
        <f t="shared" si="94"/>
        <v>3300</v>
      </c>
      <c r="Y2026" s="82" t="s">
        <v>3592</v>
      </c>
      <c r="Z2026" s="24" t="s">
        <v>2884</v>
      </c>
      <c r="AF2026" s="19"/>
      <c r="AG2026" s="19"/>
      <c r="AH2026" s="19"/>
      <c r="AI2026" s="19"/>
      <c r="AJ2026" s="19"/>
      <c r="AK2026" s="19"/>
    </row>
    <row r="2027" spans="1:37" ht="15.45" customHeight="1" x14ac:dyDescent="0.25">
      <c r="A2027" s="156" t="s">
        <v>711</v>
      </c>
      <c r="B2027" s="28"/>
      <c r="C2027" s="37" t="s">
        <v>756</v>
      </c>
      <c r="E2027" s="37" t="s">
        <v>2830</v>
      </c>
      <c r="F2027" s="24" t="s">
        <v>492</v>
      </c>
      <c r="H2027" s="168"/>
      <c r="I2027" s="167"/>
      <c r="J2027" s="214" t="s">
        <v>3690</v>
      </c>
      <c r="K2027" s="10" t="s">
        <v>3685</v>
      </c>
      <c r="N2027" s="37" t="s">
        <v>3771</v>
      </c>
      <c r="P2027" s="37" t="s">
        <v>248</v>
      </c>
      <c r="Q2027" s="37" t="s">
        <v>1998</v>
      </c>
      <c r="S2027" s="37"/>
      <c r="T2027" s="37"/>
      <c r="U2027" s="22">
        <v>1</v>
      </c>
      <c r="V2027" s="22">
        <v>1</v>
      </c>
      <c r="W2027" s="73">
        <f t="shared" si="95"/>
        <v>483</v>
      </c>
      <c r="X2027" s="80">
        <f t="shared" si="94"/>
        <v>3301</v>
      </c>
      <c r="Y2027" s="82" t="s">
        <v>3584</v>
      </c>
      <c r="AF2027" s="19"/>
      <c r="AG2027" s="19"/>
      <c r="AH2027" s="19"/>
      <c r="AI2027" s="19"/>
      <c r="AJ2027" s="19"/>
      <c r="AK2027" s="19"/>
    </row>
    <row r="2028" spans="1:37" ht="15.45" customHeight="1" x14ac:dyDescent="0.25">
      <c r="A2028" s="156" t="s">
        <v>712</v>
      </c>
      <c r="B2028" s="28"/>
      <c r="C2028" s="37" t="s">
        <v>756</v>
      </c>
      <c r="E2028" s="37" t="s">
        <v>2830</v>
      </c>
      <c r="F2028" s="24" t="s">
        <v>492</v>
      </c>
      <c r="H2028" s="168"/>
      <c r="I2028" s="167"/>
      <c r="J2028" s="214" t="s">
        <v>3690</v>
      </c>
      <c r="K2028" s="10" t="s">
        <v>3685</v>
      </c>
      <c r="N2028" s="37" t="s">
        <v>3771</v>
      </c>
      <c r="P2028" s="37" t="s">
        <v>248</v>
      </c>
      <c r="Q2028" s="37" t="s">
        <v>1998</v>
      </c>
      <c r="S2028" s="37"/>
      <c r="T2028" s="37"/>
      <c r="U2028" s="22">
        <v>1</v>
      </c>
      <c r="V2028" s="22">
        <v>1</v>
      </c>
      <c r="W2028" s="73">
        <f t="shared" si="95"/>
        <v>484</v>
      </c>
      <c r="X2028" s="80">
        <f t="shared" si="94"/>
        <v>3302</v>
      </c>
      <c r="Y2028" s="82" t="s">
        <v>3584</v>
      </c>
      <c r="AF2028" s="19"/>
      <c r="AG2028" s="19"/>
      <c r="AH2028" s="19"/>
      <c r="AI2028" s="19"/>
      <c r="AJ2028" s="19"/>
      <c r="AK2028" s="19"/>
    </row>
    <row r="2029" spans="1:37" ht="15.45" customHeight="1" x14ac:dyDescent="0.25">
      <c r="A2029" s="156" t="s">
        <v>1609</v>
      </c>
      <c r="B2029" s="28"/>
      <c r="C2029" s="37" t="s">
        <v>756</v>
      </c>
      <c r="E2029" s="37" t="s">
        <v>2830</v>
      </c>
      <c r="F2029" s="24" t="s">
        <v>492</v>
      </c>
      <c r="H2029" s="168"/>
      <c r="I2029" s="167"/>
      <c r="J2029" s="214" t="s">
        <v>3690</v>
      </c>
      <c r="K2029" s="10" t="s">
        <v>3685</v>
      </c>
      <c r="N2029" s="37" t="s">
        <v>3771</v>
      </c>
      <c r="P2029" s="37" t="s">
        <v>249</v>
      </c>
      <c r="Q2029" s="37" t="s">
        <v>1998</v>
      </c>
      <c r="S2029" s="37"/>
      <c r="T2029" s="37"/>
      <c r="U2029" s="22">
        <v>4</v>
      </c>
      <c r="V2029" s="22">
        <v>4</v>
      </c>
      <c r="W2029" s="73">
        <f t="shared" si="95"/>
        <v>488</v>
      </c>
      <c r="X2029" s="80">
        <f t="shared" si="94"/>
        <v>3306</v>
      </c>
      <c r="Y2029" s="82" t="s">
        <v>3584</v>
      </c>
      <c r="AF2029" s="19"/>
      <c r="AG2029" s="19"/>
      <c r="AH2029" s="19"/>
      <c r="AI2029" s="19"/>
      <c r="AJ2029" s="19"/>
      <c r="AK2029" s="19"/>
    </row>
    <row r="2030" spans="1:37" ht="15.45" customHeight="1" x14ac:dyDescent="0.25">
      <c r="A2030" s="156" t="s">
        <v>1395</v>
      </c>
      <c r="B2030" s="28"/>
      <c r="C2030" s="37" t="s">
        <v>756</v>
      </c>
      <c r="E2030" s="37" t="s">
        <v>2830</v>
      </c>
      <c r="F2030" s="24" t="s">
        <v>492</v>
      </c>
      <c r="H2030" s="168"/>
      <c r="I2030" s="167"/>
      <c r="J2030" s="214" t="s">
        <v>3690</v>
      </c>
      <c r="K2030" s="10" t="s">
        <v>3685</v>
      </c>
      <c r="N2030" s="37" t="s">
        <v>3771</v>
      </c>
      <c r="P2030" s="37" t="s">
        <v>343</v>
      </c>
      <c r="Q2030" s="37" t="s">
        <v>3777</v>
      </c>
      <c r="S2030" s="37"/>
      <c r="T2030" s="37"/>
      <c r="U2030" s="22">
        <v>1</v>
      </c>
      <c r="V2030" s="22">
        <v>1</v>
      </c>
      <c r="W2030" s="73">
        <f t="shared" si="95"/>
        <v>489</v>
      </c>
      <c r="X2030" s="80">
        <f t="shared" si="94"/>
        <v>3307</v>
      </c>
      <c r="Y2030" s="82" t="s">
        <v>3584</v>
      </c>
      <c r="AF2030" s="19"/>
      <c r="AG2030" s="19"/>
      <c r="AH2030" s="19"/>
      <c r="AI2030" s="19"/>
      <c r="AJ2030" s="19"/>
      <c r="AK2030" s="19"/>
    </row>
    <row r="2031" spans="1:37" ht="15.45" customHeight="1" x14ac:dyDescent="0.25">
      <c r="A2031" s="156" t="s">
        <v>1255</v>
      </c>
      <c r="B2031" s="28"/>
      <c r="C2031" s="37" t="s">
        <v>756</v>
      </c>
      <c r="E2031" s="37" t="s">
        <v>2830</v>
      </c>
      <c r="F2031" s="24" t="s">
        <v>492</v>
      </c>
      <c r="H2031" s="168"/>
      <c r="I2031" s="167"/>
      <c r="J2031" s="214" t="s">
        <v>3690</v>
      </c>
      <c r="K2031" s="10" t="s">
        <v>3685</v>
      </c>
      <c r="N2031" s="37" t="s">
        <v>3771</v>
      </c>
      <c r="P2031" s="37" t="s">
        <v>344</v>
      </c>
      <c r="S2031" s="37"/>
      <c r="T2031" s="37"/>
      <c r="U2031" s="22">
        <v>1</v>
      </c>
      <c r="V2031" s="22">
        <v>1</v>
      </c>
      <c r="W2031" s="73">
        <f t="shared" si="95"/>
        <v>490</v>
      </c>
      <c r="X2031" s="80">
        <f t="shared" si="94"/>
        <v>3308</v>
      </c>
      <c r="Y2031" s="82" t="s">
        <v>3584</v>
      </c>
      <c r="AF2031" s="19"/>
      <c r="AG2031" s="19"/>
      <c r="AH2031" s="19"/>
      <c r="AI2031" s="19"/>
      <c r="AJ2031" s="19"/>
      <c r="AK2031" s="19"/>
    </row>
    <row r="2032" spans="1:37" ht="15.45" customHeight="1" x14ac:dyDescent="0.25">
      <c r="A2032" s="156" t="s">
        <v>1256</v>
      </c>
      <c r="B2032" s="28"/>
      <c r="C2032" s="37" t="s">
        <v>756</v>
      </c>
      <c r="E2032" s="37" t="s">
        <v>2830</v>
      </c>
      <c r="F2032" s="24" t="s">
        <v>492</v>
      </c>
      <c r="H2032" s="168"/>
      <c r="I2032" s="167"/>
      <c r="J2032" s="214" t="s">
        <v>3690</v>
      </c>
      <c r="K2032" s="10" t="s">
        <v>3685</v>
      </c>
      <c r="N2032" s="37" t="s">
        <v>3771</v>
      </c>
      <c r="P2032" s="37" t="s">
        <v>343</v>
      </c>
      <c r="Q2032" s="37" t="s">
        <v>3777</v>
      </c>
      <c r="S2032" s="37"/>
      <c r="T2032" s="37"/>
      <c r="U2032" s="22">
        <v>1</v>
      </c>
      <c r="V2032" s="22">
        <v>1</v>
      </c>
      <c r="W2032" s="73">
        <f t="shared" si="95"/>
        <v>491</v>
      </c>
      <c r="X2032" s="80">
        <f t="shared" si="94"/>
        <v>3309</v>
      </c>
      <c r="Y2032" s="82" t="s">
        <v>3584</v>
      </c>
      <c r="AF2032" s="19"/>
      <c r="AG2032" s="19"/>
      <c r="AH2032" s="19"/>
      <c r="AI2032" s="19"/>
      <c r="AJ2032" s="19"/>
      <c r="AK2032" s="19"/>
    </row>
    <row r="2033" spans="1:37" ht="15.45" customHeight="1" x14ac:dyDescent="0.25">
      <c r="A2033" s="156" t="s">
        <v>1039</v>
      </c>
      <c r="B2033" s="28"/>
      <c r="C2033" s="37" t="s">
        <v>756</v>
      </c>
      <c r="E2033" s="37" t="s">
        <v>2830</v>
      </c>
      <c r="F2033" s="24" t="s">
        <v>492</v>
      </c>
      <c r="H2033" s="168"/>
      <c r="I2033" s="167"/>
      <c r="J2033" s="214" t="s">
        <v>3690</v>
      </c>
      <c r="K2033" s="10" t="s">
        <v>3685</v>
      </c>
      <c r="N2033" s="37" t="s">
        <v>3771</v>
      </c>
      <c r="P2033" s="37" t="s">
        <v>343</v>
      </c>
      <c r="Q2033" s="37" t="s">
        <v>3777</v>
      </c>
      <c r="S2033" s="37"/>
      <c r="T2033" s="37"/>
      <c r="U2033" s="22">
        <v>4</v>
      </c>
      <c r="V2033" s="22">
        <v>4</v>
      </c>
      <c r="W2033" s="73">
        <f t="shared" si="95"/>
        <v>495</v>
      </c>
      <c r="X2033" s="80">
        <f t="shared" si="94"/>
        <v>3313</v>
      </c>
      <c r="Y2033" s="82" t="s">
        <v>3584</v>
      </c>
      <c r="AF2033" s="19"/>
      <c r="AG2033" s="19"/>
      <c r="AH2033" s="19"/>
      <c r="AI2033" s="19"/>
      <c r="AJ2033" s="19"/>
      <c r="AK2033" s="19"/>
    </row>
    <row r="2034" spans="1:37" ht="15.45" customHeight="1" x14ac:dyDescent="0.25">
      <c r="A2034" s="156" t="s">
        <v>1257</v>
      </c>
      <c r="B2034" s="28"/>
      <c r="C2034" s="37" t="s">
        <v>756</v>
      </c>
      <c r="E2034" s="37" t="s">
        <v>2830</v>
      </c>
      <c r="F2034" s="24" t="s">
        <v>492</v>
      </c>
      <c r="H2034" s="168"/>
      <c r="I2034" s="167"/>
      <c r="J2034" s="214" t="s">
        <v>3690</v>
      </c>
      <c r="K2034" s="10" t="s">
        <v>3685</v>
      </c>
      <c r="N2034" s="37" t="s">
        <v>3771</v>
      </c>
      <c r="P2034" s="37" t="s">
        <v>344</v>
      </c>
      <c r="S2034" s="37"/>
      <c r="T2034" s="37"/>
      <c r="U2034" s="22">
        <v>1</v>
      </c>
      <c r="V2034" s="22">
        <v>1</v>
      </c>
      <c r="W2034" s="73">
        <f t="shared" si="95"/>
        <v>496</v>
      </c>
      <c r="X2034" s="80">
        <f t="shared" si="94"/>
        <v>3314</v>
      </c>
      <c r="Y2034" s="82" t="s">
        <v>3584</v>
      </c>
      <c r="AF2034" s="19"/>
      <c r="AG2034" s="19"/>
      <c r="AH2034" s="19"/>
      <c r="AI2034" s="19"/>
      <c r="AJ2034" s="19"/>
      <c r="AK2034" s="19"/>
    </row>
    <row r="2035" spans="1:37" ht="15.45" customHeight="1" x14ac:dyDescent="0.25">
      <c r="A2035" s="156" t="s">
        <v>1421</v>
      </c>
      <c r="B2035" s="28"/>
      <c r="C2035" s="37" t="s">
        <v>756</v>
      </c>
      <c r="E2035" s="37" t="s">
        <v>2830</v>
      </c>
      <c r="F2035" s="24" t="s">
        <v>492</v>
      </c>
      <c r="H2035" s="168"/>
      <c r="I2035" s="167"/>
      <c r="J2035" s="214" t="s">
        <v>3690</v>
      </c>
      <c r="K2035" s="10" t="s">
        <v>3685</v>
      </c>
      <c r="N2035" s="37" t="s">
        <v>3771</v>
      </c>
      <c r="P2035" s="37" t="s">
        <v>250</v>
      </c>
      <c r="S2035" s="37"/>
      <c r="T2035" s="37"/>
      <c r="U2035" s="22">
        <v>1</v>
      </c>
      <c r="V2035" s="22">
        <v>1</v>
      </c>
      <c r="W2035" s="73">
        <f t="shared" si="95"/>
        <v>497</v>
      </c>
      <c r="X2035" s="80">
        <f t="shared" si="94"/>
        <v>3315</v>
      </c>
      <c r="Y2035" s="82" t="s">
        <v>3584</v>
      </c>
      <c r="AF2035" s="19"/>
      <c r="AG2035" s="19"/>
      <c r="AH2035" s="19"/>
      <c r="AI2035" s="19"/>
      <c r="AJ2035" s="19"/>
      <c r="AK2035" s="19"/>
    </row>
    <row r="2036" spans="1:37" ht="15.45" customHeight="1" x14ac:dyDescent="0.25">
      <c r="A2036" s="156" t="s">
        <v>1142</v>
      </c>
      <c r="B2036" s="28"/>
      <c r="C2036" s="37" t="s">
        <v>756</v>
      </c>
      <c r="E2036" s="37" t="s">
        <v>2830</v>
      </c>
      <c r="F2036" s="24" t="s">
        <v>492</v>
      </c>
      <c r="H2036" s="168"/>
      <c r="I2036" s="167"/>
      <c r="J2036" s="214" t="s">
        <v>3690</v>
      </c>
      <c r="K2036" s="10" t="s">
        <v>3685</v>
      </c>
      <c r="N2036" s="37" t="s">
        <v>3771</v>
      </c>
      <c r="P2036" s="37" t="s">
        <v>343</v>
      </c>
      <c r="Q2036" s="37" t="s">
        <v>3777</v>
      </c>
      <c r="S2036" s="37"/>
      <c r="T2036" s="37"/>
      <c r="U2036" s="22">
        <v>4</v>
      </c>
      <c r="V2036" s="22">
        <v>4</v>
      </c>
      <c r="W2036" s="73">
        <f t="shared" si="95"/>
        <v>501</v>
      </c>
      <c r="X2036" s="80">
        <f t="shared" si="94"/>
        <v>3319</v>
      </c>
      <c r="Y2036" s="82" t="s">
        <v>3584</v>
      </c>
      <c r="AF2036" s="19"/>
      <c r="AG2036" s="19"/>
      <c r="AH2036" s="19"/>
      <c r="AI2036" s="19"/>
      <c r="AJ2036" s="19"/>
      <c r="AK2036" s="19"/>
    </row>
    <row r="2037" spans="1:37" ht="15.45" customHeight="1" x14ac:dyDescent="0.25">
      <c r="A2037" s="156" t="s">
        <v>1143</v>
      </c>
      <c r="B2037" s="28"/>
      <c r="C2037" s="37" t="s">
        <v>756</v>
      </c>
      <c r="E2037" s="37" t="s">
        <v>2830</v>
      </c>
      <c r="F2037" s="24" t="s">
        <v>492</v>
      </c>
      <c r="H2037" s="168"/>
      <c r="I2037" s="167"/>
      <c r="J2037" s="214" t="s">
        <v>3690</v>
      </c>
      <c r="K2037" s="10" t="s">
        <v>3685</v>
      </c>
      <c r="N2037" s="37" t="s">
        <v>3771</v>
      </c>
      <c r="P2037" s="37" t="s">
        <v>250</v>
      </c>
      <c r="S2037" s="37"/>
      <c r="T2037" s="37"/>
      <c r="U2037" s="22">
        <v>6</v>
      </c>
      <c r="V2037" s="22">
        <v>6</v>
      </c>
      <c r="W2037" s="73">
        <f t="shared" si="95"/>
        <v>507</v>
      </c>
      <c r="X2037" s="80">
        <f t="shared" si="94"/>
        <v>3325</v>
      </c>
      <c r="Y2037" s="82" t="s">
        <v>3584</v>
      </c>
      <c r="AF2037" s="19"/>
      <c r="AG2037" s="19"/>
      <c r="AH2037" s="19"/>
      <c r="AI2037" s="19"/>
      <c r="AJ2037" s="19"/>
      <c r="AK2037" s="19"/>
    </row>
    <row r="2038" spans="1:37" ht="15.45" customHeight="1" x14ac:dyDescent="0.25">
      <c r="A2038" s="156" t="s">
        <v>1258</v>
      </c>
      <c r="B2038" s="28"/>
      <c r="C2038" s="37" t="s">
        <v>756</v>
      </c>
      <c r="E2038" s="37" t="s">
        <v>2830</v>
      </c>
      <c r="F2038" s="24" t="s">
        <v>492</v>
      </c>
      <c r="H2038" s="168"/>
      <c r="I2038" s="167"/>
      <c r="J2038" s="214" t="s">
        <v>3690</v>
      </c>
      <c r="K2038" s="10" t="s">
        <v>3685</v>
      </c>
      <c r="N2038" s="37" t="s">
        <v>3771</v>
      </c>
      <c r="P2038" s="37" t="s">
        <v>2022</v>
      </c>
      <c r="S2038" s="37"/>
      <c r="T2038" s="37"/>
      <c r="U2038" s="22">
        <v>1</v>
      </c>
      <c r="V2038" s="22">
        <v>1</v>
      </c>
      <c r="W2038" s="73">
        <f t="shared" si="95"/>
        <v>508</v>
      </c>
      <c r="X2038" s="80">
        <f t="shared" si="94"/>
        <v>3326</v>
      </c>
      <c r="Y2038" s="82" t="s">
        <v>3584</v>
      </c>
      <c r="AF2038" s="19"/>
      <c r="AG2038" s="19"/>
      <c r="AH2038" s="19"/>
      <c r="AI2038" s="19"/>
      <c r="AJ2038" s="19"/>
      <c r="AK2038" s="19"/>
    </row>
    <row r="2039" spans="1:37" ht="15.45" customHeight="1" x14ac:dyDescent="0.25">
      <c r="A2039" s="156" t="s">
        <v>5238</v>
      </c>
      <c r="B2039" s="28"/>
      <c r="C2039" s="37" t="s">
        <v>756</v>
      </c>
      <c r="E2039" s="37" t="s">
        <v>2830</v>
      </c>
      <c r="F2039" s="24" t="s">
        <v>492</v>
      </c>
      <c r="H2039" s="168"/>
      <c r="I2039" s="167"/>
      <c r="J2039" s="214" t="s">
        <v>3690</v>
      </c>
      <c r="K2039" s="10" t="s">
        <v>3685</v>
      </c>
      <c r="N2039" s="37" t="s">
        <v>3771</v>
      </c>
      <c r="P2039" s="37" t="s">
        <v>343</v>
      </c>
      <c r="Q2039" s="37" t="s">
        <v>3777</v>
      </c>
      <c r="S2039" s="37"/>
      <c r="T2039" s="37"/>
      <c r="U2039" s="22">
        <v>4</v>
      </c>
      <c r="V2039" s="22">
        <v>4</v>
      </c>
      <c r="W2039" s="73">
        <f t="shared" si="95"/>
        <v>512</v>
      </c>
      <c r="X2039" s="80">
        <f t="shared" si="94"/>
        <v>3330</v>
      </c>
      <c r="Y2039" s="82" t="s">
        <v>3584</v>
      </c>
      <c r="AF2039" s="19"/>
      <c r="AG2039" s="19"/>
      <c r="AH2039" s="19"/>
      <c r="AI2039" s="19"/>
      <c r="AJ2039" s="19"/>
      <c r="AK2039" s="19"/>
    </row>
    <row r="2040" spans="1:37" ht="15.45" customHeight="1" x14ac:dyDescent="0.25">
      <c r="A2040" s="156" t="s">
        <v>934</v>
      </c>
      <c r="B2040" s="28"/>
      <c r="C2040" s="37" t="s">
        <v>756</v>
      </c>
      <c r="E2040" s="37" t="s">
        <v>2830</v>
      </c>
      <c r="F2040" s="24" t="s">
        <v>492</v>
      </c>
      <c r="H2040" s="168"/>
      <c r="I2040" s="167"/>
      <c r="J2040" s="214" t="s">
        <v>3690</v>
      </c>
      <c r="K2040" s="10" t="s">
        <v>3685</v>
      </c>
      <c r="N2040" s="37" t="s">
        <v>3771</v>
      </c>
      <c r="P2040" s="37" t="s">
        <v>250</v>
      </c>
      <c r="S2040" s="37"/>
      <c r="T2040" s="37"/>
      <c r="U2040" s="22">
        <v>3</v>
      </c>
      <c r="V2040" s="22">
        <v>3</v>
      </c>
      <c r="W2040" s="73">
        <f t="shared" si="95"/>
        <v>515</v>
      </c>
      <c r="X2040" s="80">
        <f t="shared" si="94"/>
        <v>3333</v>
      </c>
      <c r="Y2040" s="82" t="s">
        <v>3584</v>
      </c>
      <c r="AF2040" s="19"/>
      <c r="AG2040" s="19"/>
      <c r="AH2040" s="19"/>
      <c r="AI2040" s="19"/>
      <c r="AJ2040" s="19"/>
      <c r="AK2040" s="19"/>
    </row>
    <row r="2041" spans="1:37" ht="15.45" customHeight="1" x14ac:dyDescent="0.25">
      <c r="A2041" s="156" t="s">
        <v>447</v>
      </c>
      <c r="B2041" s="28"/>
      <c r="C2041" s="37" t="s">
        <v>756</v>
      </c>
      <c r="E2041" s="37" t="s">
        <v>2830</v>
      </c>
      <c r="F2041" s="24" t="s">
        <v>492</v>
      </c>
      <c r="H2041" s="168"/>
      <c r="I2041" s="167"/>
      <c r="J2041" s="214" t="s">
        <v>3690</v>
      </c>
      <c r="K2041" s="10" t="s">
        <v>3685</v>
      </c>
      <c r="N2041" s="37" t="s">
        <v>3771</v>
      </c>
      <c r="P2041" s="37" t="s">
        <v>2023</v>
      </c>
      <c r="S2041" s="37"/>
      <c r="T2041" s="37"/>
      <c r="U2041" s="22">
        <v>1</v>
      </c>
      <c r="V2041" s="22">
        <v>1</v>
      </c>
      <c r="W2041" s="73">
        <f t="shared" si="95"/>
        <v>516</v>
      </c>
      <c r="X2041" s="80">
        <f t="shared" si="94"/>
        <v>3334</v>
      </c>
      <c r="Y2041" s="82" t="s">
        <v>3584</v>
      </c>
      <c r="AF2041" s="19"/>
      <c r="AG2041" s="19"/>
      <c r="AH2041" s="19"/>
      <c r="AI2041" s="19"/>
      <c r="AJ2041" s="19"/>
      <c r="AK2041" s="19"/>
    </row>
    <row r="2042" spans="1:37" ht="15.45" customHeight="1" x14ac:dyDescent="0.25">
      <c r="A2042" s="156" t="s">
        <v>1259</v>
      </c>
      <c r="B2042" s="28"/>
      <c r="C2042" s="37" t="s">
        <v>756</v>
      </c>
      <c r="E2042" s="37" t="s">
        <v>2830</v>
      </c>
      <c r="F2042" s="24" t="s">
        <v>492</v>
      </c>
      <c r="H2042" s="168"/>
      <c r="I2042" s="167"/>
      <c r="J2042" s="214" t="s">
        <v>3690</v>
      </c>
      <c r="K2042" s="10" t="s">
        <v>3685</v>
      </c>
      <c r="N2042" s="37" t="s">
        <v>3771</v>
      </c>
      <c r="P2042" s="37" t="s">
        <v>1958</v>
      </c>
      <c r="S2042" s="37"/>
      <c r="T2042" s="37"/>
      <c r="U2042" s="22">
        <v>1</v>
      </c>
      <c r="V2042" s="22">
        <v>1</v>
      </c>
      <c r="W2042" s="73">
        <f t="shared" si="95"/>
        <v>517</v>
      </c>
      <c r="X2042" s="80">
        <f t="shared" si="94"/>
        <v>3335</v>
      </c>
      <c r="Y2042" s="82" t="s">
        <v>3584</v>
      </c>
      <c r="AF2042" s="19"/>
      <c r="AG2042" s="19"/>
      <c r="AH2042" s="19"/>
      <c r="AI2042" s="19"/>
      <c r="AJ2042" s="19"/>
      <c r="AK2042" s="19"/>
    </row>
    <row r="2043" spans="1:37" ht="15.45" customHeight="1" x14ac:dyDescent="0.25">
      <c r="A2043" s="156" t="s">
        <v>1047</v>
      </c>
      <c r="B2043" s="28"/>
      <c r="C2043" s="37" t="s">
        <v>756</v>
      </c>
      <c r="E2043" s="37" t="s">
        <v>2830</v>
      </c>
      <c r="F2043" s="24" t="s">
        <v>492</v>
      </c>
      <c r="H2043" s="168"/>
      <c r="I2043" s="167"/>
      <c r="J2043" s="214" t="s">
        <v>3690</v>
      </c>
      <c r="K2043" s="10" t="s">
        <v>3685</v>
      </c>
      <c r="N2043" s="37" t="s">
        <v>3771</v>
      </c>
      <c r="P2043" s="37" t="s">
        <v>1825</v>
      </c>
      <c r="S2043" s="37"/>
      <c r="T2043" s="37"/>
      <c r="U2043" s="22">
        <v>5</v>
      </c>
      <c r="V2043" s="22">
        <v>5</v>
      </c>
      <c r="W2043" s="73">
        <f t="shared" si="95"/>
        <v>522</v>
      </c>
      <c r="X2043" s="80">
        <f t="shared" si="94"/>
        <v>3340</v>
      </c>
      <c r="Y2043" s="82" t="s">
        <v>3584</v>
      </c>
      <c r="AF2043" s="19"/>
      <c r="AG2043" s="19"/>
      <c r="AH2043" s="19"/>
      <c r="AI2043" s="19"/>
      <c r="AJ2043" s="19"/>
      <c r="AK2043" s="19"/>
    </row>
    <row r="2044" spans="1:37" ht="15.45" customHeight="1" x14ac:dyDescent="0.25">
      <c r="A2044" s="156" t="s">
        <v>1048</v>
      </c>
      <c r="B2044" s="28"/>
      <c r="C2044" s="37" t="s">
        <v>756</v>
      </c>
      <c r="E2044" s="37" t="s">
        <v>2830</v>
      </c>
      <c r="F2044" s="24" t="s">
        <v>492</v>
      </c>
      <c r="H2044" s="168"/>
      <c r="I2044" s="167"/>
      <c r="J2044" s="214" t="s">
        <v>3690</v>
      </c>
      <c r="K2044" s="10" t="s">
        <v>3685</v>
      </c>
      <c r="N2044" s="37" t="s">
        <v>3771</v>
      </c>
      <c r="P2044" s="37" t="s">
        <v>1826</v>
      </c>
      <c r="S2044" s="37"/>
      <c r="T2044" s="37"/>
      <c r="U2044" s="22">
        <v>2</v>
      </c>
      <c r="V2044" s="22">
        <v>2</v>
      </c>
      <c r="W2044" s="73">
        <f t="shared" si="95"/>
        <v>524</v>
      </c>
      <c r="X2044" s="80">
        <f t="shared" si="94"/>
        <v>3342</v>
      </c>
      <c r="Y2044" s="82" t="s">
        <v>3584</v>
      </c>
      <c r="AF2044" s="19"/>
      <c r="AG2044" s="19"/>
      <c r="AH2044" s="19"/>
      <c r="AI2044" s="19"/>
      <c r="AJ2044" s="19"/>
      <c r="AK2044" s="19"/>
    </row>
    <row r="2045" spans="1:37" ht="15.45" customHeight="1" x14ac:dyDescent="0.25">
      <c r="A2045" s="156" t="s">
        <v>1148</v>
      </c>
      <c r="B2045" s="28"/>
      <c r="C2045" s="37" t="s">
        <v>756</v>
      </c>
      <c r="E2045" s="37" t="s">
        <v>2830</v>
      </c>
      <c r="F2045" s="24" t="s">
        <v>492</v>
      </c>
      <c r="H2045" s="168"/>
      <c r="I2045" s="167"/>
      <c r="J2045" s="214" t="s">
        <v>3690</v>
      </c>
      <c r="K2045" s="10" t="s">
        <v>3685</v>
      </c>
      <c r="N2045" s="37" t="s">
        <v>3771</v>
      </c>
      <c r="P2045" s="37" t="s">
        <v>1958</v>
      </c>
      <c r="S2045" s="37"/>
      <c r="T2045" s="37"/>
      <c r="U2045" s="22">
        <v>2</v>
      </c>
      <c r="V2045" s="22">
        <v>2</v>
      </c>
      <c r="W2045" s="73">
        <f t="shared" si="95"/>
        <v>526</v>
      </c>
      <c r="X2045" s="80">
        <f t="shared" si="94"/>
        <v>3344</v>
      </c>
      <c r="Y2045" s="82" t="s">
        <v>3584</v>
      </c>
      <c r="AF2045" s="19"/>
      <c r="AG2045" s="19"/>
      <c r="AH2045" s="19"/>
      <c r="AI2045" s="19"/>
      <c r="AJ2045" s="19"/>
      <c r="AK2045" s="19"/>
    </row>
    <row r="2046" spans="1:37" ht="15.45" customHeight="1" x14ac:dyDescent="0.25">
      <c r="A2046" s="156" t="s">
        <v>1398</v>
      </c>
      <c r="B2046" s="28"/>
      <c r="C2046" s="37" t="s">
        <v>756</v>
      </c>
      <c r="E2046" s="37" t="s">
        <v>2830</v>
      </c>
      <c r="F2046" s="24" t="s">
        <v>492</v>
      </c>
      <c r="H2046" s="168"/>
      <c r="I2046" s="167"/>
      <c r="J2046" s="214" t="s">
        <v>3690</v>
      </c>
      <c r="K2046" s="10" t="s">
        <v>3685</v>
      </c>
      <c r="N2046" s="37" t="s">
        <v>3771</v>
      </c>
      <c r="P2046" s="37" t="s">
        <v>1827</v>
      </c>
      <c r="S2046" s="37"/>
      <c r="T2046" s="37"/>
      <c r="U2046" s="22">
        <v>4</v>
      </c>
      <c r="V2046" s="22">
        <v>4</v>
      </c>
      <c r="W2046" s="73">
        <f t="shared" si="95"/>
        <v>530</v>
      </c>
      <c r="X2046" s="80">
        <f t="shared" si="94"/>
        <v>3348</v>
      </c>
      <c r="Y2046" s="82" t="s">
        <v>3584</v>
      </c>
      <c r="AF2046" s="19"/>
      <c r="AG2046" s="19"/>
      <c r="AH2046" s="19"/>
      <c r="AI2046" s="19"/>
      <c r="AJ2046" s="19"/>
      <c r="AK2046" s="19"/>
    </row>
    <row r="2047" spans="1:37" ht="15.45" customHeight="1" x14ac:dyDescent="0.25">
      <c r="A2047" s="156" t="s">
        <v>858</v>
      </c>
      <c r="B2047" s="28"/>
      <c r="C2047" s="37" t="s">
        <v>756</v>
      </c>
      <c r="E2047" s="37" t="s">
        <v>2830</v>
      </c>
      <c r="F2047" s="24" t="s">
        <v>492</v>
      </c>
      <c r="H2047" s="168"/>
      <c r="I2047" s="167"/>
      <c r="J2047" s="214" t="s">
        <v>3690</v>
      </c>
      <c r="K2047" s="10" t="s">
        <v>3685</v>
      </c>
      <c r="N2047" s="37" t="s">
        <v>3771</v>
      </c>
      <c r="P2047" s="37" t="s">
        <v>1827</v>
      </c>
      <c r="S2047" s="37"/>
      <c r="T2047" s="37"/>
      <c r="U2047" s="22">
        <v>3</v>
      </c>
      <c r="V2047" s="22">
        <v>3</v>
      </c>
      <c r="W2047" s="73">
        <f t="shared" si="95"/>
        <v>533</v>
      </c>
      <c r="X2047" s="80">
        <f t="shared" si="94"/>
        <v>3351</v>
      </c>
      <c r="Y2047" s="82" t="s">
        <v>3584</v>
      </c>
      <c r="AF2047" s="19"/>
      <c r="AG2047" s="19"/>
      <c r="AH2047" s="19"/>
      <c r="AI2047" s="19"/>
      <c r="AJ2047" s="19"/>
      <c r="AK2047" s="19"/>
    </row>
    <row r="2048" spans="1:37" ht="15.45" customHeight="1" x14ac:dyDescent="0.25">
      <c r="A2048" s="156" t="s">
        <v>716</v>
      </c>
      <c r="B2048" s="28"/>
      <c r="C2048" s="37" t="s">
        <v>756</v>
      </c>
      <c r="E2048" s="37" t="s">
        <v>2830</v>
      </c>
      <c r="F2048" s="24" t="s">
        <v>492</v>
      </c>
      <c r="H2048" s="168"/>
      <c r="I2048" s="167"/>
      <c r="J2048" s="214" t="s">
        <v>3690</v>
      </c>
      <c r="K2048" s="10" t="s">
        <v>3685</v>
      </c>
      <c r="N2048" s="37" t="s">
        <v>3771</v>
      </c>
      <c r="P2048" s="37" t="s">
        <v>1827</v>
      </c>
      <c r="S2048" s="37"/>
      <c r="T2048" s="37"/>
      <c r="U2048" s="22">
        <v>5</v>
      </c>
      <c r="V2048" s="22">
        <v>5</v>
      </c>
      <c r="W2048" s="73">
        <f t="shared" si="95"/>
        <v>538</v>
      </c>
      <c r="X2048" s="80">
        <f t="shared" si="94"/>
        <v>3356</v>
      </c>
      <c r="Y2048" s="82" t="s">
        <v>3584</v>
      </c>
      <c r="AF2048" s="19"/>
      <c r="AG2048" s="19"/>
      <c r="AH2048" s="19"/>
      <c r="AI2048" s="19"/>
      <c r="AJ2048" s="19"/>
      <c r="AK2048" s="19"/>
    </row>
    <row r="2049" spans="1:37" ht="15.45" customHeight="1" x14ac:dyDescent="0.25">
      <c r="A2049" s="156" t="s">
        <v>946</v>
      </c>
      <c r="B2049" s="28"/>
      <c r="C2049" s="37" t="s">
        <v>756</v>
      </c>
      <c r="E2049" s="37" t="s">
        <v>2830</v>
      </c>
      <c r="F2049" s="24" t="s">
        <v>492</v>
      </c>
      <c r="H2049" s="168"/>
      <c r="I2049" s="167"/>
      <c r="J2049" s="214" t="s">
        <v>3690</v>
      </c>
      <c r="K2049" s="10" t="s">
        <v>3685</v>
      </c>
      <c r="N2049" s="37" t="s">
        <v>3771</v>
      </c>
      <c r="P2049" s="37" t="s">
        <v>1827</v>
      </c>
      <c r="S2049" s="37"/>
      <c r="T2049" s="37"/>
      <c r="U2049" s="22">
        <v>4</v>
      </c>
      <c r="V2049" s="22">
        <v>4</v>
      </c>
      <c r="W2049" s="73">
        <f t="shared" si="95"/>
        <v>542</v>
      </c>
      <c r="X2049" s="80">
        <f t="shared" ref="X2049:X2112" si="96">V2049+X2048</f>
        <v>3360</v>
      </c>
      <c r="Y2049" s="82" t="s">
        <v>3584</v>
      </c>
      <c r="AF2049" s="19"/>
      <c r="AG2049" s="19"/>
      <c r="AH2049" s="19"/>
      <c r="AI2049" s="19"/>
      <c r="AJ2049" s="19"/>
      <c r="AK2049" s="19"/>
    </row>
    <row r="2050" spans="1:37" ht="15.45" customHeight="1" x14ac:dyDescent="0.25">
      <c r="A2050" s="156" t="s">
        <v>636</v>
      </c>
      <c r="B2050" s="28"/>
      <c r="C2050" s="37" t="s">
        <v>756</v>
      </c>
      <c r="E2050" s="37" t="s">
        <v>2830</v>
      </c>
      <c r="F2050" s="24" t="s">
        <v>492</v>
      </c>
      <c r="H2050" s="168"/>
      <c r="I2050" s="167"/>
      <c r="J2050" s="214" t="s">
        <v>3690</v>
      </c>
      <c r="K2050" s="10" t="s">
        <v>3685</v>
      </c>
      <c r="N2050" s="37" t="s">
        <v>3771</v>
      </c>
      <c r="P2050" s="37" t="s">
        <v>1827</v>
      </c>
      <c r="S2050" s="37"/>
      <c r="T2050" s="37"/>
      <c r="U2050" s="22">
        <v>3</v>
      </c>
      <c r="V2050" s="22">
        <v>3</v>
      </c>
      <c r="W2050" s="73">
        <f t="shared" si="95"/>
        <v>545</v>
      </c>
      <c r="X2050" s="80">
        <f t="shared" si="96"/>
        <v>3363</v>
      </c>
      <c r="Y2050" s="82" t="s">
        <v>3584</v>
      </c>
      <c r="AF2050" s="19"/>
      <c r="AG2050" s="19"/>
      <c r="AH2050" s="19"/>
      <c r="AI2050" s="19"/>
      <c r="AJ2050" s="19"/>
      <c r="AK2050" s="19"/>
    </row>
    <row r="2051" spans="1:37" ht="15.45" customHeight="1" x14ac:dyDescent="0.25">
      <c r="A2051" s="156" t="s">
        <v>1263</v>
      </c>
      <c r="B2051" s="28"/>
      <c r="C2051" s="37" t="s">
        <v>756</v>
      </c>
      <c r="E2051" s="37" t="s">
        <v>2830</v>
      </c>
      <c r="F2051" s="24" t="s">
        <v>492</v>
      </c>
      <c r="H2051" s="168"/>
      <c r="I2051" s="167"/>
      <c r="J2051" s="214" t="s">
        <v>3690</v>
      </c>
      <c r="K2051" s="10" t="s">
        <v>3685</v>
      </c>
      <c r="N2051" s="37" t="s">
        <v>3771</v>
      </c>
      <c r="P2051" s="37" t="s">
        <v>1827</v>
      </c>
      <c r="S2051" s="37"/>
      <c r="T2051" s="37"/>
      <c r="U2051" s="22">
        <v>3</v>
      </c>
      <c r="V2051" s="22">
        <v>3</v>
      </c>
      <c r="W2051" s="73">
        <f t="shared" si="95"/>
        <v>548</v>
      </c>
      <c r="X2051" s="80">
        <f t="shared" si="96"/>
        <v>3366</v>
      </c>
      <c r="Y2051" s="82" t="s">
        <v>3584</v>
      </c>
      <c r="AF2051" s="19"/>
      <c r="AG2051" s="19"/>
      <c r="AH2051" s="19"/>
      <c r="AI2051" s="19"/>
      <c r="AJ2051" s="19"/>
      <c r="AK2051" s="19"/>
    </row>
    <row r="2052" spans="1:37" ht="15.45" customHeight="1" x14ac:dyDescent="0.25">
      <c r="A2052" s="156" t="s">
        <v>1145</v>
      </c>
      <c r="B2052" s="28"/>
      <c r="C2052" s="37" t="s">
        <v>756</v>
      </c>
      <c r="E2052" s="37" t="s">
        <v>2830</v>
      </c>
      <c r="F2052" s="24" t="s">
        <v>492</v>
      </c>
      <c r="H2052" s="168"/>
      <c r="I2052" s="167"/>
      <c r="J2052" s="214" t="s">
        <v>3690</v>
      </c>
      <c r="K2052" s="10" t="s">
        <v>3685</v>
      </c>
      <c r="N2052" s="37" t="s">
        <v>3771</v>
      </c>
      <c r="P2052" s="37" t="s">
        <v>1827</v>
      </c>
      <c r="S2052" s="37"/>
      <c r="T2052" s="37"/>
      <c r="U2052" s="22">
        <v>3</v>
      </c>
      <c r="V2052" s="22">
        <v>3</v>
      </c>
      <c r="W2052" s="73">
        <f t="shared" si="95"/>
        <v>551</v>
      </c>
      <c r="X2052" s="80">
        <f t="shared" si="96"/>
        <v>3369</v>
      </c>
      <c r="Y2052" s="82" t="s">
        <v>3584</v>
      </c>
      <c r="AF2052" s="19"/>
      <c r="AG2052" s="19"/>
      <c r="AH2052" s="19"/>
      <c r="AI2052" s="19"/>
      <c r="AJ2052" s="19"/>
      <c r="AK2052" s="19"/>
    </row>
    <row r="2053" spans="1:37" ht="15.45" customHeight="1" x14ac:dyDescent="0.25">
      <c r="A2053" s="156" t="s">
        <v>453</v>
      </c>
      <c r="B2053" s="28"/>
      <c r="C2053" s="37" t="s">
        <v>756</v>
      </c>
      <c r="E2053" s="37" t="s">
        <v>2830</v>
      </c>
      <c r="F2053" s="24" t="s">
        <v>492</v>
      </c>
      <c r="H2053" s="168"/>
      <c r="I2053" s="167"/>
      <c r="J2053" s="214" t="s">
        <v>3690</v>
      </c>
      <c r="K2053" s="10" t="s">
        <v>3685</v>
      </c>
      <c r="N2053" s="37" t="s">
        <v>3771</v>
      </c>
      <c r="P2053" s="37" t="s">
        <v>1827</v>
      </c>
      <c r="S2053" s="37"/>
      <c r="T2053" s="37"/>
      <c r="U2053" s="22">
        <v>7</v>
      </c>
      <c r="V2053" s="22">
        <v>7</v>
      </c>
      <c r="W2053" s="73">
        <f t="shared" si="95"/>
        <v>558</v>
      </c>
      <c r="X2053" s="80">
        <f t="shared" si="96"/>
        <v>3376</v>
      </c>
      <c r="Y2053" s="82" t="s">
        <v>3584</v>
      </c>
      <c r="AF2053" s="19"/>
      <c r="AG2053" s="19"/>
      <c r="AH2053" s="19"/>
      <c r="AI2053" s="19"/>
      <c r="AJ2053" s="19"/>
      <c r="AK2053" s="19"/>
    </row>
    <row r="2054" spans="1:37" ht="15.45" customHeight="1" x14ac:dyDescent="0.25">
      <c r="A2054" s="156" t="s">
        <v>454</v>
      </c>
      <c r="B2054" s="28"/>
      <c r="C2054" s="37" t="s">
        <v>756</v>
      </c>
      <c r="E2054" s="37" t="s">
        <v>2830</v>
      </c>
      <c r="F2054" s="24" t="s">
        <v>492</v>
      </c>
      <c r="H2054" s="168"/>
      <c r="I2054" s="167"/>
      <c r="J2054" s="214" t="s">
        <v>3690</v>
      </c>
      <c r="K2054" s="10" t="s">
        <v>3685</v>
      </c>
      <c r="N2054" s="37" t="s">
        <v>3771</v>
      </c>
      <c r="P2054" s="37" t="s">
        <v>1827</v>
      </c>
      <c r="S2054" s="37"/>
      <c r="T2054" s="37"/>
      <c r="U2054" s="22">
        <v>2</v>
      </c>
      <c r="V2054" s="22">
        <v>2</v>
      </c>
      <c r="W2054" s="73">
        <f t="shared" si="95"/>
        <v>560</v>
      </c>
      <c r="X2054" s="80">
        <f t="shared" si="96"/>
        <v>3378</v>
      </c>
      <c r="Y2054" s="82" t="s">
        <v>3584</v>
      </c>
      <c r="AF2054" s="19"/>
      <c r="AG2054" s="19"/>
      <c r="AH2054" s="19"/>
      <c r="AI2054" s="19"/>
      <c r="AJ2054" s="19"/>
      <c r="AK2054" s="19"/>
    </row>
    <row r="2055" spans="1:37" ht="15.45" customHeight="1" x14ac:dyDescent="0.25">
      <c r="A2055" s="156" t="s">
        <v>455</v>
      </c>
      <c r="B2055" s="28"/>
      <c r="C2055" s="37" t="s">
        <v>756</v>
      </c>
      <c r="E2055" s="37" t="s">
        <v>2830</v>
      </c>
      <c r="F2055" s="24" t="s">
        <v>492</v>
      </c>
      <c r="H2055" s="168"/>
      <c r="I2055" s="167"/>
      <c r="J2055" s="214" t="s">
        <v>3690</v>
      </c>
      <c r="K2055" s="10" t="s">
        <v>3685</v>
      </c>
      <c r="N2055" s="37" t="s">
        <v>3771</v>
      </c>
      <c r="P2055" s="37" t="s">
        <v>1827</v>
      </c>
      <c r="S2055" s="37"/>
      <c r="T2055" s="37"/>
      <c r="U2055" s="22">
        <v>3</v>
      </c>
      <c r="V2055" s="22">
        <v>3</v>
      </c>
      <c r="W2055" s="73">
        <f t="shared" si="95"/>
        <v>563</v>
      </c>
      <c r="X2055" s="80">
        <f t="shared" si="96"/>
        <v>3381</v>
      </c>
      <c r="Y2055" s="82" t="s">
        <v>3584</v>
      </c>
      <c r="AF2055" s="19"/>
      <c r="AG2055" s="19"/>
      <c r="AH2055" s="19"/>
      <c r="AI2055" s="19"/>
      <c r="AJ2055" s="19"/>
      <c r="AK2055" s="19"/>
    </row>
    <row r="2056" spans="1:37" ht="15.45" customHeight="1" x14ac:dyDescent="0.25">
      <c r="A2056" s="156" t="s">
        <v>448</v>
      </c>
      <c r="B2056" s="28"/>
      <c r="C2056" s="37" t="s">
        <v>756</v>
      </c>
      <c r="E2056" s="37" t="s">
        <v>2830</v>
      </c>
      <c r="F2056" s="24" t="s">
        <v>492</v>
      </c>
      <c r="H2056" s="168"/>
      <c r="I2056" s="167"/>
      <c r="J2056" s="214" t="s">
        <v>3690</v>
      </c>
      <c r="K2056" s="10" t="s">
        <v>3685</v>
      </c>
      <c r="N2056" s="37" t="s">
        <v>3771</v>
      </c>
      <c r="P2056" s="37" t="s">
        <v>1828</v>
      </c>
      <c r="S2056" s="37"/>
      <c r="T2056" s="37"/>
      <c r="U2056" s="22">
        <v>4</v>
      </c>
      <c r="V2056" s="22">
        <v>4</v>
      </c>
      <c r="W2056" s="73">
        <f t="shared" si="95"/>
        <v>567</v>
      </c>
      <c r="X2056" s="80">
        <f t="shared" si="96"/>
        <v>3385</v>
      </c>
      <c r="Y2056" s="82" t="s">
        <v>3584</v>
      </c>
      <c r="AF2056" s="19"/>
      <c r="AG2056" s="19"/>
      <c r="AH2056" s="19"/>
      <c r="AI2056" s="19"/>
      <c r="AJ2056" s="19"/>
      <c r="AK2056" s="19"/>
    </row>
    <row r="2057" spans="1:37" ht="15.45" customHeight="1" x14ac:dyDescent="0.25">
      <c r="A2057" s="156" t="s">
        <v>1050</v>
      </c>
      <c r="B2057" s="28"/>
      <c r="C2057" s="37" t="s">
        <v>756</v>
      </c>
      <c r="E2057" s="37" t="s">
        <v>2830</v>
      </c>
      <c r="F2057" s="24" t="s">
        <v>492</v>
      </c>
      <c r="H2057" s="168"/>
      <c r="I2057" s="167"/>
      <c r="J2057" s="214" t="s">
        <v>3690</v>
      </c>
      <c r="K2057" s="10" t="s">
        <v>3685</v>
      </c>
      <c r="N2057" s="37" t="s">
        <v>3771</v>
      </c>
      <c r="P2057" s="37" t="s">
        <v>1829</v>
      </c>
      <c r="S2057" s="37"/>
      <c r="T2057" s="37"/>
      <c r="U2057" s="22">
        <v>1</v>
      </c>
      <c r="V2057" s="22">
        <v>1</v>
      </c>
      <c r="W2057" s="73">
        <f t="shared" ref="W2057:W2121" si="97">W2056+V2057</f>
        <v>568</v>
      </c>
      <c r="X2057" s="80">
        <f t="shared" si="96"/>
        <v>3386</v>
      </c>
      <c r="Y2057" s="82" t="s">
        <v>3584</v>
      </c>
      <c r="AF2057" s="19"/>
      <c r="AG2057" s="19"/>
      <c r="AH2057" s="19"/>
      <c r="AI2057" s="19"/>
      <c r="AJ2057" s="19"/>
      <c r="AK2057" s="19"/>
    </row>
    <row r="2058" spans="1:37" ht="15.45" customHeight="1" x14ac:dyDescent="0.25">
      <c r="A2058" s="156" t="s">
        <v>1261</v>
      </c>
      <c r="B2058" s="28"/>
      <c r="C2058" s="37" t="s">
        <v>756</v>
      </c>
      <c r="E2058" s="37" t="s">
        <v>2830</v>
      </c>
      <c r="F2058" s="24" t="s">
        <v>492</v>
      </c>
      <c r="H2058" s="168"/>
      <c r="I2058" s="167"/>
      <c r="J2058" s="214" t="s">
        <v>3690</v>
      </c>
      <c r="K2058" s="10" t="s">
        <v>3685</v>
      </c>
      <c r="N2058" s="37" t="s">
        <v>3771</v>
      </c>
      <c r="P2058" s="37" t="s">
        <v>1828</v>
      </c>
      <c r="S2058" s="37"/>
      <c r="T2058" s="37"/>
      <c r="U2058" s="22">
        <v>3</v>
      </c>
      <c r="V2058" s="22">
        <v>3</v>
      </c>
      <c r="W2058" s="73">
        <f t="shared" si="97"/>
        <v>571</v>
      </c>
      <c r="X2058" s="80">
        <f t="shared" si="96"/>
        <v>3389</v>
      </c>
      <c r="Y2058" s="82" t="s">
        <v>3584</v>
      </c>
      <c r="AF2058" s="19"/>
      <c r="AG2058" s="19"/>
      <c r="AH2058" s="19"/>
      <c r="AI2058" s="19"/>
      <c r="AJ2058" s="19"/>
      <c r="AK2058" s="19"/>
    </row>
    <row r="2059" spans="1:37" ht="15.45" customHeight="1" x14ac:dyDescent="0.25">
      <c r="A2059" s="156" t="s">
        <v>1161</v>
      </c>
      <c r="B2059" s="28"/>
      <c r="C2059" s="37" t="s">
        <v>756</v>
      </c>
      <c r="E2059" s="37" t="s">
        <v>2830</v>
      </c>
      <c r="F2059" s="24" t="s">
        <v>492</v>
      </c>
      <c r="H2059" s="168"/>
      <c r="I2059" s="167"/>
      <c r="J2059" s="214" t="s">
        <v>3690</v>
      </c>
      <c r="K2059" s="10" t="s">
        <v>3685</v>
      </c>
      <c r="N2059" s="37" t="s">
        <v>3771</v>
      </c>
      <c r="P2059" s="37" t="s">
        <v>1829</v>
      </c>
      <c r="S2059" s="37"/>
      <c r="T2059" s="37"/>
      <c r="U2059" s="22">
        <v>3</v>
      </c>
      <c r="V2059" s="22">
        <v>3</v>
      </c>
      <c r="W2059" s="73">
        <f t="shared" si="97"/>
        <v>574</v>
      </c>
      <c r="X2059" s="80">
        <f t="shared" si="96"/>
        <v>3392</v>
      </c>
      <c r="Y2059" s="82" t="s">
        <v>3584</v>
      </c>
      <c r="AF2059" s="19"/>
      <c r="AG2059" s="19"/>
      <c r="AH2059" s="19"/>
      <c r="AI2059" s="19"/>
      <c r="AJ2059" s="19"/>
      <c r="AK2059" s="19"/>
    </row>
    <row r="2060" spans="1:37" ht="15.45" customHeight="1" x14ac:dyDescent="0.25">
      <c r="A2060" s="156" t="s">
        <v>942</v>
      </c>
      <c r="B2060" s="28"/>
      <c r="C2060" s="37" t="s">
        <v>756</v>
      </c>
      <c r="E2060" s="37" t="s">
        <v>2830</v>
      </c>
      <c r="F2060" s="24" t="s">
        <v>492</v>
      </c>
      <c r="H2060" s="168"/>
      <c r="I2060" s="167"/>
      <c r="J2060" s="214" t="s">
        <v>3690</v>
      </c>
      <c r="K2060" s="10" t="s">
        <v>3685</v>
      </c>
      <c r="N2060" s="37" t="s">
        <v>3771</v>
      </c>
      <c r="P2060" s="37" t="s">
        <v>1828</v>
      </c>
      <c r="S2060" s="37"/>
      <c r="T2060" s="37"/>
      <c r="U2060" s="22">
        <v>2</v>
      </c>
      <c r="V2060" s="22">
        <v>2</v>
      </c>
      <c r="W2060" s="73">
        <f t="shared" si="97"/>
        <v>576</v>
      </c>
      <c r="X2060" s="80">
        <f t="shared" si="96"/>
        <v>3394</v>
      </c>
      <c r="Y2060" s="82" t="s">
        <v>3584</v>
      </c>
      <c r="AF2060" s="19"/>
      <c r="AG2060" s="19"/>
      <c r="AH2060" s="19"/>
      <c r="AI2060" s="19"/>
      <c r="AJ2060" s="19"/>
      <c r="AK2060" s="19"/>
    </row>
    <row r="2061" spans="1:37" ht="15.45" customHeight="1" x14ac:dyDescent="0.25">
      <c r="A2061" s="156" t="s">
        <v>943</v>
      </c>
      <c r="B2061" s="28"/>
      <c r="C2061" s="37" t="s">
        <v>756</v>
      </c>
      <c r="E2061" s="37" t="s">
        <v>2830</v>
      </c>
      <c r="F2061" s="24" t="s">
        <v>492</v>
      </c>
      <c r="H2061" s="168"/>
      <c r="I2061" s="167"/>
      <c r="J2061" s="214" t="s">
        <v>3690</v>
      </c>
      <c r="K2061" s="10" t="s">
        <v>3685</v>
      </c>
      <c r="N2061" s="37" t="s">
        <v>3771</v>
      </c>
      <c r="P2061" s="37" t="s">
        <v>1916</v>
      </c>
      <c r="S2061" s="37"/>
      <c r="T2061" s="37"/>
      <c r="U2061" s="22">
        <v>3</v>
      </c>
      <c r="V2061" s="22">
        <v>3</v>
      </c>
      <c r="W2061" s="73">
        <f t="shared" si="97"/>
        <v>579</v>
      </c>
      <c r="X2061" s="80">
        <f t="shared" si="96"/>
        <v>3397</v>
      </c>
      <c r="Y2061" s="82" t="s">
        <v>3584</v>
      </c>
      <c r="AF2061" s="19"/>
      <c r="AG2061" s="19"/>
      <c r="AH2061" s="19"/>
      <c r="AI2061" s="19"/>
      <c r="AJ2061" s="19"/>
      <c r="AK2061" s="19"/>
    </row>
    <row r="2062" spans="1:37" ht="15.45" customHeight="1" x14ac:dyDescent="0.25">
      <c r="A2062" s="156" t="s">
        <v>1051</v>
      </c>
      <c r="B2062" s="28"/>
      <c r="C2062" s="37" t="s">
        <v>756</v>
      </c>
      <c r="E2062" s="37" t="s">
        <v>2830</v>
      </c>
      <c r="F2062" s="24" t="s">
        <v>492</v>
      </c>
      <c r="H2062" s="168"/>
      <c r="I2062" s="167"/>
      <c r="J2062" s="214" t="s">
        <v>3690</v>
      </c>
      <c r="K2062" s="10" t="s">
        <v>3685</v>
      </c>
      <c r="N2062" s="37" t="s">
        <v>3771</v>
      </c>
      <c r="P2062" s="37" t="s">
        <v>1828</v>
      </c>
      <c r="S2062" s="37"/>
      <c r="T2062" s="37"/>
      <c r="U2062" s="22">
        <v>1</v>
      </c>
      <c r="V2062" s="22">
        <v>1</v>
      </c>
      <c r="W2062" s="73">
        <f t="shared" si="97"/>
        <v>580</v>
      </c>
      <c r="X2062" s="80">
        <f t="shared" si="96"/>
        <v>3398</v>
      </c>
      <c r="Y2062" s="82" t="s">
        <v>3584</v>
      </c>
      <c r="AF2062" s="19"/>
      <c r="AG2062" s="19"/>
      <c r="AH2062" s="19"/>
      <c r="AI2062" s="19"/>
      <c r="AJ2062" s="19"/>
      <c r="AK2062" s="19"/>
    </row>
    <row r="2063" spans="1:37" ht="15.45" customHeight="1" x14ac:dyDescent="0.25">
      <c r="A2063" s="156" t="s">
        <v>1050</v>
      </c>
      <c r="B2063" s="28"/>
      <c r="C2063" s="37" t="s">
        <v>756</v>
      </c>
      <c r="E2063" s="37" t="s">
        <v>2830</v>
      </c>
      <c r="F2063" s="24" t="s">
        <v>492</v>
      </c>
      <c r="H2063" s="168"/>
      <c r="I2063" s="167"/>
      <c r="J2063" s="214" t="s">
        <v>3690</v>
      </c>
      <c r="K2063" s="10" t="s">
        <v>3685</v>
      </c>
      <c r="N2063" s="37" t="s">
        <v>3771</v>
      </c>
      <c r="P2063" s="37" t="s">
        <v>1829</v>
      </c>
      <c r="S2063" s="37"/>
      <c r="T2063" s="37"/>
      <c r="U2063" s="22">
        <v>2</v>
      </c>
      <c r="V2063" s="22">
        <v>2</v>
      </c>
      <c r="W2063" s="73">
        <f t="shared" si="97"/>
        <v>582</v>
      </c>
      <c r="X2063" s="80">
        <f t="shared" si="96"/>
        <v>3400</v>
      </c>
      <c r="Y2063" s="82" t="s">
        <v>3584</v>
      </c>
      <c r="AF2063" s="19"/>
      <c r="AG2063" s="19"/>
      <c r="AH2063" s="19"/>
      <c r="AI2063" s="19"/>
      <c r="AJ2063" s="19"/>
      <c r="AK2063" s="19"/>
    </row>
    <row r="2064" spans="1:37" ht="15.45" customHeight="1" x14ac:dyDescent="0.25">
      <c r="A2064" s="156" t="s">
        <v>944</v>
      </c>
      <c r="B2064" s="28"/>
      <c r="C2064" s="37" t="s">
        <v>756</v>
      </c>
      <c r="E2064" s="37" t="s">
        <v>2830</v>
      </c>
      <c r="F2064" s="24" t="s">
        <v>534</v>
      </c>
      <c r="H2064" s="168"/>
      <c r="I2064" s="167"/>
      <c r="J2064" s="214" t="s">
        <v>3690</v>
      </c>
      <c r="K2064" s="10" t="s">
        <v>3685</v>
      </c>
      <c r="N2064" s="37" t="s">
        <v>3771</v>
      </c>
      <c r="P2064" s="37" t="s">
        <v>250</v>
      </c>
      <c r="S2064" s="37"/>
      <c r="T2064" s="37"/>
      <c r="U2064" s="22">
        <v>6</v>
      </c>
      <c r="V2064" s="22">
        <v>6</v>
      </c>
      <c r="W2064" s="73">
        <f t="shared" si="97"/>
        <v>588</v>
      </c>
      <c r="X2064" s="80">
        <f t="shared" si="96"/>
        <v>3406</v>
      </c>
      <c r="Y2064" s="82" t="s">
        <v>3584</v>
      </c>
      <c r="AF2064" s="19"/>
      <c r="AG2064" s="19"/>
      <c r="AH2064" s="19"/>
      <c r="AI2064" s="19"/>
      <c r="AJ2064" s="19"/>
      <c r="AK2064" s="19"/>
    </row>
    <row r="2065" spans="1:37" ht="15.45" customHeight="1" x14ac:dyDescent="0.25">
      <c r="A2065" s="156" t="s">
        <v>1393</v>
      </c>
      <c r="B2065" s="28"/>
      <c r="C2065" s="37" t="s">
        <v>756</v>
      </c>
      <c r="E2065" s="37" t="s">
        <v>2830</v>
      </c>
      <c r="F2065" s="24" t="s">
        <v>534</v>
      </c>
      <c r="H2065" s="168"/>
      <c r="I2065" s="167"/>
      <c r="J2065" s="214" t="s">
        <v>3690</v>
      </c>
      <c r="K2065" s="10" t="s">
        <v>3685</v>
      </c>
      <c r="N2065" s="37" t="s">
        <v>3771</v>
      </c>
      <c r="P2065" s="37" t="s">
        <v>1917</v>
      </c>
      <c r="Q2065" s="37" t="s">
        <v>1998</v>
      </c>
      <c r="S2065" s="37"/>
      <c r="T2065" s="37"/>
      <c r="U2065" s="22">
        <v>2</v>
      </c>
      <c r="V2065" s="22">
        <v>2</v>
      </c>
      <c r="W2065" s="73">
        <f t="shared" si="97"/>
        <v>590</v>
      </c>
      <c r="X2065" s="80">
        <f t="shared" si="96"/>
        <v>3408</v>
      </c>
      <c r="Y2065" s="82" t="s">
        <v>3584</v>
      </c>
      <c r="AF2065" s="19"/>
      <c r="AG2065" s="19"/>
      <c r="AH2065" s="19"/>
      <c r="AI2065" s="19"/>
      <c r="AJ2065" s="19"/>
      <c r="AK2065" s="19"/>
    </row>
    <row r="2066" spans="1:37" ht="15.45" customHeight="1" x14ac:dyDescent="0.25">
      <c r="A2066" s="156" t="s">
        <v>1279</v>
      </c>
      <c r="B2066" s="28"/>
      <c r="C2066" s="37" t="s">
        <v>756</v>
      </c>
      <c r="E2066" s="37" t="s">
        <v>2830</v>
      </c>
      <c r="F2066" s="24" t="s">
        <v>534</v>
      </c>
      <c r="H2066" s="168"/>
      <c r="I2066" s="167"/>
      <c r="J2066" s="214" t="s">
        <v>3690</v>
      </c>
      <c r="K2066" s="10" t="s">
        <v>3685</v>
      </c>
      <c r="N2066" s="37" t="s">
        <v>3771</v>
      </c>
      <c r="P2066" s="37" t="s">
        <v>1918</v>
      </c>
      <c r="Q2066" s="37" t="s">
        <v>3777</v>
      </c>
      <c r="S2066" s="37"/>
      <c r="T2066" s="37"/>
      <c r="U2066" s="22">
        <v>2</v>
      </c>
      <c r="V2066" s="22">
        <v>2</v>
      </c>
      <c r="W2066" s="73">
        <f t="shared" si="97"/>
        <v>592</v>
      </c>
      <c r="X2066" s="80">
        <f t="shared" si="96"/>
        <v>3410</v>
      </c>
      <c r="Y2066" s="82" t="s">
        <v>3584</v>
      </c>
      <c r="AF2066" s="19"/>
      <c r="AG2066" s="19"/>
      <c r="AH2066" s="19"/>
      <c r="AI2066" s="19"/>
      <c r="AJ2066" s="19"/>
      <c r="AK2066" s="19"/>
    </row>
    <row r="2067" spans="1:37" ht="15.45" customHeight="1" x14ac:dyDescent="0.25">
      <c r="A2067" s="156" t="s">
        <v>1157</v>
      </c>
      <c r="B2067" s="28"/>
      <c r="C2067" s="37" t="s">
        <v>756</v>
      </c>
      <c r="E2067" s="37" t="s">
        <v>2830</v>
      </c>
      <c r="F2067" s="24" t="s">
        <v>534</v>
      </c>
      <c r="H2067" s="168"/>
      <c r="I2067" s="167"/>
      <c r="J2067" s="214" t="s">
        <v>3690</v>
      </c>
      <c r="K2067" s="10" t="s">
        <v>3685</v>
      </c>
      <c r="N2067" s="37" t="s">
        <v>3771</v>
      </c>
      <c r="P2067" s="37" t="s">
        <v>250</v>
      </c>
      <c r="S2067" s="37"/>
      <c r="T2067" s="37"/>
      <c r="U2067" s="22">
        <v>3</v>
      </c>
      <c r="V2067" s="22">
        <v>3</v>
      </c>
      <c r="W2067" s="73">
        <f t="shared" si="97"/>
        <v>595</v>
      </c>
      <c r="X2067" s="80">
        <f t="shared" si="96"/>
        <v>3413</v>
      </c>
      <c r="Y2067" s="82" t="s">
        <v>3584</v>
      </c>
      <c r="AF2067" s="19"/>
      <c r="AG2067" s="19"/>
      <c r="AH2067" s="19"/>
      <c r="AI2067" s="19"/>
      <c r="AJ2067" s="19"/>
      <c r="AK2067" s="19"/>
    </row>
    <row r="2068" spans="1:37" ht="15.45" customHeight="1" x14ac:dyDescent="0.25">
      <c r="A2068" s="156" t="s">
        <v>1158</v>
      </c>
      <c r="B2068" s="28"/>
      <c r="C2068" s="37" t="s">
        <v>756</v>
      </c>
      <c r="E2068" s="37" t="s">
        <v>2830</v>
      </c>
      <c r="F2068" s="24" t="s">
        <v>534</v>
      </c>
      <c r="H2068" s="168"/>
      <c r="I2068" s="167"/>
      <c r="J2068" s="214" t="s">
        <v>3690</v>
      </c>
      <c r="K2068" s="10" t="s">
        <v>3685</v>
      </c>
      <c r="N2068" s="37" t="s">
        <v>3771</v>
      </c>
      <c r="P2068" s="37" t="s">
        <v>1917</v>
      </c>
      <c r="S2068" s="37"/>
      <c r="T2068" s="37"/>
      <c r="U2068" s="22">
        <v>3</v>
      </c>
      <c r="V2068" s="22">
        <v>3</v>
      </c>
      <c r="W2068" s="73">
        <f t="shared" si="97"/>
        <v>598</v>
      </c>
      <c r="X2068" s="80">
        <f t="shared" si="96"/>
        <v>3416</v>
      </c>
      <c r="Y2068" s="82" t="s">
        <v>3584</v>
      </c>
      <c r="AF2068" s="19"/>
      <c r="AG2068" s="19"/>
      <c r="AH2068" s="19"/>
      <c r="AI2068" s="19"/>
      <c r="AJ2068" s="19"/>
      <c r="AK2068" s="19"/>
    </row>
    <row r="2069" spans="1:37" ht="15.45" customHeight="1" x14ac:dyDescent="0.25">
      <c r="A2069" s="156" t="s">
        <v>1159</v>
      </c>
      <c r="B2069" s="28"/>
      <c r="C2069" s="37" t="s">
        <v>756</v>
      </c>
      <c r="E2069" s="37" t="s">
        <v>2830</v>
      </c>
      <c r="F2069" s="24" t="s">
        <v>534</v>
      </c>
      <c r="H2069" s="168"/>
      <c r="I2069" s="167"/>
      <c r="J2069" s="214" t="s">
        <v>3690</v>
      </c>
      <c r="K2069" s="10" t="s">
        <v>3685</v>
      </c>
      <c r="N2069" s="37" t="s">
        <v>3771</v>
      </c>
      <c r="P2069" s="37" t="s">
        <v>1919</v>
      </c>
      <c r="Q2069" s="37" t="s">
        <v>1998</v>
      </c>
      <c r="S2069" s="37"/>
      <c r="T2069" s="37"/>
      <c r="U2069" s="22">
        <v>3</v>
      </c>
      <c r="V2069" s="22">
        <v>3</v>
      </c>
      <c r="W2069" s="73">
        <f t="shared" si="97"/>
        <v>601</v>
      </c>
      <c r="X2069" s="80">
        <f t="shared" si="96"/>
        <v>3419</v>
      </c>
      <c r="Y2069" s="82" t="s">
        <v>3584</v>
      </c>
      <c r="AF2069" s="19"/>
      <c r="AG2069" s="19"/>
      <c r="AH2069" s="19"/>
      <c r="AI2069" s="19"/>
      <c r="AJ2069" s="19"/>
      <c r="AK2069" s="19"/>
    </row>
    <row r="2070" spans="1:37" ht="15.45" customHeight="1" x14ac:dyDescent="0.25">
      <c r="A2070" s="156" t="s">
        <v>1278</v>
      </c>
      <c r="B2070" s="28"/>
      <c r="C2070" s="37" t="s">
        <v>756</v>
      </c>
      <c r="E2070" s="37" t="s">
        <v>2830</v>
      </c>
      <c r="F2070" s="24" t="s">
        <v>534</v>
      </c>
      <c r="H2070" s="168"/>
      <c r="I2070" s="167"/>
      <c r="J2070" s="214" t="s">
        <v>3690</v>
      </c>
      <c r="K2070" s="10" t="s">
        <v>3685</v>
      </c>
      <c r="N2070" s="37" t="s">
        <v>3771</v>
      </c>
      <c r="P2070" s="37" t="s">
        <v>343</v>
      </c>
      <c r="Q2070" s="37" t="s">
        <v>3777</v>
      </c>
      <c r="S2070" s="37"/>
      <c r="T2070" s="37"/>
      <c r="U2070" s="22">
        <v>7</v>
      </c>
      <c r="V2070" s="22">
        <v>7</v>
      </c>
      <c r="W2070" s="73">
        <f t="shared" si="97"/>
        <v>608</v>
      </c>
      <c r="X2070" s="80">
        <f t="shared" si="96"/>
        <v>3426</v>
      </c>
      <c r="Y2070" s="82" t="s">
        <v>3584</v>
      </c>
      <c r="AF2070" s="19"/>
      <c r="AG2070" s="19"/>
      <c r="AH2070" s="19"/>
      <c r="AI2070" s="19"/>
      <c r="AJ2070" s="19"/>
      <c r="AK2070" s="19"/>
    </row>
    <row r="2071" spans="1:37" ht="15.45" customHeight="1" x14ac:dyDescent="0.25">
      <c r="A2071" s="156" t="s">
        <v>1289</v>
      </c>
      <c r="B2071" s="28"/>
      <c r="C2071" s="37" t="s">
        <v>756</v>
      </c>
      <c r="E2071" s="37" t="s">
        <v>2830</v>
      </c>
      <c r="F2071" s="24" t="s">
        <v>534</v>
      </c>
      <c r="H2071" s="168"/>
      <c r="I2071" s="167"/>
      <c r="J2071" s="214" t="s">
        <v>3690</v>
      </c>
      <c r="K2071" s="10" t="s">
        <v>3685</v>
      </c>
      <c r="N2071" s="37" t="s">
        <v>3771</v>
      </c>
      <c r="P2071" s="37" t="s">
        <v>250</v>
      </c>
      <c r="S2071" s="37"/>
      <c r="T2071" s="37"/>
      <c r="U2071" s="22">
        <v>3</v>
      </c>
      <c r="V2071" s="22">
        <v>3</v>
      </c>
      <c r="W2071" s="73">
        <f t="shared" si="97"/>
        <v>611</v>
      </c>
      <c r="X2071" s="80">
        <f t="shared" si="96"/>
        <v>3429</v>
      </c>
      <c r="Y2071" s="82" t="s">
        <v>3584</v>
      </c>
      <c r="AF2071" s="19"/>
      <c r="AG2071" s="19"/>
      <c r="AH2071" s="19"/>
      <c r="AI2071" s="19"/>
      <c r="AJ2071" s="19"/>
      <c r="AK2071" s="19"/>
    </row>
    <row r="2072" spans="1:37" ht="15.45" customHeight="1" x14ac:dyDescent="0.25">
      <c r="A2072" s="156" t="s">
        <v>1173</v>
      </c>
      <c r="B2072" s="28"/>
      <c r="C2072" s="37" t="s">
        <v>756</v>
      </c>
      <c r="E2072" s="37" t="s">
        <v>2830</v>
      </c>
      <c r="F2072" s="24" t="s">
        <v>534</v>
      </c>
      <c r="H2072" s="168"/>
      <c r="I2072" s="167"/>
      <c r="J2072" s="214" t="s">
        <v>3690</v>
      </c>
      <c r="K2072" s="10" t="s">
        <v>3685</v>
      </c>
      <c r="N2072" s="37" t="s">
        <v>3771</v>
      </c>
      <c r="P2072" s="37" t="s">
        <v>343</v>
      </c>
      <c r="Q2072" s="37" t="s">
        <v>3777</v>
      </c>
      <c r="S2072" s="37"/>
      <c r="T2072" s="37"/>
      <c r="U2072" s="22">
        <v>7</v>
      </c>
      <c r="V2072" s="22">
        <v>7</v>
      </c>
      <c r="W2072" s="73">
        <f t="shared" si="97"/>
        <v>618</v>
      </c>
      <c r="X2072" s="80">
        <f t="shared" si="96"/>
        <v>3436</v>
      </c>
      <c r="Y2072" s="82" t="s">
        <v>3584</v>
      </c>
      <c r="AF2072" s="19"/>
      <c r="AG2072" s="19"/>
      <c r="AH2072" s="19"/>
      <c r="AI2072" s="19"/>
      <c r="AJ2072" s="19"/>
      <c r="AK2072" s="19"/>
    </row>
    <row r="2073" spans="1:37" ht="15.45" customHeight="1" x14ac:dyDescent="0.25">
      <c r="A2073" s="156" t="s">
        <v>1660</v>
      </c>
      <c r="B2073" s="28"/>
      <c r="C2073" s="37" t="s">
        <v>756</v>
      </c>
      <c r="E2073" s="37" t="s">
        <v>2830</v>
      </c>
      <c r="F2073" s="24" t="s">
        <v>534</v>
      </c>
      <c r="H2073" s="168"/>
      <c r="I2073" s="167"/>
      <c r="J2073" s="214" t="s">
        <v>3690</v>
      </c>
      <c r="K2073" s="10" t="s">
        <v>3685</v>
      </c>
      <c r="N2073" s="37" t="s">
        <v>3771</v>
      </c>
      <c r="P2073" s="37" t="s">
        <v>343</v>
      </c>
      <c r="Q2073" s="37" t="s">
        <v>3777</v>
      </c>
      <c r="S2073" s="37"/>
      <c r="T2073" s="37"/>
      <c r="U2073" s="22">
        <v>24</v>
      </c>
      <c r="V2073" s="22">
        <v>24</v>
      </c>
      <c r="W2073" s="73">
        <f t="shared" si="97"/>
        <v>642</v>
      </c>
      <c r="X2073" s="80">
        <f t="shared" si="96"/>
        <v>3460</v>
      </c>
      <c r="Y2073" s="82" t="s">
        <v>3584</v>
      </c>
      <c r="AF2073" s="19"/>
      <c r="AG2073" s="19"/>
      <c r="AH2073" s="19"/>
      <c r="AI2073" s="19"/>
      <c r="AJ2073" s="19"/>
      <c r="AK2073" s="19"/>
    </row>
    <row r="2074" spans="1:37" ht="15.45" customHeight="1" x14ac:dyDescent="0.25">
      <c r="A2074" s="156" t="s">
        <v>1661</v>
      </c>
      <c r="B2074" s="28"/>
      <c r="C2074" s="37" t="s">
        <v>756</v>
      </c>
      <c r="E2074" s="37" t="s">
        <v>2830</v>
      </c>
      <c r="F2074" s="24" t="s">
        <v>534</v>
      </c>
      <c r="H2074" s="168"/>
      <c r="I2074" s="167"/>
      <c r="J2074" s="214" t="s">
        <v>3690</v>
      </c>
      <c r="K2074" s="10" t="s">
        <v>3685</v>
      </c>
      <c r="N2074" s="37" t="s">
        <v>3771</v>
      </c>
      <c r="P2074" s="37" t="s">
        <v>249</v>
      </c>
      <c r="Q2074" s="37" t="s">
        <v>1998</v>
      </c>
      <c r="S2074" s="37"/>
      <c r="T2074" s="37"/>
      <c r="U2074" s="22">
        <v>25</v>
      </c>
      <c r="V2074" s="22">
        <v>25</v>
      </c>
      <c r="W2074" s="73">
        <f t="shared" si="97"/>
        <v>667</v>
      </c>
      <c r="X2074" s="80">
        <f t="shared" si="96"/>
        <v>3485</v>
      </c>
      <c r="Y2074" s="82" t="s">
        <v>3584</v>
      </c>
      <c r="AF2074" s="19"/>
      <c r="AG2074" s="19"/>
      <c r="AH2074" s="19"/>
      <c r="AI2074" s="19"/>
      <c r="AJ2074" s="19"/>
      <c r="AK2074" s="19"/>
    </row>
    <row r="2075" spans="1:37" ht="15.45" customHeight="1" x14ac:dyDescent="0.25">
      <c r="A2075" s="156" t="s">
        <v>1165</v>
      </c>
      <c r="B2075" s="28"/>
      <c r="C2075" s="37" t="s">
        <v>756</v>
      </c>
      <c r="E2075" s="37" t="s">
        <v>2830</v>
      </c>
      <c r="F2075" s="24" t="s">
        <v>534</v>
      </c>
      <c r="H2075" s="168"/>
      <c r="I2075" s="167"/>
      <c r="J2075" s="214" t="s">
        <v>3690</v>
      </c>
      <c r="K2075" s="10" t="s">
        <v>3685</v>
      </c>
      <c r="N2075" s="37" t="s">
        <v>3771</v>
      </c>
      <c r="P2075" s="37" t="s">
        <v>343</v>
      </c>
      <c r="Q2075" s="37" t="s">
        <v>3777</v>
      </c>
      <c r="S2075" s="37"/>
      <c r="T2075" s="37"/>
      <c r="U2075" s="22">
        <v>6</v>
      </c>
      <c r="V2075" s="22">
        <v>6</v>
      </c>
      <c r="W2075" s="73">
        <f t="shared" si="97"/>
        <v>673</v>
      </c>
      <c r="X2075" s="80">
        <f t="shared" si="96"/>
        <v>3491</v>
      </c>
      <c r="Y2075" s="82" t="s">
        <v>3584</v>
      </c>
      <c r="AF2075" s="19"/>
      <c r="AG2075" s="19"/>
      <c r="AH2075" s="19"/>
      <c r="AI2075" s="19"/>
      <c r="AJ2075" s="19"/>
      <c r="AK2075" s="19"/>
    </row>
    <row r="2076" spans="1:37" ht="15.45" customHeight="1" x14ac:dyDescent="0.25">
      <c r="A2076" s="156" t="s">
        <v>1297</v>
      </c>
      <c r="B2076" s="28"/>
      <c r="C2076" s="37" t="s">
        <v>756</v>
      </c>
      <c r="E2076" s="37" t="s">
        <v>2830</v>
      </c>
      <c r="F2076" s="24" t="s">
        <v>534</v>
      </c>
      <c r="H2076" s="168"/>
      <c r="I2076" s="167"/>
      <c r="J2076" s="214" t="s">
        <v>3690</v>
      </c>
      <c r="K2076" s="10" t="s">
        <v>3685</v>
      </c>
      <c r="N2076" s="37" t="s">
        <v>3771</v>
      </c>
      <c r="P2076" s="37" t="s">
        <v>2022</v>
      </c>
      <c r="S2076" s="37"/>
      <c r="T2076" s="37"/>
      <c r="U2076" s="22">
        <v>3</v>
      </c>
      <c r="V2076" s="22">
        <v>3</v>
      </c>
      <c r="W2076" s="73">
        <f t="shared" si="97"/>
        <v>676</v>
      </c>
      <c r="X2076" s="80">
        <f t="shared" si="96"/>
        <v>3494</v>
      </c>
      <c r="Y2076" s="82" t="s">
        <v>3584</v>
      </c>
      <c r="AF2076" s="19"/>
      <c r="AG2076" s="19"/>
      <c r="AH2076" s="19"/>
      <c r="AI2076" s="19"/>
      <c r="AJ2076" s="19"/>
      <c r="AK2076" s="19"/>
    </row>
    <row r="2077" spans="1:37" ht="15.45" customHeight="1" x14ac:dyDescent="0.25">
      <c r="A2077" s="156" t="s">
        <v>1298</v>
      </c>
      <c r="B2077" s="28"/>
      <c r="C2077" s="37" t="s">
        <v>756</v>
      </c>
      <c r="E2077" s="37" t="s">
        <v>2830</v>
      </c>
      <c r="F2077" s="24" t="s">
        <v>534</v>
      </c>
      <c r="H2077" s="168"/>
      <c r="I2077" s="167"/>
      <c r="J2077" s="214" t="s">
        <v>3690</v>
      </c>
      <c r="K2077" s="10" t="s">
        <v>3685</v>
      </c>
      <c r="N2077" s="37" t="s">
        <v>3771</v>
      </c>
      <c r="P2077" s="37" t="s">
        <v>2022</v>
      </c>
      <c r="Q2077" s="37" t="s">
        <v>1998</v>
      </c>
      <c r="S2077" s="37"/>
      <c r="T2077" s="37"/>
      <c r="U2077" s="22">
        <v>2</v>
      </c>
      <c r="V2077" s="22">
        <v>2</v>
      </c>
      <c r="W2077" s="73">
        <f t="shared" si="97"/>
        <v>678</v>
      </c>
      <c r="X2077" s="80">
        <f t="shared" si="96"/>
        <v>3496</v>
      </c>
      <c r="Y2077" s="82" t="s">
        <v>3584</v>
      </c>
      <c r="AF2077" s="19"/>
      <c r="AG2077" s="19"/>
      <c r="AH2077" s="19"/>
      <c r="AI2077" s="19"/>
      <c r="AJ2077" s="19"/>
      <c r="AK2077" s="19"/>
    </row>
    <row r="2078" spans="1:37" ht="15.45" customHeight="1" x14ac:dyDescent="0.25">
      <c r="A2078" s="156" t="s">
        <v>1286</v>
      </c>
      <c r="B2078" s="28"/>
      <c r="C2078" s="37" t="s">
        <v>756</v>
      </c>
      <c r="E2078" s="37" t="s">
        <v>2830</v>
      </c>
      <c r="F2078" s="24" t="s">
        <v>534</v>
      </c>
      <c r="H2078" s="168"/>
      <c r="I2078" s="167"/>
      <c r="J2078" s="214" t="s">
        <v>3690</v>
      </c>
      <c r="K2078" s="10" t="s">
        <v>3685</v>
      </c>
      <c r="N2078" s="37" t="s">
        <v>3772</v>
      </c>
      <c r="S2078" s="37"/>
      <c r="T2078" s="37"/>
      <c r="U2078" s="22">
        <v>5</v>
      </c>
      <c r="V2078" s="22">
        <v>5</v>
      </c>
      <c r="W2078" s="73">
        <f t="shared" si="97"/>
        <v>683</v>
      </c>
      <c r="X2078" s="80">
        <f t="shared" si="96"/>
        <v>3501</v>
      </c>
      <c r="Y2078" s="82" t="s">
        <v>3584</v>
      </c>
      <c r="AF2078" s="19"/>
      <c r="AG2078" s="19"/>
      <c r="AH2078" s="19"/>
      <c r="AI2078" s="19"/>
      <c r="AJ2078" s="19"/>
      <c r="AK2078" s="19"/>
    </row>
    <row r="2079" spans="1:37" ht="15.45" customHeight="1" x14ac:dyDescent="0.25">
      <c r="A2079" s="156" t="s">
        <v>1292</v>
      </c>
      <c r="B2079" s="28"/>
      <c r="C2079" s="37" t="s">
        <v>756</v>
      </c>
      <c r="E2079" s="37" t="s">
        <v>2830</v>
      </c>
      <c r="F2079" s="24" t="s">
        <v>534</v>
      </c>
      <c r="H2079" s="168"/>
      <c r="I2079" s="167"/>
      <c r="J2079" s="214" t="s">
        <v>3690</v>
      </c>
      <c r="K2079" s="10" t="s">
        <v>3685</v>
      </c>
      <c r="N2079" s="37" t="s">
        <v>3771</v>
      </c>
      <c r="P2079" s="37" t="s">
        <v>1697</v>
      </c>
      <c r="S2079" s="37"/>
      <c r="T2079" s="37"/>
      <c r="U2079" s="22">
        <v>4</v>
      </c>
      <c r="V2079" s="22">
        <v>4</v>
      </c>
      <c r="W2079" s="73">
        <f t="shared" si="97"/>
        <v>687</v>
      </c>
      <c r="X2079" s="80">
        <f t="shared" si="96"/>
        <v>3505</v>
      </c>
      <c r="Y2079" s="82" t="s">
        <v>3584</v>
      </c>
      <c r="AF2079" s="19"/>
      <c r="AG2079" s="19"/>
      <c r="AH2079" s="19"/>
      <c r="AI2079" s="19"/>
      <c r="AJ2079" s="19"/>
      <c r="AK2079" s="19"/>
    </row>
    <row r="2080" spans="1:37" ht="15.45" customHeight="1" x14ac:dyDescent="0.25">
      <c r="A2080" s="156" t="s">
        <v>1538</v>
      </c>
      <c r="B2080" s="28"/>
      <c r="C2080" s="37" t="s">
        <v>756</v>
      </c>
      <c r="E2080" s="37" t="s">
        <v>2830</v>
      </c>
      <c r="F2080" s="24" t="s">
        <v>534</v>
      </c>
      <c r="H2080" s="168"/>
      <c r="I2080" s="167"/>
      <c r="J2080" s="214" t="s">
        <v>3690</v>
      </c>
      <c r="K2080" s="10" t="s">
        <v>3685</v>
      </c>
      <c r="N2080" s="37" t="s">
        <v>3771</v>
      </c>
      <c r="P2080" s="37" t="s">
        <v>1697</v>
      </c>
      <c r="S2080" s="37"/>
      <c r="T2080" s="37"/>
      <c r="U2080" s="22">
        <v>8</v>
      </c>
      <c r="V2080" s="22">
        <v>8</v>
      </c>
      <c r="W2080" s="73">
        <f t="shared" si="97"/>
        <v>695</v>
      </c>
      <c r="X2080" s="80">
        <f t="shared" si="96"/>
        <v>3513</v>
      </c>
      <c r="Y2080" s="82" t="s">
        <v>3584</v>
      </c>
      <c r="AF2080" s="19"/>
      <c r="AG2080" s="19"/>
      <c r="AH2080" s="19"/>
      <c r="AI2080" s="19"/>
      <c r="AJ2080" s="19"/>
      <c r="AK2080" s="19"/>
    </row>
    <row r="2081" spans="1:37" ht="15.45" customHeight="1" x14ac:dyDescent="0.25">
      <c r="A2081" s="156" t="s">
        <v>1458</v>
      </c>
      <c r="B2081" s="28"/>
      <c r="C2081" s="37" t="s">
        <v>756</v>
      </c>
      <c r="E2081" s="37" t="s">
        <v>2830</v>
      </c>
      <c r="F2081" s="24" t="s">
        <v>534</v>
      </c>
      <c r="H2081" s="168"/>
      <c r="I2081" s="167"/>
      <c r="J2081" s="214" t="s">
        <v>3690</v>
      </c>
      <c r="K2081" s="10" t="s">
        <v>3685</v>
      </c>
      <c r="N2081" s="37" t="s">
        <v>3771</v>
      </c>
      <c r="P2081" s="37" t="s">
        <v>1826</v>
      </c>
      <c r="S2081" s="37"/>
      <c r="T2081" s="37"/>
      <c r="U2081" s="22">
        <v>9</v>
      </c>
      <c r="V2081" s="22">
        <v>9</v>
      </c>
      <c r="W2081" s="73">
        <f t="shared" si="97"/>
        <v>704</v>
      </c>
      <c r="X2081" s="80">
        <f t="shared" si="96"/>
        <v>3522</v>
      </c>
      <c r="Y2081" s="82" t="s">
        <v>3584</v>
      </c>
      <c r="AF2081" s="19"/>
      <c r="AG2081" s="19"/>
      <c r="AH2081" s="19"/>
      <c r="AI2081" s="19"/>
      <c r="AJ2081" s="19"/>
      <c r="AK2081" s="19"/>
    </row>
    <row r="2082" spans="1:37" ht="15.45" customHeight="1" x14ac:dyDescent="0.25">
      <c r="A2082" s="156" t="s">
        <v>1293</v>
      </c>
      <c r="B2082" s="28"/>
      <c r="C2082" s="37" t="s">
        <v>756</v>
      </c>
      <c r="E2082" s="37" t="s">
        <v>2830</v>
      </c>
      <c r="F2082" s="24" t="s">
        <v>534</v>
      </c>
      <c r="H2082" s="168"/>
      <c r="I2082" s="167"/>
      <c r="J2082" s="214" t="s">
        <v>3690</v>
      </c>
      <c r="K2082" s="10" t="s">
        <v>3685</v>
      </c>
      <c r="N2082" s="37" t="s">
        <v>3771</v>
      </c>
      <c r="P2082" s="37" t="s">
        <v>1698</v>
      </c>
      <c r="S2082" s="37"/>
      <c r="T2082" s="37"/>
      <c r="U2082" s="22">
        <v>2</v>
      </c>
      <c r="V2082" s="22">
        <v>2</v>
      </c>
      <c r="W2082" s="73">
        <f t="shared" si="97"/>
        <v>706</v>
      </c>
      <c r="X2082" s="80">
        <f t="shared" si="96"/>
        <v>3524</v>
      </c>
      <c r="Y2082" s="82" t="s">
        <v>3584</v>
      </c>
      <c r="AF2082" s="19"/>
      <c r="AG2082" s="19"/>
      <c r="AH2082" s="19"/>
      <c r="AI2082" s="19"/>
      <c r="AJ2082" s="19"/>
      <c r="AK2082" s="19"/>
    </row>
    <row r="2083" spans="1:37" ht="15.45" customHeight="1" x14ac:dyDescent="0.25">
      <c r="A2083" s="156" t="s">
        <v>1718</v>
      </c>
      <c r="B2083" s="28"/>
      <c r="C2083" s="37" t="s">
        <v>756</v>
      </c>
      <c r="E2083" s="37" t="s">
        <v>2830</v>
      </c>
      <c r="F2083" s="24" t="s">
        <v>534</v>
      </c>
      <c r="H2083" s="168"/>
      <c r="I2083" s="167"/>
      <c r="J2083" s="214" t="s">
        <v>3690</v>
      </c>
      <c r="K2083" s="10" t="s">
        <v>3685</v>
      </c>
      <c r="N2083" s="37" t="s">
        <v>3771</v>
      </c>
      <c r="P2083" s="37" t="s">
        <v>1827</v>
      </c>
      <c r="S2083" s="37"/>
      <c r="T2083" s="37"/>
      <c r="U2083" s="22">
        <v>9</v>
      </c>
      <c r="V2083" s="22">
        <v>9</v>
      </c>
      <c r="W2083" s="73">
        <f t="shared" si="97"/>
        <v>715</v>
      </c>
      <c r="X2083" s="80">
        <f t="shared" si="96"/>
        <v>3533</v>
      </c>
      <c r="Y2083" s="82" t="s">
        <v>3584</v>
      </c>
      <c r="AF2083" s="19"/>
      <c r="AG2083" s="19"/>
      <c r="AH2083" s="19"/>
      <c r="AI2083" s="19"/>
      <c r="AJ2083" s="19"/>
      <c r="AK2083" s="19"/>
    </row>
    <row r="2084" spans="1:37" ht="15.45" customHeight="1" x14ac:dyDescent="0.25">
      <c r="A2084" s="156" t="s">
        <v>1295</v>
      </c>
      <c r="B2084" s="28"/>
      <c r="C2084" s="37" t="s">
        <v>756</v>
      </c>
      <c r="E2084" s="37" t="s">
        <v>2830</v>
      </c>
      <c r="F2084" s="24" t="s">
        <v>534</v>
      </c>
      <c r="H2084" s="168"/>
      <c r="I2084" s="167"/>
      <c r="J2084" s="214" t="s">
        <v>3690</v>
      </c>
      <c r="K2084" s="10" t="s">
        <v>3685</v>
      </c>
      <c r="N2084" s="37" t="s">
        <v>3771</v>
      </c>
      <c r="P2084" s="37" t="s">
        <v>1827</v>
      </c>
      <c r="S2084" s="37"/>
      <c r="T2084" s="37"/>
      <c r="U2084" s="22">
        <v>5</v>
      </c>
      <c r="V2084" s="22">
        <v>5</v>
      </c>
      <c r="W2084" s="73">
        <f t="shared" si="97"/>
        <v>720</v>
      </c>
      <c r="X2084" s="80">
        <f t="shared" si="96"/>
        <v>3538</v>
      </c>
      <c r="Y2084" s="82" t="s">
        <v>3584</v>
      </c>
      <c r="AF2084" s="19"/>
      <c r="AG2084" s="19"/>
      <c r="AH2084" s="19"/>
      <c r="AI2084" s="19"/>
      <c r="AJ2084" s="19"/>
      <c r="AK2084" s="19"/>
    </row>
    <row r="2085" spans="1:37" ht="15.45" customHeight="1" x14ac:dyDescent="0.25">
      <c r="A2085" s="156" t="s">
        <v>1296</v>
      </c>
      <c r="B2085" s="28"/>
      <c r="C2085" s="37" t="s">
        <v>756</v>
      </c>
      <c r="E2085" s="37" t="s">
        <v>2830</v>
      </c>
      <c r="F2085" s="24" t="s">
        <v>534</v>
      </c>
      <c r="H2085" s="168"/>
      <c r="I2085" s="167"/>
      <c r="J2085" s="214" t="s">
        <v>3690</v>
      </c>
      <c r="K2085" s="10" t="s">
        <v>3685</v>
      </c>
      <c r="N2085" s="37" t="s">
        <v>3771</v>
      </c>
      <c r="P2085" s="37" t="s">
        <v>1827</v>
      </c>
      <c r="S2085" s="37"/>
      <c r="T2085" s="37"/>
      <c r="U2085" s="22">
        <v>2</v>
      </c>
      <c r="V2085" s="22">
        <v>2</v>
      </c>
      <c r="W2085" s="73">
        <f t="shared" si="97"/>
        <v>722</v>
      </c>
      <c r="X2085" s="80">
        <f t="shared" si="96"/>
        <v>3540</v>
      </c>
      <c r="Y2085" s="82" t="s">
        <v>3584</v>
      </c>
      <c r="AF2085" s="19"/>
      <c r="AG2085" s="19"/>
      <c r="AH2085" s="19"/>
      <c r="AI2085" s="19"/>
      <c r="AJ2085" s="19"/>
      <c r="AK2085" s="19"/>
    </row>
    <row r="2086" spans="1:37" ht="15.45" customHeight="1" x14ac:dyDescent="0.25">
      <c r="A2086" s="156" t="s">
        <v>1641</v>
      </c>
      <c r="B2086" s="28"/>
      <c r="C2086" s="37" t="s">
        <v>756</v>
      </c>
      <c r="E2086" s="37" t="s">
        <v>2830</v>
      </c>
      <c r="F2086" s="24" t="s">
        <v>534</v>
      </c>
      <c r="H2086" s="168"/>
      <c r="I2086" s="167"/>
      <c r="J2086" s="214" t="s">
        <v>3690</v>
      </c>
      <c r="K2086" s="10" t="s">
        <v>3685</v>
      </c>
      <c r="N2086" s="37" t="s">
        <v>3771</v>
      </c>
      <c r="P2086" s="37" t="s">
        <v>1827</v>
      </c>
      <c r="S2086" s="37"/>
      <c r="T2086" s="37"/>
      <c r="U2086" s="22">
        <v>2</v>
      </c>
      <c r="V2086" s="22">
        <v>2</v>
      </c>
      <c r="W2086" s="73">
        <f t="shared" si="97"/>
        <v>724</v>
      </c>
      <c r="X2086" s="80">
        <f t="shared" si="96"/>
        <v>3542</v>
      </c>
      <c r="Y2086" s="82" t="s">
        <v>3584</v>
      </c>
      <c r="AF2086" s="19"/>
      <c r="AG2086" s="19"/>
      <c r="AH2086" s="19"/>
      <c r="AI2086" s="19"/>
      <c r="AJ2086" s="19"/>
      <c r="AK2086" s="19"/>
    </row>
    <row r="2087" spans="1:37" ht="15.45" customHeight="1" x14ac:dyDescent="0.25">
      <c r="A2087" s="156" t="s">
        <v>1172</v>
      </c>
      <c r="B2087" s="28"/>
      <c r="C2087" s="37" t="s">
        <v>756</v>
      </c>
      <c r="E2087" s="37" t="s">
        <v>2830</v>
      </c>
      <c r="F2087" s="24" t="s">
        <v>534</v>
      </c>
      <c r="H2087" s="168"/>
      <c r="I2087" s="167"/>
      <c r="J2087" s="214" t="s">
        <v>3690</v>
      </c>
      <c r="K2087" s="10" t="s">
        <v>3685</v>
      </c>
      <c r="N2087" s="37" t="s">
        <v>3771</v>
      </c>
      <c r="P2087" s="37" t="s">
        <v>1827</v>
      </c>
      <c r="S2087" s="37"/>
      <c r="T2087" s="37"/>
      <c r="U2087" s="22">
        <v>2</v>
      </c>
      <c r="V2087" s="22">
        <v>2</v>
      </c>
      <c r="W2087" s="73">
        <f t="shared" si="97"/>
        <v>726</v>
      </c>
      <c r="X2087" s="80">
        <f t="shared" si="96"/>
        <v>3544</v>
      </c>
      <c r="Y2087" s="82" t="s">
        <v>3584</v>
      </c>
      <c r="AF2087" s="19"/>
      <c r="AG2087" s="19"/>
      <c r="AH2087" s="19"/>
      <c r="AI2087" s="19"/>
      <c r="AJ2087" s="19"/>
      <c r="AK2087" s="19"/>
    </row>
    <row r="2088" spans="1:37" ht="15.45" customHeight="1" x14ac:dyDescent="0.25">
      <c r="A2088" s="156" t="s">
        <v>968</v>
      </c>
      <c r="B2088" s="28"/>
      <c r="C2088" s="37" t="s">
        <v>756</v>
      </c>
      <c r="E2088" s="37" t="s">
        <v>2830</v>
      </c>
      <c r="F2088" s="24" t="s">
        <v>534</v>
      </c>
      <c r="H2088" s="168"/>
      <c r="I2088" s="167"/>
      <c r="J2088" s="214" t="s">
        <v>3690</v>
      </c>
      <c r="K2088" s="10" t="s">
        <v>3685</v>
      </c>
      <c r="N2088" s="37" t="s">
        <v>3771</v>
      </c>
      <c r="P2088" s="37" t="s">
        <v>1827</v>
      </c>
      <c r="S2088" s="37"/>
      <c r="T2088" s="37"/>
      <c r="U2088" s="22">
        <v>4</v>
      </c>
      <c r="V2088" s="22">
        <v>4</v>
      </c>
      <c r="W2088" s="73">
        <f t="shared" si="97"/>
        <v>730</v>
      </c>
      <c r="X2088" s="80">
        <f t="shared" si="96"/>
        <v>3548</v>
      </c>
      <c r="Y2088" s="82" t="s">
        <v>3584</v>
      </c>
      <c r="AF2088" s="19"/>
      <c r="AG2088" s="19"/>
      <c r="AH2088" s="19"/>
      <c r="AI2088" s="19"/>
      <c r="AJ2088" s="19"/>
      <c r="AK2088" s="19"/>
    </row>
    <row r="2089" spans="1:37" ht="15.45" customHeight="1" x14ac:dyDescent="0.25">
      <c r="A2089" s="156" t="s">
        <v>1302</v>
      </c>
      <c r="B2089" s="28"/>
      <c r="C2089" s="37" t="s">
        <v>756</v>
      </c>
      <c r="E2089" s="37" t="s">
        <v>2830</v>
      </c>
      <c r="F2089" s="24" t="s">
        <v>534</v>
      </c>
      <c r="H2089" s="168"/>
      <c r="I2089" s="167"/>
      <c r="J2089" s="214" t="s">
        <v>3690</v>
      </c>
      <c r="K2089" s="10" t="s">
        <v>3685</v>
      </c>
      <c r="N2089" s="37" t="s">
        <v>3771</v>
      </c>
      <c r="P2089" s="37" t="s">
        <v>1916</v>
      </c>
      <c r="S2089" s="37"/>
      <c r="T2089" s="37"/>
      <c r="U2089" s="22">
        <v>5</v>
      </c>
      <c r="V2089" s="22">
        <v>5</v>
      </c>
      <c r="W2089" s="73">
        <f t="shared" si="97"/>
        <v>735</v>
      </c>
      <c r="X2089" s="80">
        <f t="shared" si="96"/>
        <v>3553</v>
      </c>
      <c r="Y2089" s="82" t="s">
        <v>3584</v>
      </c>
      <c r="AF2089" s="19"/>
      <c r="AG2089" s="19"/>
      <c r="AH2089" s="19"/>
      <c r="AI2089" s="19"/>
      <c r="AJ2089" s="19"/>
      <c r="AK2089" s="19"/>
    </row>
    <row r="2090" spans="1:37" ht="15.45" customHeight="1" x14ac:dyDescent="0.25">
      <c r="A2090" s="156" t="s">
        <v>1163</v>
      </c>
      <c r="B2090" s="28"/>
      <c r="C2090" s="37" t="s">
        <v>756</v>
      </c>
      <c r="E2090" s="37" t="s">
        <v>2830</v>
      </c>
      <c r="F2090" s="24" t="s">
        <v>534</v>
      </c>
      <c r="H2090" s="168"/>
      <c r="I2090" s="167"/>
      <c r="J2090" s="214" t="s">
        <v>3690</v>
      </c>
      <c r="K2090" s="10" t="s">
        <v>3685</v>
      </c>
      <c r="N2090" s="37" t="s">
        <v>3771</v>
      </c>
      <c r="P2090" s="37" t="s">
        <v>1916</v>
      </c>
      <c r="S2090" s="37"/>
      <c r="T2090" s="37"/>
      <c r="U2090" s="22">
        <v>9</v>
      </c>
      <c r="V2090" s="22">
        <v>9</v>
      </c>
      <c r="W2090" s="73">
        <f t="shared" si="97"/>
        <v>744</v>
      </c>
      <c r="X2090" s="80">
        <f t="shared" si="96"/>
        <v>3562</v>
      </c>
      <c r="Y2090" s="82" t="s">
        <v>3584</v>
      </c>
      <c r="AF2090" s="19"/>
      <c r="AG2090" s="19"/>
      <c r="AH2090" s="19"/>
      <c r="AI2090" s="19"/>
      <c r="AJ2090" s="19"/>
      <c r="AK2090" s="19"/>
    </row>
    <row r="2091" spans="1:37" ht="15.45" customHeight="1" x14ac:dyDescent="0.25">
      <c r="A2091" s="156" t="s">
        <v>1171</v>
      </c>
      <c r="B2091" s="28"/>
      <c r="C2091" s="37" t="s">
        <v>756</v>
      </c>
      <c r="E2091" s="37" t="s">
        <v>2830</v>
      </c>
      <c r="F2091" s="24" t="s">
        <v>534</v>
      </c>
      <c r="H2091" s="168"/>
      <c r="I2091" s="167"/>
      <c r="J2091" s="214" t="s">
        <v>3690</v>
      </c>
      <c r="K2091" s="10" t="s">
        <v>3685</v>
      </c>
      <c r="N2091" s="37" t="s">
        <v>3771</v>
      </c>
      <c r="P2091" s="37" t="s">
        <v>1829</v>
      </c>
      <c r="S2091" s="37"/>
      <c r="T2091" s="37"/>
      <c r="U2091" s="22">
        <v>2</v>
      </c>
      <c r="V2091" s="22">
        <v>2</v>
      </c>
      <c r="W2091" s="73">
        <f t="shared" si="97"/>
        <v>746</v>
      </c>
      <c r="X2091" s="80">
        <f t="shared" si="96"/>
        <v>3564</v>
      </c>
      <c r="Y2091" s="82" t="s">
        <v>3584</v>
      </c>
      <c r="AF2091" s="19"/>
      <c r="AG2091" s="19"/>
      <c r="AH2091" s="19"/>
      <c r="AI2091" s="19"/>
      <c r="AJ2091" s="19"/>
      <c r="AK2091" s="19"/>
    </row>
    <row r="2092" spans="1:37" ht="15.45" customHeight="1" x14ac:dyDescent="0.25">
      <c r="A2092" s="156" t="s">
        <v>954</v>
      </c>
      <c r="B2092" s="28"/>
      <c r="C2092" s="37" t="s">
        <v>756</v>
      </c>
      <c r="E2092" s="37" t="s">
        <v>2830</v>
      </c>
      <c r="F2092" s="24" t="s">
        <v>534</v>
      </c>
      <c r="H2092" s="168"/>
      <c r="I2092" s="167"/>
      <c r="J2092" s="214" t="s">
        <v>3690</v>
      </c>
      <c r="K2092" s="10" t="s">
        <v>3685</v>
      </c>
      <c r="N2092" s="37" t="s">
        <v>3771</v>
      </c>
      <c r="P2092" s="37" t="s">
        <v>1829</v>
      </c>
      <c r="S2092" s="37"/>
      <c r="T2092" s="37"/>
      <c r="U2092" s="22">
        <v>5</v>
      </c>
      <c r="V2092" s="22">
        <v>5</v>
      </c>
      <c r="W2092" s="73">
        <f t="shared" si="97"/>
        <v>751</v>
      </c>
      <c r="X2092" s="80">
        <f t="shared" si="96"/>
        <v>3569</v>
      </c>
      <c r="Y2092" s="82" t="s">
        <v>3584</v>
      </c>
      <c r="AF2092" s="19"/>
      <c r="AG2092" s="19"/>
      <c r="AH2092" s="19"/>
      <c r="AI2092" s="19"/>
      <c r="AJ2092" s="19"/>
      <c r="AK2092" s="19"/>
    </row>
    <row r="2093" spans="1:37" ht="15.45" customHeight="1" x14ac:dyDescent="0.25">
      <c r="A2093" s="156" t="s">
        <v>965</v>
      </c>
      <c r="B2093" s="28"/>
      <c r="C2093" s="37" t="s">
        <v>756</v>
      </c>
      <c r="E2093" s="37" t="s">
        <v>2830</v>
      </c>
      <c r="F2093" s="24" t="s">
        <v>534</v>
      </c>
      <c r="H2093" s="168"/>
      <c r="I2093" s="167"/>
      <c r="J2093" s="214" t="s">
        <v>3690</v>
      </c>
      <c r="K2093" s="10" t="s">
        <v>3685</v>
      </c>
      <c r="N2093" s="37" t="s">
        <v>3771</v>
      </c>
      <c r="P2093" s="37" t="s">
        <v>1828</v>
      </c>
      <c r="S2093" s="37"/>
      <c r="T2093" s="37"/>
      <c r="U2093" s="22">
        <v>2</v>
      </c>
      <c r="V2093" s="22">
        <v>2</v>
      </c>
      <c r="W2093" s="73">
        <f t="shared" si="97"/>
        <v>753</v>
      </c>
      <c r="X2093" s="80">
        <f t="shared" si="96"/>
        <v>3571</v>
      </c>
      <c r="Y2093" s="82" t="s">
        <v>3584</v>
      </c>
      <c r="AF2093" s="19"/>
      <c r="AG2093" s="19"/>
      <c r="AH2093" s="19"/>
      <c r="AI2093" s="19"/>
      <c r="AJ2093" s="19"/>
      <c r="AK2093" s="19"/>
    </row>
    <row r="2094" spans="1:37" ht="15.45" customHeight="1" x14ac:dyDescent="0.25">
      <c r="A2094" s="156" t="s">
        <v>966</v>
      </c>
      <c r="B2094" s="28"/>
      <c r="C2094" s="37" t="s">
        <v>756</v>
      </c>
      <c r="E2094" s="37" t="s">
        <v>2830</v>
      </c>
      <c r="F2094" s="24" t="s">
        <v>534</v>
      </c>
      <c r="H2094" s="168"/>
      <c r="I2094" s="167"/>
      <c r="J2094" s="214" t="s">
        <v>3690</v>
      </c>
      <c r="K2094" s="10" t="s">
        <v>3685</v>
      </c>
      <c r="N2094" s="37" t="s">
        <v>3771</v>
      </c>
      <c r="P2094" s="37" t="s">
        <v>1828</v>
      </c>
      <c r="S2094" s="37"/>
      <c r="T2094" s="37"/>
      <c r="U2094" s="22">
        <v>3</v>
      </c>
      <c r="V2094" s="22">
        <v>3</v>
      </c>
      <c r="W2094" s="73">
        <f t="shared" si="97"/>
        <v>756</v>
      </c>
      <c r="X2094" s="80">
        <f t="shared" si="96"/>
        <v>3574</v>
      </c>
      <c r="Y2094" s="82" t="s">
        <v>3584</v>
      </c>
      <c r="AF2094" s="19"/>
      <c r="AG2094" s="19"/>
      <c r="AH2094" s="19"/>
      <c r="AI2094" s="19"/>
      <c r="AJ2094" s="19"/>
      <c r="AK2094" s="19"/>
    </row>
    <row r="2095" spans="1:37" ht="15.45" customHeight="1" x14ac:dyDescent="0.25">
      <c r="A2095" s="156" t="s">
        <v>1311</v>
      </c>
      <c r="B2095" s="28"/>
      <c r="C2095" s="37" t="s">
        <v>756</v>
      </c>
      <c r="E2095" s="37" t="s">
        <v>2830</v>
      </c>
      <c r="F2095" s="24" t="s">
        <v>534</v>
      </c>
      <c r="H2095" s="168"/>
      <c r="I2095" s="167"/>
      <c r="J2095" s="214" t="s">
        <v>3690</v>
      </c>
      <c r="K2095" s="10" t="s">
        <v>3685</v>
      </c>
      <c r="N2095" s="37" t="s">
        <v>3771</v>
      </c>
      <c r="P2095" s="37" t="s">
        <v>1828</v>
      </c>
      <c r="S2095" s="37"/>
      <c r="T2095" s="37"/>
      <c r="U2095" s="22">
        <v>3</v>
      </c>
      <c r="V2095" s="22">
        <v>3</v>
      </c>
      <c r="W2095" s="73">
        <f t="shared" si="97"/>
        <v>759</v>
      </c>
      <c r="X2095" s="80">
        <f t="shared" si="96"/>
        <v>3577</v>
      </c>
      <c r="Y2095" s="82" t="s">
        <v>3584</v>
      </c>
      <c r="AF2095" s="19"/>
      <c r="AG2095" s="19"/>
      <c r="AH2095" s="19"/>
      <c r="AI2095" s="19"/>
      <c r="AJ2095" s="19"/>
      <c r="AK2095" s="19"/>
    </row>
    <row r="2096" spans="1:37" ht="15.45" customHeight="1" x14ac:dyDescent="0.25">
      <c r="A2096" s="156" t="s">
        <v>2095</v>
      </c>
      <c r="B2096" s="28"/>
      <c r="C2096" s="37" t="s">
        <v>756</v>
      </c>
      <c r="E2096" s="37" t="s">
        <v>2830</v>
      </c>
      <c r="F2096" s="24" t="s">
        <v>534</v>
      </c>
      <c r="H2096" s="168"/>
      <c r="I2096" s="167"/>
      <c r="J2096" s="214" t="s">
        <v>3690</v>
      </c>
      <c r="K2096" s="10" t="s">
        <v>3685</v>
      </c>
      <c r="N2096" s="37" t="s">
        <v>3771</v>
      </c>
      <c r="P2096" s="37" t="s">
        <v>1828</v>
      </c>
      <c r="S2096" s="37"/>
      <c r="T2096" s="37"/>
      <c r="U2096" s="22">
        <v>5</v>
      </c>
      <c r="V2096" s="22">
        <v>5</v>
      </c>
      <c r="W2096" s="73">
        <f t="shared" si="97"/>
        <v>764</v>
      </c>
      <c r="X2096" s="80">
        <f t="shared" si="96"/>
        <v>3582</v>
      </c>
      <c r="Y2096" s="82" t="s">
        <v>3584</v>
      </c>
      <c r="AF2096" s="19"/>
      <c r="AG2096" s="19"/>
      <c r="AH2096" s="19"/>
      <c r="AI2096" s="19"/>
      <c r="AJ2096" s="19"/>
      <c r="AK2096" s="19"/>
    </row>
    <row r="2097" spans="1:37" ht="15.45" customHeight="1" x14ac:dyDescent="0.25">
      <c r="A2097" s="156" t="s">
        <v>1144</v>
      </c>
      <c r="B2097" s="28"/>
      <c r="C2097" s="37" t="s">
        <v>756</v>
      </c>
      <c r="E2097" s="37" t="s">
        <v>2830</v>
      </c>
      <c r="F2097" s="24" t="s">
        <v>534</v>
      </c>
      <c r="H2097" s="168"/>
      <c r="I2097" s="167"/>
      <c r="J2097" s="214" t="s">
        <v>3690</v>
      </c>
      <c r="K2097" s="10" t="s">
        <v>3685</v>
      </c>
      <c r="N2097" s="37" t="s">
        <v>3771</v>
      </c>
      <c r="P2097" s="37" t="s">
        <v>2024</v>
      </c>
      <c r="S2097" s="37"/>
      <c r="T2097" s="37"/>
      <c r="U2097" s="22">
        <v>1</v>
      </c>
      <c r="V2097" s="22">
        <v>1</v>
      </c>
      <c r="W2097" s="73">
        <f t="shared" si="97"/>
        <v>765</v>
      </c>
      <c r="X2097" s="80">
        <f t="shared" si="96"/>
        <v>3583</v>
      </c>
      <c r="Y2097" s="82" t="s">
        <v>3584</v>
      </c>
      <c r="AF2097" s="19"/>
      <c r="AG2097" s="19"/>
      <c r="AH2097" s="19"/>
      <c r="AI2097" s="19"/>
      <c r="AJ2097" s="19"/>
      <c r="AK2097" s="19"/>
    </row>
    <row r="2098" spans="1:37" ht="15.45" customHeight="1" x14ac:dyDescent="0.25">
      <c r="A2098" s="156" t="s">
        <v>1062</v>
      </c>
      <c r="B2098" s="28"/>
      <c r="C2098" s="37" t="s">
        <v>756</v>
      </c>
      <c r="E2098" s="37" t="s">
        <v>2830</v>
      </c>
      <c r="F2098" s="24" t="s">
        <v>534</v>
      </c>
      <c r="H2098" s="168"/>
      <c r="I2098" s="167"/>
      <c r="J2098" s="214" t="s">
        <v>3690</v>
      </c>
      <c r="K2098" s="10" t="s">
        <v>3685</v>
      </c>
      <c r="N2098" s="37" t="s">
        <v>3772</v>
      </c>
      <c r="S2098" s="37"/>
      <c r="T2098" s="37"/>
      <c r="U2098" s="22">
        <v>2</v>
      </c>
      <c r="V2098" s="22">
        <v>2</v>
      </c>
      <c r="W2098" s="73">
        <f t="shared" si="97"/>
        <v>767</v>
      </c>
      <c r="X2098" s="80">
        <f t="shared" si="96"/>
        <v>3585</v>
      </c>
      <c r="Y2098" s="82" t="s">
        <v>3584</v>
      </c>
      <c r="AF2098" s="19"/>
      <c r="AG2098" s="19"/>
      <c r="AH2098" s="19"/>
      <c r="AI2098" s="19"/>
      <c r="AJ2098" s="19"/>
      <c r="AK2098" s="19"/>
    </row>
    <row r="2099" spans="1:37" ht="15.45" customHeight="1" x14ac:dyDescent="0.25">
      <c r="A2099" s="156" t="s">
        <v>1063</v>
      </c>
      <c r="B2099" s="28"/>
      <c r="C2099" s="37" t="s">
        <v>756</v>
      </c>
      <c r="E2099" s="37" t="s">
        <v>2830</v>
      </c>
      <c r="F2099" s="24" t="s">
        <v>534</v>
      </c>
      <c r="H2099" s="168"/>
      <c r="I2099" s="167"/>
      <c r="J2099" s="214" t="s">
        <v>3690</v>
      </c>
      <c r="K2099" s="10" t="s">
        <v>3685</v>
      </c>
      <c r="N2099" s="37" t="s">
        <v>3771</v>
      </c>
      <c r="P2099" s="37" t="s">
        <v>1696</v>
      </c>
      <c r="S2099" s="37"/>
      <c r="T2099" s="37"/>
      <c r="U2099" s="22">
        <v>2</v>
      </c>
      <c r="V2099" s="22">
        <v>2</v>
      </c>
      <c r="W2099" s="73">
        <f t="shared" si="97"/>
        <v>769</v>
      </c>
      <c r="X2099" s="80">
        <f t="shared" si="96"/>
        <v>3587</v>
      </c>
      <c r="Y2099" s="82" t="s">
        <v>3584</v>
      </c>
      <c r="AF2099" s="19"/>
      <c r="AG2099" s="19"/>
      <c r="AH2099" s="19"/>
      <c r="AI2099" s="19"/>
      <c r="AJ2099" s="19"/>
      <c r="AK2099" s="19"/>
    </row>
    <row r="2100" spans="1:37" ht="15.45" customHeight="1" x14ac:dyDescent="0.25">
      <c r="A2100" s="156" t="s">
        <v>1394</v>
      </c>
      <c r="B2100" s="28"/>
      <c r="C2100" s="37" t="s">
        <v>756</v>
      </c>
      <c r="E2100" s="37" t="s">
        <v>2830</v>
      </c>
      <c r="F2100" s="24" t="s">
        <v>534</v>
      </c>
      <c r="H2100" s="168"/>
      <c r="I2100" s="167"/>
      <c r="J2100" s="214" t="s">
        <v>3690</v>
      </c>
      <c r="K2100" s="10" t="s">
        <v>3685</v>
      </c>
      <c r="N2100" s="37" t="s">
        <v>3772</v>
      </c>
      <c r="S2100" s="37"/>
      <c r="T2100" s="37"/>
      <c r="U2100" s="22">
        <v>1</v>
      </c>
      <c r="V2100" s="22">
        <v>1</v>
      </c>
      <c r="W2100" s="73">
        <f t="shared" si="97"/>
        <v>770</v>
      </c>
      <c r="X2100" s="80">
        <f t="shared" si="96"/>
        <v>3588</v>
      </c>
      <c r="Y2100" s="82" t="s">
        <v>3584</v>
      </c>
      <c r="AF2100" s="19"/>
      <c r="AG2100" s="19"/>
      <c r="AH2100" s="19"/>
      <c r="AI2100" s="19"/>
      <c r="AJ2100" s="19"/>
      <c r="AK2100" s="19"/>
    </row>
    <row r="2101" spans="1:37" ht="15.45" customHeight="1" x14ac:dyDescent="0.25">
      <c r="A2101" s="156" t="s">
        <v>755</v>
      </c>
      <c r="B2101" s="28"/>
      <c r="C2101" s="37" t="s">
        <v>756</v>
      </c>
      <c r="E2101" s="37" t="s">
        <v>2830</v>
      </c>
      <c r="F2101" s="24" t="s">
        <v>535</v>
      </c>
      <c r="H2101" s="168"/>
      <c r="I2101" s="167"/>
      <c r="J2101" s="214" t="s">
        <v>3690</v>
      </c>
      <c r="K2101" s="10" t="s">
        <v>3685</v>
      </c>
      <c r="N2101" s="37" t="s">
        <v>3771</v>
      </c>
      <c r="P2101" s="37" t="s">
        <v>1918</v>
      </c>
      <c r="Q2101" s="37" t="s">
        <v>3777</v>
      </c>
      <c r="S2101" s="37"/>
      <c r="T2101" s="37"/>
      <c r="U2101" s="22">
        <v>3</v>
      </c>
      <c r="V2101" s="22">
        <v>3</v>
      </c>
      <c r="W2101" s="73">
        <f t="shared" si="97"/>
        <v>773</v>
      </c>
      <c r="X2101" s="80">
        <f t="shared" si="96"/>
        <v>3591</v>
      </c>
      <c r="Y2101" s="82" t="s">
        <v>3584</v>
      </c>
      <c r="AF2101" s="19"/>
      <c r="AG2101" s="19"/>
      <c r="AH2101" s="19"/>
      <c r="AI2101" s="19"/>
      <c r="AJ2101" s="19"/>
      <c r="AK2101" s="19"/>
    </row>
    <row r="2102" spans="1:37" ht="15.45" customHeight="1" x14ac:dyDescent="0.25">
      <c r="A2102" s="156" t="s">
        <v>1434</v>
      </c>
      <c r="B2102" s="28"/>
      <c r="C2102" s="37" t="s">
        <v>756</v>
      </c>
      <c r="E2102" s="37" t="s">
        <v>2830</v>
      </c>
      <c r="F2102" s="24" t="s">
        <v>535</v>
      </c>
      <c r="H2102" s="168"/>
      <c r="I2102" s="167"/>
      <c r="J2102" s="214" t="s">
        <v>3690</v>
      </c>
      <c r="K2102" s="10" t="s">
        <v>3685</v>
      </c>
      <c r="N2102" s="37" t="s">
        <v>3771</v>
      </c>
      <c r="P2102" s="37" t="s">
        <v>1918</v>
      </c>
      <c r="Q2102" s="37" t="s">
        <v>3777</v>
      </c>
      <c r="S2102" s="37"/>
      <c r="T2102" s="37"/>
      <c r="U2102" s="22">
        <v>2</v>
      </c>
      <c r="V2102" s="22">
        <v>2</v>
      </c>
      <c r="W2102" s="73">
        <f t="shared" si="97"/>
        <v>775</v>
      </c>
      <c r="X2102" s="80">
        <f t="shared" si="96"/>
        <v>3593</v>
      </c>
      <c r="Y2102" s="82" t="s">
        <v>3584</v>
      </c>
      <c r="AF2102" s="19"/>
      <c r="AG2102" s="19"/>
      <c r="AH2102" s="19"/>
      <c r="AI2102" s="19"/>
      <c r="AJ2102" s="19"/>
      <c r="AK2102" s="19"/>
    </row>
    <row r="2103" spans="1:37" ht="15.45" customHeight="1" x14ac:dyDescent="0.25">
      <c r="A2103" s="156" t="s">
        <v>1081</v>
      </c>
      <c r="B2103" s="28"/>
      <c r="C2103" s="37" t="s">
        <v>756</v>
      </c>
      <c r="E2103" s="37" t="s">
        <v>2830</v>
      </c>
      <c r="F2103" s="24" t="s">
        <v>535</v>
      </c>
      <c r="H2103" s="168"/>
      <c r="I2103" s="167"/>
      <c r="J2103" s="214" t="s">
        <v>3690</v>
      </c>
      <c r="K2103" s="10" t="s">
        <v>3685</v>
      </c>
      <c r="N2103" s="37" t="s">
        <v>3771</v>
      </c>
      <c r="P2103" s="37" t="s">
        <v>2039</v>
      </c>
      <c r="S2103" s="37"/>
      <c r="T2103" s="37"/>
      <c r="U2103" s="22">
        <v>2</v>
      </c>
      <c r="V2103" s="22">
        <v>2</v>
      </c>
      <c r="W2103" s="73">
        <f t="shared" si="97"/>
        <v>777</v>
      </c>
      <c r="X2103" s="80">
        <f t="shared" si="96"/>
        <v>3595</v>
      </c>
      <c r="Y2103" s="82" t="s">
        <v>3584</v>
      </c>
      <c r="AF2103" s="19"/>
      <c r="AG2103" s="19"/>
      <c r="AH2103" s="19"/>
      <c r="AI2103" s="19"/>
      <c r="AJ2103" s="19"/>
      <c r="AK2103" s="19"/>
    </row>
    <row r="2104" spans="1:37" ht="15.45" customHeight="1" x14ac:dyDescent="0.25">
      <c r="A2104" s="156" t="s">
        <v>1064</v>
      </c>
      <c r="B2104" s="28"/>
      <c r="C2104" s="37" t="s">
        <v>756</v>
      </c>
      <c r="E2104" s="37" t="s">
        <v>2830</v>
      </c>
      <c r="F2104" s="24" t="s">
        <v>535</v>
      </c>
      <c r="H2104" s="168"/>
      <c r="I2104" s="167"/>
      <c r="J2104" s="214" t="s">
        <v>3690</v>
      </c>
      <c r="K2104" s="10" t="s">
        <v>3685</v>
      </c>
      <c r="N2104" s="37" t="s">
        <v>3771</v>
      </c>
      <c r="P2104" s="37" t="s">
        <v>2022</v>
      </c>
      <c r="S2104" s="37"/>
      <c r="T2104" s="37"/>
      <c r="U2104" s="22">
        <v>2</v>
      </c>
      <c r="V2104" s="22">
        <v>2</v>
      </c>
      <c r="W2104" s="73">
        <f t="shared" si="97"/>
        <v>779</v>
      </c>
      <c r="X2104" s="80">
        <f t="shared" si="96"/>
        <v>3597</v>
      </c>
      <c r="Y2104" s="82" t="s">
        <v>3584</v>
      </c>
      <c r="AF2104" s="19"/>
      <c r="AG2104" s="19"/>
      <c r="AH2104" s="19"/>
      <c r="AI2104" s="19"/>
      <c r="AJ2104" s="19"/>
      <c r="AK2104" s="19"/>
    </row>
    <row r="2105" spans="1:37" ht="15.45" customHeight="1" x14ac:dyDescent="0.25">
      <c r="A2105" s="156" t="s">
        <v>445</v>
      </c>
      <c r="B2105" s="28"/>
      <c r="C2105" s="37" t="s">
        <v>756</v>
      </c>
      <c r="E2105" s="37" t="s">
        <v>2830</v>
      </c>
      <c r="F2105" s="24" t="s">
        <v>535</v>
      </c>
      <c r="H2105" s="168"/>
      <c r="I2105" s="167"/>
      <c r="J2105" s="214" t="s">
        <v>3690</v>
      </c>
      <c r="K2105" s="10" t="s">
        <v>3685</v>
      </c>
      <c r="N2105" s="37" t="s">
        <v>3771</v>
      </c>
      <c r="P2105" s="37" t="s">
        <v>2022</v>
      </c>
      <c r="S2105" s="37"/>
      <c r="T2105" s="37"/>
      <c r="U2105" s="22">
        <v>1</v>
      </c>
      <c r="V2105" s="22">
        <v>1</v>
      </c>
      <c r="W2105" s="73">
        <f t="shared" si="97"/>
        <v>780</v>
      </c>
      <c r="X2105" s="80">
        <f t="shared" si="96"/>
        <v>3598</v>
      </c>
      <c r="Y2105" s="82" t="s">
        <v>3584</v>
      </c>
      <c r="AF2105" s="19"/>
      <c r="AG2105" s="19"/>
      <c r="AH2105" s="19"/>
      <c r="AI2105" s="19"/>
      <c r="AJ2105" s="19"/>
      <c r="AK2105" s="19"/>
    </row>
    <row r="2106" spans="1:37" ht="15.45" customHeight="1" x14ac:dyDescent="0.25">
      <c r="A2106" s="156" t="s">
        <v>446</v>
      </c>
      <c r="B2106" s="28"/>
      <c r="C2106" s="37" t="s">
        <v>756</v>
      </c>
      <c r="E2106" s="37" t="s">
        <v>2830</v>
      </c>
      <c r="F2106" s="24" t="s">
        <v>535</v>
      </c>
      <c r="H2106" s="168"/>
      <c r="I2106" s="167"/>
      <c r="J2106" s="214" t="s">
        <v>3690</v>
      </c>
      <c r="K2106" s="10" t="s">
        <v>3685</v>
      </c>
      <c r="N2106" s="37" t="s">
        <v>3771</v>
      </c>
      <c r="P2106" s="37" t="s">
        <v>2022</v>
      </c>
      <c r="S2106" s="37"/>
      <c r="T2106" s="37"/>
      <c r="U2106" s="22">
        <v>1</v>
      </c>
      <c r="V2106" s="22">
        <v>1</v>
      </c>
      <c r="W2106" s="73">
        <f t="shared" si="97"/>
        <v>781</v>
      </c>
      <c r="X2106" s="80">
        <f t="shared" si="96"/>
        <v>3599</v>
      </c>
      <c r="Y2106" s="82" t="s">
        <v>3584</v>
      </c>
      <c r="AF2106" s="19"/>
      <c r="AG2106" s="19"/>
      <c r="AH2106" s="19"/>
      <c r="AI2106" s="19"/>
      <c r="AJ2106" s="19"/>
      <c r="AK2106" s="19"/>
    </row>
    <row r="2107" spans="1:37" ht="15.45" customHeight="1" x14ac:dyDescent="0.25">
      <c r="A2107" s="156" t="s">
        <v>958</v>
      </c>
      <c r="B2107" s="28"/>
      <c r="C2107" s="37" t="s">
        <v>756</v>
      </c>
      <c r="E2107" s="37" t="s">
        <v>2830</v>
      </c>
      <c r="F2107" s="24" t="s">
        <v>535</v>
      </c>
      <c r="H2107" s="168"/>
      <c r="I2107" s="167"/>
      <c r="J2107" s="214" t="s">
        <v>3690</v>
      </c>
      <c r="K2107" s="10" t="s">
        <v>3685</v>
      </c>
      <c r="N2107" s="37" t="s">
        <v>3771</v>
      </c>
      <c r="P2107" s="37" t="s">
        <v>1919</v>
      </c>
      <c r="S2107" s="37"/>
      <c r="T2107" s="37"/>
      <c r="U2107" s="22">
        <v>3</v>
      </c>
      <c r="V2107" s="22">
        <v>3</v>
      </c>
      <c r="W2107" s="73">
        <f t="shared" si="97"/>
        <v>784</v>
      </c>
      <c r="X2107" s="80">
        <f t="shared" si="96"/>
        <v>3602</v>
      </c>
      <c r="Y2107" s="82" t="s">
        <v>3584</v>
      </c>
      <c r="AF2107" s="19"/>
      <c r="AG2107" s="19"/>
      <c r="AH2107" s="19"/>
      <c r="AI2107" s="19"/>
      <c r="AJ2107" s="19"/>
      <c r="AK2107" s="19"/>
    </row>
    <row r="2108" spans="1:37" ht="15.45" customHeight="1" x14ac:dyDescent="0.25">
      <c r="A2108" s="156" t="s">
        <v>948</v>
      </c>
      <c r="B2108" s="28"/>
      <c r="C2108" s="37" t="s">
        <v>756</v>
      </c>
      <c r="E2108" s="37" t="s">
        <v>2830</v>
      </c>
      <c r="F2108" s="24" t="s">
        <v>535</v>
      </c>
      <c r="H2108" s="168"/>
      <c r="I2108" s="167"/>
      <c r="J2108" s="214" t="s">
        <v>3690</v>
      </c>
      <c r="K2108" s="10" t="s">
        <v>3685</v>
      </c>
      <c r="N2108" s="37" t="s">
        <v>3771</v>
      </c>
      <c r="P2108" s="37" t="s">
        <v>343</v>
      </c>
      <c r="Q2108" s="37" t="s">
        <v>3777</v>
      </c>
      <c r="S2108" s="37"/>
      <c r="T2108" s="37"/>
      <c r="U2108" s="22">
        <v>6</v>
      </c>
      <c r="V2108" s="22">
        <v>6</v>
      </c>
      <c r="W2108" s="73">
        <f t="shared" si="97"/>
        <v>790</v>
      </c>
      <c r="X2108" s="80">
        <f t="shared" si="96"/>
        <v>3608</v>
      </c>
      <c r="Y2108" s="82" t="s">
        <v>3584</v>
      </c>
      <c r="AF2108" s="19"/>
      <c r="AG2108" s="19"/>
      <c r="AH2108" s="19"/>
      <c r="AI2108" s="19"/>
      <c r="AJ2108" s="19"/>
      <c r="AK2108" s="19"/>
    </row>
    <row r="2109" spans="1:37" ht="15.45" customHeight="1" x14ac:dyDescent="0.25">
      <c r="A2109" s="156" t="s">
        <v>111</v>
      </c>
      <c r="B2109" s="28"/>
      <c r="C2109" s="37" t="s">
        <v>756</v>
      </c>
      <c r="E2109" s="37" t="s">
        <v>2830</v>
      </c>
      <c r="F2109" s="24" t="s">
        <v>535</v>
      </c>
      <c r="H2109" s="168"/>
      <c r="I2109" s="167"/>
      <c r="J2109" s="214" t="s">
        <v>3690</v>
      </c>
      <c r="K2109" s="10" t="s">
        <v>3685</v>
      </c>
      <c r="N2109" s="37" t="s">
        <v>3771</v>
      </c>
      <c r="P2109" s="37" t="s">
        <v>343</v>
      </c>
      <c r="Q2109" s="37" t="s">
        <v>3777</v>
      </c>
      <c r="S2109" s="37"/>
      <c r="T2109" s="37"/>
      <c r="U2109" s="22">
        <v>3</v>
      </c>
      <c r="V2109" s="22">
        <v>3</v>
      </c>
      <c r="W2109" s="73">
        <f t="shared" si="97"/>
        <v>793</v>
      </c>
      <c r="X2109" s="80">
        <f t="shared" si="96"/>
        <v>3611</v>
      </c>
      <c r="Y2109" s="82" t="s">
        <v>3584</v>
      </c>
      <c r="AF2109" s="19"/>
      <c r="AG2109" s="19"/>
      <c r="AH2109" s="19"/>
      <c r="AI2109" s="19"/>
      <c r="AJ2109" s="19"/>
      <c r="AK2109" s="19"/>
    </row>
    <row r="2110" spans="1:37" ht="15.45" customHeight="1" x14ac:dyDescent="0.25">
      <c r="A2110" s="156" t="s">
        <v>759</v>
      </c>
      <c r="B2110" s="28"/>
      <c r="C2110" s="37" t="s">
        <v>756</v>
      </c>
      <c r="E2110" s="37" t="s">
        <v>2830</v>
      </c>
      <c r="F2110" s="24" t="s">
        <v>535</v>
      </c>
      <c r="H2110" s="168"/>
      <c r="I2110" s="167"/>
      <c r="J2110" s="214" t="s">
        <v>3690</v>
      </c>
      <c r="K2110" s="10" t="s">
        <v>3685</v>
      </c>
      <c r="N2110" s="37" t="s">
        <v>3771</v>
      </c>
      <c r="P2110" s="37" t="s">
        <v>343</v>
      </c>
      <c r="Q2110" s="37" t="s">
        <v>3777</v>
      </c>
      <c r="S2110" s="37"/>
      <c r="T2110" s="37"/>
      <c r="U2110" s="22">
        <v>3</v>
      </c>
      <c r="V2110" s="22">
        <v>3</v>
      </c>
      <c r="W2110" s="73">
        <f t="shared" si="97"/>
        <v>796</v>
      </c>
      <c r="X2110" s="80">
        <f t="shared" si="96"/>
        <v>3614</v>
      </c>
      <c r="Y2110" s="82" t="s">
        <v>3584</v>
      </c>
      <c r="AF2110" s="19"/>
      <c r="AG2110" s="19"/>
      <c r="AH2110" s="19"/>
      <c r="AI2110" s="19"/>
      <c r="AJ2110" s="19"/>
      <c r="AK2110" s="19"/>
    </row>
    <row r="2111" spans="1:37" ht="15.45" customHeight="1" x14ac:dyDescent="0.25">
      <c r="A2111" s="156" t="s">
        <v>1079</v>
      </c>
      <c r="B2111" s="28"/>
      <c r="C2111" s="37" t="s">
        <v>756</v>
      </c>
      <c r="E2111" s="37" t="s">
        <v>2830</v>
      </c>
      <c r="F2111" s="24" t="s">
        <v>535</v>
      </c>
      <c r="H2111" s="168"/>
      <c r="I2111" s="167"/>
      <c r="J2111" s="214" t="s">
        <v>3690</v>
      </c>
      <c r="K2111" s="10" t="s">
        <v>3685</v>
      </c>
      <c r="N2111" s="37" t="s">
        <v>3771</v>
      </c>
      <c r="P2111" s="37" t="s">
        <v>250</v>
      </c>
      <c r="S2111" s="37"/>
      <c r="T2111" s="37"/>
      <c r="U2111" s="22">
        <v>4</v>
      </c>
      <c r="V2111" s="22">
        <v>4</v>
      </c>
      <c r="W2111" s="73">
        <f t="shared" si="97"/>
        <v>800</v>
      </c>
      <c r="X2111" s="80">
        <f t="shared" si="96"/>
        <v>3618</v>
      </c>
      <c r="Y2111" s="82" t="s">
        <v>3584</v>
      </c>
      <c r="AF2111" s="19"/>
      <c r="AG2111" s="19"/>
      <c r="AH2111" s="19"/>
      <c r="AI2111" s="19"/>
      <c r="AJ2111" s="19"/>
      <c r="AK2111" s="19"/>
    </row>
    <row r="2112" spans="1:37" ht="15.45" customHeight="1" x14ac:dyDescent="0.25">
      <c r="A2112" s="156" t="s">
        <v>6322</v>
      </c>
      <c r="B2112" s="28"/>
      <c r="C2112" s="37" t="s">
        <v>756</v>
      </c>
      <c r="E2112" s="37" t="s">
        <v>2830</v>
      </c>
      <c r="H2112" s="201" t="s">
        <v>6325</v>
      </c>
      <c r="I2112" s="167"/>
      <c r="J2112" s="214" t="s">
        <v>5334</v>
      </c>
      <c r="P2112" s="37" t="s">
        <v>546</v>
      </c>
      <c r="S2112" s="37"/>
      <c r="T2112" s="37"/>
      <c r="U2112" s="22">
        <v>1</v>
      </c>
      <c r="V2112" s="22">
        <v>1</v>
      </c>
      <c r="W2112" s="73">
        <f t="shared" si="97"/>
        <v>801</v>
      </c>
      <c r="X2112" s="80">
        <f t="shared" si="96"/>
        <v>3619</v>
      </c>
      <c r="Y2112" s="82" t="s">
        <v>3591</v>
      </c>
      <c r="Z2112" s="24" t="s">
        <v>2885</v>
      </c>
      <c r="AB2112" s="177">
        <v>44515</v>
      </c>
      <c r="AC2112" s="84" t="s">
        <v>5308</v>
      </c>
      <c r="AF2112" s="19"/>
      <c r="AG2112" s="19"/>
      <c r="AH2112" s="19"/>
      <c r="AI2112" s="19"/>
      <c r="AJ2112" s="19"/>
      <c r="AK2112" s="19"/>
    </row>
    <row r="2113" spans="1:37" ht="15.45" customHeight="1" x14ac:dyDescent="0.25">
      <c r="A2113" s="156" t="s">
        <v>1080</v>
      </c>
      <c r="B2113" s="28"/>
      <c r="C2113" s="37" t="s">
        <v>756</v>
      </c>
      <c r="E2113" s="37" t="s">
        <v>2830</v>
      </c>
      <c r="F2113" s="24" t="s">
        <v>535</v>
      </c>
      <c r="H2113" s="168"/>
      <c r="I2113" s="167"/>
      <c r="J2113" s="214" t="s">
        <v>3690</v>
      </c>
      <c r="K2113" s="10" t="s">
        <v>3685</v>
      </c>
      <c r="N2113" s="37" t="s">
        <v>3771</v>
      </c>
      <c r="P2113" s="37" t="s">
        <v>1827</v>
      </c>
      <c r="S2113" s="37"/>
      <c r="T2113" s="37"/>
      <c r="U2113" s="22">
        <v>4</v>
      </c>
      <c r="V2113" s="22">
        <v>4</v>
      </c>
      <c r="W2113" s="73">
        <f t="shared" si="97"/>
        <v>805</v>
      </c>
      <c r="X2113" s="80">
        <f t="shared" ref="X2113:X2178" si="98">V2113+X2112</f>
        <v>3623</v>
      </c>
      <c r="Y2113" s="82" t="s">
        <v>3584</v>
      </c>
      <c r="AF2113" s="19"/>
      <c r="AG2113" s="19"/>
      <c r="AH2113" s="19"/>
      <c r="AI2113" s="19"/>
      <c r="AJ2113" s="19"/>
      <c r="AK2113" s="19"/>
    </row>
    <row r="2114" spans="1:37" ht="15.45" customHeight="1" x14ac:dyDescent="0.25">
      <c r="A2114" s="156" t="s">
        <v>714</v>
      </c>
      <c r="B2114" s="28"/>
      <c r="C2114" s="37" t="s">
        <v>756</v>
      </c>
      <c r="E2114" s="37" t="s">
        <v>2830</v>
      </c>
      <c r="F2114" s="24" t="s">
        <v>535</v>
      </c>
      <c r="H2114" s="168"/>
      <c r="I2114" s="167"/>
      <c r="J2114" s="214" t="s">
        <v>3690</v>
      </c>
      <c r="K2114" s="10" t="s">
        <v>3685</v>
      </c>
      <c r="N2114" s="37" t="s">
        <v>3771</v>
      </c>
      <c r="P2114" s="37" t="s">
        <v>1827</v>
      </c>
      <c r="S2114" s="37"/>
      <c r="T2114" s="37"/>
      <c r="U2114" s="22">
        <v>1</v>
      </c>
      <c r="V2114" s="22">
        <v>1</v>
      </c>
      <c r="W2114" s="73">
        <f t="shared" si="97"/>
        <v>806</v>
      </c>
      <c r="X2114" s="80">
        <f t="shared" si="98"/>
        <v>3624</v>
      </c>
      <c r="Y2114" s="82" t="s">
        <v>3584</v>
      </c>
      <c r="AF2114" s="19"/>
      <c r="AG2114" s="19"/>
      <c r="AH2114" s="19"/>
      <c r="AI2114" s="19"/>
      <c r="AJ2114" s="19"/>
      <c r="AK2114" s="19"/>
    </row>
    <row r="2115" spans="1:37" ht="15.45" customHeight="1" x14ac:dyDescent="0.25">
      <c r="A2115" s="156" t="s">
        <v>881</v>
      </c>
      <c r="B2115" s="28"/>
      <c r="C2115" s="37" t="s">
        <v>756</v>
      </c>
      <c r="E2115" s="37" t="s">
        <v>2830</v>
      </c>
      <c r="F2115" s="24" t="s">
        <v>535</v>
      </c>
      <c r="H2115" s="168"/>
      <c r="I2115" s="167"/>
      <c r="J2115" s="214" t="s">
        <v>3690</v>
      </c>
      <c r="K2115" s="10" t="s">
        <v>3685</v>
      </c>
      <c r="N2115" s="37" t="s">
        <v>3771</v>
      </c>
      <c r="P2115" s="37" t="s">
        <v>1829</v>
      </c>
      <c r="S2115" s="37"/>
      <c r="T2115" s="37"/>
      <c r="U2115" s="22">
        <v>2</v>
      </c>
      <c r="V2115" s="22">
        <v>2</v>
      </c>
      <c r="W2115" s="73">
        <f t="shared" si="97"/>
        <v>808</v>
      </c>
      <c r="X2115" s="80">
        <f t="shared" si="98"/>
        <v>3626</v>
      </c>
      <c r="Y2115" s="82" t="s">
        <v>3584</v>
      </c>
      <c r="AF2115" s="19"/>
      <c r="AG2115" s="19"/>
      <c r="AH2115" s="19"/>
      <c r="AI2115" s="19"/>
      <c r="AJ2115" s="19"/>
      <c r="AK2115" s="19"/>
    </row>
    <row r="2116" spans="1:37" ht="15.45" customHeight="1" x14ac:dyDescent="0.25">
      <c r="A2116" s="156" t="s">
        <v>715</v>
      </c>
      <c r="B2116" s="28"/>
      <c r="C2116" s="37" t="s">
        <v>756</v>
      </c>
      <c r="E2116" s="37" t="s">
        <v>2830</v>
      </c>
      <c r="F2116" s="24" t="s">
        <v>535</v>
      </c>
      <c r="H2116" s="168"/>
      <c r="I2116" s="167"/>
      <c r="J2116" s="214" t="s">
        <v>3690</v>
      </c>
      <c r="K2116" s="10" t="s">
        <v>3685</v>
      </c>
      <c r="N2116" s="37" t="s">
        <v>3771</v>
      </c>
      <c r="P2116" s="37" t="s">
        <v>1828</v>
      </c>
      <c r="S2116" s="37"/>
      <c r="T2116" s="37"/>
      <c r="U2116" s="22">
        <v>1</v>
      </c>
      <c r="V2116" s="22">
        <v>1</v>
      </c>
      <c r="W2116" s="73">
        <f t="shared" si="97"/>
        <v>809</v>
      </c>
      <c r="X2116" s="80">
        <f t="shared" si="98"/>
        <v>3627</v>
      </c>
      <c r="Y2116" s="82" t="s">
        <v>3584</v>
      </c>
      <c r="AF2116" s="19"/>
      <c r="AG2116" s="19"/>
      <c r="AH2116" s="19"/>
      <c r="AI2116" s="19"/>
      <c r="AJ2116" s="19"/>
      <c r="AK2116" s="19"/>
    </row>
    <row r="2117" spans="1:37" ht="15.45" customHeight="1" x14ac:dyDescent="0.25">
      <c r="A2117" s="156" t="s">
        <v>1927</v>
      </c>
      <c r="B2117" s="28"/>
      <c r="C2117" s="37" t="s">
        <v>756</v>
      </c>
      <c r="E2117" s="37" t="s">
        <v>2830</v>
      </c>
      <c r="F2117" s="24" t="s">
        <v>535</v>
      </c>
      <c r="H2117" s="168"/>
      <c r="I2117" s="167"/>
      <c r="J2117" s="214" t="s">
        <v>3690</v>
      </c>
      <c r="K2117" s="10" t="s">
        <v>3685</v>
      </c>
      <c r="N2117" s="37" t="s">
        <v>3771</v>
      </c>
      <c r="P2117" s="37" t="s">
        <v>1829</v>
      </c>
      <c r="S2117" s="37"/>
      <c r="T2117" s="37"/>
      <c r="U2117" s="22">
        <v>11</v>
      </c>
      <c r="V2117" s="22">
        <v>11</v>
      </c>
      <c r="W2117" s="73">
        <f t="shared" si="97"/>
        <v>820</v>
      </c>
      <c r="X2117" s="80">
        <f t="shared" si="98"/>
        <v>3638</v>
      </c>
      <c r="Y2117" s="82" t="s">
        <v>3584</v>
      </c>
      <c r="AF2117" s="19"/>
      <c r="AG2117" s="19"/>
      <c r="AH2117" s="19"/>
      <c r="AI2117" s="19"/>
      <c r="AJ2117" s="19"/>
      <c r="AK2117" s="19"/>
    </row>
    <row r="2118" spans="1:37" ht="15.45" customHeight="1" x14ac:dyDescent="0.25">
      <c r="A2118" s="156" t="s">
        <v>449</v>
      </c>
      <c r="B2118" s="28"/>
      <c r="C2118" s="37" t="s">
        <v>756</v>
      </c>
      <c r="E2118" s="37" t="s">
        <v>2830</v>
      </c>
      <c r="F2118" s="24" t="s">
        <v>535</v>
      </c>
      <c r="H2118" s="168"/>
      <c r="I2118" s="167"/>
      <c r="J2118" s="214" t="s">
        <v>3690</v>
      </c>
      <c r="K2118" s="10" t="s">
        <v>3685</v>
      </c>
      <c r="N2118" s="37" t="s">
        <v>3771</v>
      </c>
      <c r="P2118" s="37" t="s">
        <v>2040</v>
      </c>
      <c r="S2118" s="37"/>
      <c r="T2118" s="37"/>
      <c r="U2118" s="22">
        <v>1</v>
      </c>
      <c r="V2118" s="22">
        <v>1</v>
      </c>
      <c r="W2118" s="73">
        <f t="shared" si="97"/>
        <v>821</v>
      </c>
      <c r="X2118" s="80">
        <f t="shared" si="98"/>
        <v>3639</v>
      </c>
      <c r="Y2118" s="82" t="s">
        <v>3584</v>
      </c>
      <c r="AF2118" s="19"/>
      <c r="AG2118" s="19"/>
      <c r="AH2118" s="19"/>
      <c r="AI2118" s="19"/>
      <c r="AJ2118" s="19"/>
      <c r="AK2118" s="19"/>
    </row>
    <row r="2119" spans="1:37" ht="15.45" customHeight="1" x14ac:dyDescent="0.25">
      <c r="A2119" s="156" t="s">
        <v>2089</v>
      </c>
      <c r="B2119" s="28"/>
      <c r="C2119" s="37" t="s">
        <v>756</v>
      </c>
      <c r="E2119" s="37" t="s">
        <v>2830</v>
      </c>
      <c r="F2119" s="24" t="s">
        <v>535</v>
      </c>
      <c r="H2119" s="168"/>
      <c r="I2119" s="167"/>
      <c r="P2119" s="37" t="s">
        <v>2090</v>
      </c>
      <c r="Q2119" s="37" t="s">
        <v>3506</v>
      </c>
      <c r="S2119" s="37"/>
      <c r="T2119" s="37"/>
      <c r="U2119" s="22">
        <v>1</v>
      </c>
      <c r="V2119" s="22">
        <v>1</v>
      </c>
      <c r="W2119" s="73">
        <f t="shared" si="97"/>
        <v>822</v>
      </c>
      <c r="X2119" s="80">
        <f t="shared" si="98"/>
        <v>3640</v>
      </c>
      <c r="Y2119" s="82" t="s">
        <v>3592</v>
      </c>
      <c r="Z2119" s="24" t="s">
        <v>430</v>
      </c>
      <c r="AF2119" s="19"/>
      <c r="AG2119" s="19"/>
      <c r="AH2119" s="19"/>
      <c r="AI2119" s="19"/>
      <c r="AJ2119" s="19"/>
      <c r="AK2119" s="19"/>
    </row>
    <row r="2120" spans="1:37" ht="15.45" customHeight="1" x14ac:dyDescent="0.25">
      <c r="A2120" s="156" t="s">
        <v>1651</v>
      </c>
      <c r="B2120" s="28"/>
      <c r="C2120" s="37" t="s">
        <v>756</v>
      </c>
      <c r="E2120" s="37" t="s">
        <v>2830</v>
      </c>
      <c r="F2120" s="24" t="s">
        <v>535</v>
      </c>
      <c r="H2120" s="168"/>
      <c r="I2120" s="167"/>
      <c r="P2120" s="37" t="s">
        <v>3778</v>
      </c>
      <c r="Q2120" s="37" t="s">
        <v>3779</v>
      </c>
      <c r="S2120" s="37"/>
      <c r="T2120" s="37"/>
      <c r="U2120" s="22">
        <v>1</v>
      </c>
      <c r="V2120" s="22">
        <v>1</v>
      </c>
      <c r="W2120" s="73">
        <f t="shared" si="97"/>
        <v>823</v>
      </c>
      <c r="X2120" s="80">
        <f t="shared" si="98"/>
        <v>3641</v>
      </c>
      <c r="Y2120" s="82" t="s">
        <v>3592</v>
      </c>
      <c r="Z2120" s="24" t="s">
        <v>2888</v>
      </c>
      <c r="AF2120" s="19"/>
      <c r="AG2120" s="19"/>
      <c r="AH2120" s="19"/>
      <c r="AI2120" s="19"/>
      <c r="AJ2120" s="19"/>
      <c r="AK2120" s="19"/>
    </row>
    <row r="2121" spans="1:37" ht="15.45" customHeight="1" x14ac:dyDescent="0.25">
      <c r="A2121" s="156" t="s">
        <v>1890</v>
      </c>
      <c r="B2121" s="28"/>
      <c r="C2121" s="37" t="s">
        <v>756</v>
      </c>
      <c r="E2121" s="37" t="s">
        <v>2830</v>
      </c>
      <c r="F2121" s="24" t="s">
        <v>535</v>
      </c>
      <c r="H2121" s="168" t="s">
        <v>6769</v>
      </c>
      <c r="I2121" s="167"/>
      <c r="S2121" s="37"/>
      <c r="T2121" s="37"/>
      <c r="U2121" s="22">
        <v>1</v>
      </c>
      <c r="V2121" s="22">
        <v>1</v>
      </c>
      <c r="W2121" s="73">
        <f t="shared" si="97"/>
        <v>824</v>
      </c>
      <c r="X2121" s="80">
        <f t="shared" si="98"/>
        <v>3642</v>
      </c>
      <c r="Y2121" s="82" t="s">
        <v>3592</v>
      </c>
      <c r="Z2121" s="24" t="s">
        <v>2884</v>
      </c>
      <c r="AF2121" s="19"/>
      <c r="AG2121" s="19"/>
      <c r="AH2121" s="19"/>
      <c r="AI2121" s="19"/>
      <c r="AJ2121" s="19"/>
      <c r="AK2121" s="19"/>
    </row>
    <row r="2122" spans="1:37" ht="15.45" customHeight="1" x14ac:dyDescent="0.25">
      <c r="A2122" s="156" t="s">
        <v>2822</v>
      </c>
      <c r="B2122" s="28"/>
      <c r="C2122" s="37" t="s">
        <v>756</v>
      </c>
      <c r="E2122" s="37" t="s">
        <v>2830</v>
      </c>
      <c r="F2122" s="24" t="s">
        <v>535</v>
      </c>
      <c r="H2122" s="168"/>
      <c r="I2122" s="167"/>
      <c r="P2122" s="37" t="s">
        <v>2056</v>
      </c>
      <c r="Q2122" s="37" t="s">
        <v>3506</v>
      </c>
      <c r="S2122" s="37"/>
      <c r="T2122" s="37"/>
      <c r="U2122" s="22">
        <v>1</v>
      </c>
      <c r="V2122" s="22">
        <v>1</v>
      </c>
      <c r="W2122" s="73">
        <f t="shared" ref="W2122:W2192" si="99">W2121+V2122</f>
        <v>825</v>
      </c>
      <c r="X2122" s="80">
        <f t="shared" si="98"/>
        <v>3643</v>
      </c>
      <c r="Y2122" s="82" t="s">
        <v>3592</v>
      </c>
      <c r="Z2122" s="24" t="s">
        <v>1669</v>
      </c>
      <c r="AF2122" s="19"/>
      <c r="AG2122" s="19"/>
      <c r="AH2122" s="19"/>
      <c r="AI2122" s="19"/>
      <c r="AJ2122" s="19"/>
      <c r="AK2122" s="19"/>
    </row>
    <row r="2123" spans="1:37" ht="15.45" customHeight="1" x14ac:dyDescent="0.25">
      <c r="A2123" s="156" t="s">
        <v>1891</v>
      </c>
      <c r="B2123" s="28"/>
      <c r="C2123" s="37" t="s">
        <v>756</v>
      </c>
      <c r="E2123" s="37" t="s">
        <v>2830</v>
      </c>
      <c r="F2123" s="24" t="s">
        <v>535</v>
      </c>
      <c r="H2123" s="168"/>
      <c r="I2123" s="167"/>
      <c r="S2123" s="37"/>
      <c r="T2123" s="37"/>
      <c r="U2123" s="22">
        <v>1</v>
      </c>
      <c r="V2123" s="22">
        <v>1</v>
      </c>
      <c r="W2123" s="73">
        <f t="shared" si="99"/>
        <v>826</v>
      </c>
      <c r="X2123" s="80">
        <f t="shared" si="98"/>
        <v>3644</v>
      </c>
      <c r="Y2123" s="82" t="s">
        <v>3592</v>
      </c>
      <c r="Z2123" s="24" t="s">
        <v>1669</v>
      </c>
      <c r="AF2123" s="19"/>
      <c r="AG2123" s="19"/>
      <c r="AH2123" s="19"/>
      <c r="AI2123" s="19"/>
      <c r="AJ2123" s="19"/>
      <c r="AK2123" s="19"/>
    </row>
    <row r="2124" spans="1:37" ht="15.45" customHeight="1" x14ac:dyDescent="0.25">
      <c r="A2124" s="156" t="s">
        <v>3367</v>
      </c>
      <c r="B2124" s="28"/>
      <c r="C2124" s="37" t="s">
        <v>756</v>
      </c>
      <c r="E2124" s="37" t="s">
        <v>2830</v>
      </c>
      <c r="F2124" s="24" t="s">
        <v>535</v>
      </c>
      <c r="H2124" s="168" t="s">
        <v>3788</v>
      </c>
      <c r="I2124" s="167"/>
      <c r="Q2124" s="37" t="s">
        <v>1723</v>
      </c>
      <c r="S2124" s="37"/>
      <c r="T2124" s="37"/>
      <c r="U2124" s="22">
        <v>1</v>
      </c>
      <c r="V2124" s="22">
        <v>1</v>
      </c>
      <c r="W2124" s="73">
        <f t="shared" si="99"/>
        <v>827</v>
      </c>
      <c r="X2124" s="80">
        <f t="shared" si="98"/>
        <v>3645</v>
      </c>
      <c r="Y2124" s="82" t="s">
        <v>3592</v>
      </c>
      <c r="Z2124" s="24" t="s">
        <v>2888</v>
      </c>
      <c r="AF2124" s="19"/>
      <c r="AG2124" s="19"/>
      <c r="AH2124" s="19"/>
      <c r="AI2124" s="19"/>
      <c r="AJ2124" s="19"/>
      <c r="AK2124" s="19"/>
    </row>
    <row r="2125" spans="1:37" ht="15.45" customHeight="1" x14ac:dyDescent="0.25">
      <c r="A2125" s="156" t="s">
        <v>2027</v>
      </c>
      <c r="B2125" s="28"/>
      <c r="C2125" s="37" t="s">
        <v>756</v>
      </c>
      <c r="E2125" s="37" t="s">
        <v>2830</v>
      </c>
      <c r="F2125" s="24" t="s">
        <v>535</v>
      </c>
      <c r="H2125" s="168"/>
      <c r="I2125" s="167"/>
      <c r="P2125" s="37" t="s">
        <v>2035</v>
      </c>
      <c r="Q2125" s="37" t="s">
        <v>3506</v>
      </c>
      <c r="S2125" s="37"/>
      <c r="T2125" s="37"/>
      <c r="U2125" s="22">
        <v>1</v>
      </c>
      <c r="V2125" s="22">
        <v>1</v>
      </c>
      <c r="W2125" s="73">
        <f t="shared" si="99"/>
        <v>828</v>
      </c>
      <c r="X2125" s="80">
        <f t="shared" si="98"/>
        <v>3646</v>
      </c>
      <c r="Y2125" s="82" t="s">
        <v>3591</v>
      </c>
      <c r="Z2125" s="24" t="s">
        <v>5044</v>
      </c>
      <c r="AF2125" s="19"/>
      <c r="AG2125" s="19"/>
      <c r="AH2125" s="19"/>
      <c r="AI2125" s="19"/>
      <c r="AJ2125" s="19"/>
      <c r="AK2125" s="19"/>
    </row>
    <row r="2126" spans="1:37" ht="15.45" customHeight="1" x14ac:dyDescent="0.25">
      <c r="A2126" s="156" t="s">
        <v>5851</v>
      </c>
      <c r="B2126" s="28"/>
      <c r="C2126" s="37" t="s">
        <v>756</v>
      </c>
      <c r="E2126" s="37" t="s">
        <v>2830</v>
      </c>
      <c r="F2126" s="24" t="s">
        <v>535</v>
      </c>
      <c r="H2126" s="168"/>
      <c r="I2126" s="167"/>
      <c r="P2126" s="37" t="s">
        <v>2056</v>
      </c>
      <c r="Q2126" s="37" t="s">
        <v>3506</v>
      </c>
      <c r="S2126" s="37"/>
      <c r="T2126" s="37"/>
      <c r="U2126" s="22">
        <v>1</v>
      </c>
      <c r="V2126" s="22">
        <v>1</v>
      </c>
      <c r="W2126" s="73">
        <f t="shared" si="99"/>
        <v>829</v>
      </c>
      <c r="X2126" s="80">
        <f t="shared" si="98"/>
        <v>3647</v>
      </c>
      <c r="Y2126" s="82" t="s">
        <v>3592</v>
      </c>
      <c r="Z2126" s="24" t="s">
        <v>5044</v>
      </c>
      <c r="AF2126" s="19"/>
      <c r="AG2126" s="19"/>
      <c r="AH2126" s="19"/>
      <c r="AI2126" s="19"/>
      <c r="AJ2126" s="19"/>
      <c r="AK2126" s="19"/>
    </row>
    <row r="2127" spans="1:37" ht="15.45" customHeight="1" x14ac:dyDescent="0.25">
      <c r="A2127" s="156" t="s">
        <v>3369</v>
      </c>
      <c r="B2127" s="28"/>
      <c r="C2127" s="37" t="s">
        <v>756</v>
      </c>
      <c r="E2127" s="37" t="s">
        <v>2830</v>
      </c>
      <c r="F2127" s="24" t="s">
        <v>535</v>
      </c>
      <c r="H2127" s="168" t="s">
        <v>3789</v>
      </c>
      <c r="I2127" s="167"/>
      <c r="P2127" s="37" t="s">
        <v>2088</v>
      </c>
      <c r="Q2127" s="37" t="s">
        <v>3506</v>
      </c>
      <c r="S2127" s="37"/>
      <c r="T2127" s="37"/>
      <c r="U2127" s="22">
        <v>1</v>
      </c>
      <c r="V2127" s="22">
        <v>1</v>
      </c>
      <c r="W2127" s="73">
        <f t="shared" si="99"/>
        <v>830</v>
      </c>
      <c r="X2127" s="80">
        <f t="shared" si="98"/>
        <v>3648</v>
      </c>
      <c r="Y2127" s="82" t="s">
        <v>3592</v>
      </c>
      <c r="Z2127" s="24" t="s">
        <v>430</v>
      </c>
      <c r="AF2127" s="19"/>
      <c r="AG2127" s="19"/>
      <c r="AH2127" s="19"/>
      <c r="AI2127" s="19"/>
      <c r="AJ2127" s="19"/>
      <c r="AK2127" s="19"/>
    </row>
    <row r="2128" spans="1:37" ht="15.45" customHeight="1" x14ac:dyDescent="0.25">
      <c r="A2128" s="156" t="s">
        <v>3368</v>
      </c>
      <c r="B2128" s="28"/>
      <c r="C2128" s="37" t="s">
        <v>756</v>
      </c>
      <c r="E2128" s="37" t="s">
        <v>2830</v>
      </c>
      <c r="F2128" s="24" t="s">
        <v>2247</v>
      </c>
      <c r="H2128" s="168" t="s">
        <v>3790</v>
      </c>
      <c r="I2128" s="167"/>
      <c r="P2128" s="37" t="s">
        <v>546</v>
      </c>
      <c r="Q2128" s="37" t="s">
        <v>3506</v>
      </c>
      <c r="S2128" s="37"/>
      <c r="T2128" s="37"/>
      <c r="U2128" s="22">
        <v>1</v>
      </c>
      <c r="V2128" s="22">
        <v>1</v>
      </c>
      <c r="W2128" s="73">
        <f t="shared" si="99"/>
        <v>831</v>
      </c>
      <c r="X2128" s="80">
        <f t="shared" si="98"/>
        <v>3649</v>
      </c>
      <c r="Y2128" s="82" t="s">
        <v>3592</v>
      </c>
      <c r="Z2128" s="24" t="s">
        <v>430</v>
      </c>
      <c r="AF2128" s="19"/>
      <c r="AG2128" s="19"/>
      <c r="AH2128" s="19"/>
      <c r="AI2128" s="19"/>
      <c r="AJ2128" s="19"/>
      <c r="AK2128" s="19"/>
    </row>
    <row r="2129" spans="1:37" ht="15.45" customHeight="1" x14ac:dyDescent="0.25">
      <c r="A2129" s="156" t="s">
        <v>1597</v>
      </c>
      <c r="B2129" s="28"/>
      <c r="C2129" s="37" t="s">
        <v>756</v>
      </c>
      <c r="E2129" s="37" t="s">
        <v>2830</v>
      </c>
      <c r="F2129" s="24" t="s">
        <v>2247</v>
      </c>
      <c r="H2129" s="168"/>
      <c r="I2129" s="167"/>
      <c r="S2129" s="37"/>
      <c r="T2129" s="37"/>
      <c r="U2129" s="22">
        <v>1</v>
      </c>
      <c r="V2129" s="22">
        <v>1</v>
      </c>
      <c r="W2129" s="73">
        <f t="shared" si="99"/>
        <v>832</v>
      </c>
      <c r="X2129" s="80">
        <f t="shared" si="98"/>
        <v>3650</v>
      </c>
      <c r="Y2129" s="82" t="s">
        <v>3592</v>
      </c>
      <c r="Z2129" s="24" t="s">
        <v>2884</v>
      </c>
      <c r="AF2129" s="19"/>
      <c r="AG2129" s="19"/>
      <c r="AH2129" s="19"/>
      <c r="AI2129" s="19"/>
      <c r="AJ2129" s="19"/>
      <c r="AK2129" s="19"/>
    </row>
    <row r="2130" spans="1:37" ht="15.45" customHeight="1" x14ac:dyDescent="0.25">
      <c r="A2130" s="156" t="s">
        <v>859</v>
      </c>
      <c r="B2130" s="28"/>
      <c r="C2130" s="37" t="s">
        <v>756</v>
      </c>
      <c r="E2130" s="37" t="s">
        <v>2830</v>
      </c>
      <c r="F2130" s="24" t="s">
        <v>1096</v>
      </c>
      <c r="H2130" s="168"/>
      <c r="I2130" s="167"/>
      <c r="J2130" s="214" t="s">
        <v>3690</v>
      </c>
      <c r="K2130" s="10" t="s">
        <v>3685</v>
      </c>
      <c r="N2130" s="37" t="s">
        <v>3772</v>
      </c>
      <c r="S2130" s="37"/>
      <c r="T2130" s="37"/>
      <c r="U2130" s="22">
        <v>1</v>
      </c>
      <c r="V2130" s="22">
        <v>1</v>
      </c>
      <c r="W2130" s="73">
        <f t="shared" si="99"/>
        <v>833</v>
      </c>
      <c r="X2130" s="80">
        <f t="shared" si="98"/>
        <v>3651</v>
      </c>
      <c r="Y2130" s="82" t="s">
        <v>3584</v>
      </c>
      <c r="AF2130" s="19"/>
      <c r="AG2130" s="19"/>
      <c r="AH2130" s="19"/>
      <c r="AI2130" s="19"/>
      <c r="AJ2130" s="19"/>
      <c r="AK2130" s="19"/>
    </row>
    <row r="2131" spans="1:37" ht="15.45" customHeight="1" x14ac:dyDescent="0.25">
      <c r="A2131" s="156" t="s">
        <v>882</v>
      </c>
      <c r="B2131" s="28"/>
      <c r="C2131" s="37" t="s">
        <v>756</v>
      </c>
      <c r="E2131" s="37" t="s">
        <v>2830</v>
      </c>
      <c r="F2131" s="24" t="s">
        <v>1096</v>
      </c>
      <c r="H2131" s="168"/>
      <c r="I2131" s="167"/>
      <c r="J2131" s="214" t="s">
        <v>3690</v>
      </c>
      <c r="K2131" s="10" t="s">
        <v>3685</v>
      </c>
      <c r="N2131" s="37" t="s">
        <v>3771</v>
      </c>
      <c r="P2131" s="37" t="s">
        <v>248</v>
      </c>
      <c r="Q2131" s="37" t="s">
        <v>1998</v>
      </c>
      <c r="S2131" s="37"/>
      <c r="T2131" s="37"/>
      <c r="U2131" s="22">
        <v>2</v>
      </c>
      <c r="V2131" s="22">
        <v>2</v>
      </c>
      <c r="W2131" s="73">
        <f t="shared" si="99"/>
        <v>835</v>
      </c>
      <c r="X2131" s="80">
        <f t="shared" si="98"/>
        <v>3653</v>
      </c>
      <c r="Y2131" s="82" t="s">
        <v>3584</v>
      </c>
      <c r="AF2131" s="19"/>
      <c r="AG2131" s="19"/>
      <c r="AH2131" s="19"/>
      <c r="AI2131" s="19"/>
      <c r="AJ2131" s="19"/>
      <c r="AK2131" s="19"/>
    </row>
    <row r="2132" spans="1:37" ht="15.45" customHeight="1" x14ac:dyDescent="0.25">
      <c r="A2132" s="156" t="s">
        <v>883</v>
      </c>
      <c r="B2132" s="28"/>
      <c r="C2132" s="37" t="s">
        <v>756</v>
      </c>
      <c r="E2132" s="37" t="s">
        <v>2830</v>
      </c>
      <c r="F2132" s="24" t="s">
        <v>1096</v>
      </c>
      <c r="H2132" s="168"/>
      <c r="I2132" s="167"/>
      <c r="J2132" s="214" t="s">
        <v>3690</v>
      </c>
      <c r="K2132" s="10" t="s">
        <v>3685</v>
      </c>
      <c r="N2132" s="37" t="s">
        <v>3771</v>
      </c>
      <c r="P2132" s="37" t="s">
        <v>248</v>
      </c>
      <c r="Q2132" s="37" t="s">
        <v>1998</v>
      </c>
      <c r="S2132" s="37"/>
      <c r="T2132" s="37"/>
      <c r="U2132" s="22">
        <v>3</v>
      </c>
      <c r="V2132" s="22">
        <v>3</v>
      </c>
      <c r="W2132" s="73">
        <f t="shared" si="99"/>
        <v>838</v>
      </c>
      <c r="X2132" s="80">
        <f t="shared" si="98"/>
        <v>3656</v>
      </c>
      <c r="Y2132" s="82" t="s">
        <v>3584</v>
      </c>
      <c r="AF2132" s="19"/>
      <c r="AG2132" s="19"/>
      <c r="AH2132" s="19"/>
      <c r="AI2132" s="19"/>
      <c r="AJ2132" s="19"/>
      <c r="AK2132" s="19"/>
    </row>
    <row r="2133" spans="1:37" ht="15.45" customHeight="1" x14ac:dyDescent="0.25">
      <c r="A2133" s="156" t="s">
        <v>5830</v>
      </c>
      <c r="B2133" s="28"/>
      <c r="C2133" s="37" t="s">
        <v>756</v>
      </c>
      <c r="E2133" s="37" t="s">
        <v>2830</v>
      </c>
      <c r="F2133" s="24" t="s">
        <v>5831</v>
      </c>
      <c r="H2133" s="168" t="s">
        <v>5832</v>
      </c>
      <c r="I2133" s="167"/>
      <c r="J2133" s="214" t="s">
        <v>5684</v>
      </c>
      <c r="O2133" s="37" t="s">
        <v>5833</v>
      </c>
      <c r="P2133" s="37" t="s">
        <v>1463</v>
      </c>
      <c r="Q2133" s="37" t="s">
        <v>3506</v>
      </c>
      <c r="S2133" s="37"/>
      <c r="T2133" s="37"/>
      <c r="U2133" s="22">
        <v>1</v>
      </c>
      <c r="V2133" s="22">
        <v>1</v>
      </c>
      <c r="W2133" s="73">
        <f t="shared" si="99"/>
        <v>839</v>
      </c>
      <c r="X2133" s="80">
        <f t="shared" si="98"/>
        <v>3657</v>
      </c>
      <c r="Y2133" s="82" t="s">
        <v>3591</v>
      </c>
      <c r="Z2133" s="24" t="s">
        <v>2885</v>
      </c>
      <c r="AB2133" s="177">
        <v>44383</v>
      </c>
      <c r="AC2133" s="84" t="s">
        <v>5308</v>
      </c>
      <c r="AF2133" s="19"/>
      <c r="AG2133" s="19"/>
      <c r="AH2133" s="19"/>
      <c r="AI2133" s="19"/>
      <c r="AJ2133" s="19"/>
      <c r="AK2133" s="19"/>
    </row>
    <row r="2134" spans="1:37" ht="15.45" customHeight="1" x14ac:dyDescent="0.25">
      <c r="A2134" s="156" t="s">
        <v>860</v>
      </c>
      <c r="B2134" s="28"/>
      <c r="C2134" s="37" t="s">
        <v>756</v>
      </c>
      <c r="E2134" s="37" t="s">
        <v>2830</v>
      </c>
      <c r="F2134" s="24" t="s">
        <v>1096</v>
      </c>
      <c r="H2134" s="168"/>
      <c r="I2134" s="167"/>
      <c r="J2134" s="214" t="s">
        <v>3690</v>
      </c>
      <c r="K2134" s="10" t="s">
        <v>3685</v>
      </c>
      <c r="N2134" s="37" t="s">
        <v>3771</v>
      </c>
      <c r="P2134" s="37" t="s">
        <v>343</v>
      </c>
      <c r="Q2134" s="37" t="s">
        <v>3777</v>
      </c>
      <c r="S2134" s="37"/>
      <c r="T2134" s="37"/>
      <c r="U2134" s="22">
        <v>1</v>
      </c>
      <c r="V2134" s="22">
        <v>1</v>
      </c>
      <c r="W2134" s="73">
        <f t="shared" si="99"/>
        <v>840</v>
      </c>
      <c r="X2134" s="80">
        <f t="shared" si="98"/>
        <v>3658</v>
      </c>
      <c r="Y2134" s="82" t="s">
        <v>3584</v>
      </c>
      <c r="AF2134" s="19"/>
      <c r="AG2134" s="19"/>
      <c r="AH2134" s="19"/>
      <c r="AI2134" s="19"/>
      <c r="AJ2134" s="19"/>
      <c r="AK2134" s="19"/>
    </row>
    <row r="2135" spans="1:37" ht="15.45" customHeight="1" x14ac:dyDescent="0.25">
      <c r="A2135" s="156" t="s">
        <v>1146</v>
      </c>
      <c r="B2135" s="28"/>
      <c r="C2135" s="37" t="s">
        <v>756</v>
      </c>
      <c r="E2135" s="37" t="s">
        <v>2830</v>
      </c>
      <c r="F2135" s="24" t="s">
        <v>1096</v>
      </c>
      <c r="H2135" s="168"/>
      <c r="I2135" s="167"/>
      <c r="J2135" s="214" t="s">
        <v>3690</v>
      </c>
      <c r="K2135" s="10" t="s">
        <v>3685</v>
      </c>
      <c r="N2135" s="37" t="s">
        <v>3771</v>
      </c>
      <c r="P2135" s="37" t="s">
        <v>1598</v>
      </c>
      <c r="S2135" s="37"/>
      <c r="T2135" s="37"/>
      <c r="U2135" s="22">
        <v>1</v>
      </c>
      <c r="V2135" s="22">
        <v>1</v>
      </c>
      <c r="W2135" s="73">
        <f t="shared" si="99"/>
        <v>841</v>
      </c>
      <c r="X2135" s="80">
        <f t="shared" si="98"/>
        <v>3659</v>
      </c>
      <c r="Y2135" s="82" t="s">
        <v>3584</v>
      </c>
      <c r="AF2135" s="19"/>
      <c r="AG2135" s="19"/>
      <c r="AH2135" s="19"/>
      <c r="AI2135" s="19"/>
      <c r="AJ2135" s="19"/>
      <c r="AK2135" s="19"/>
    </row>
    <row r="2136" spans="1:37" ht="15.45" customHeight="1" x14ac:dyDescent="0.25">
      <c r="A2136" s="156" t="s">
        <v>866</v>
      </c>
      <c r="B2136" s="28"/>
      <c r="C2136" s="37" t="s">
        <v>756</v>
      </c>
      <c r="E2136" s="37" t="s">
        <v>2830</v>
      </c>
      <c r="F2136" s="24" t="s">
        <v>1096</v>
      </c>
      <c r="H2136" s="168"/>
      <c r="I2136" s="167"/>
      <c r="J2136" s="214" t="s">
        <v>3690</v>
      </c>
      <c r="K2136" s="10" t="s">
        <v>3685</v>
      </c>
      <c r="N2136" s="37" t="s">
        <v>3771</v>
      </c>
      <c r="P2136" s="37" t="s">
        <v>1958</v>
      </c>
      <c r="S2136" s="37"/>
      <c r="T2136" s="37"/>
      <c r="U2136" s="22">
        <v>1</v>
      </c>
      <c r="V2136" s="22">
        <v>1</v>
      </c>
      <c r="W2136" s="73">
        <f t="shared" si="99"/>
        <v>842</v>
      </c>
      <c r="X2136" s="80">
        <f t="shared" si="98"/>
        <v>3660</v>
      </c>
      <c r="Y2136" s="82" t="s">
        <v>3584</v>
      </c>
      <c r="AF2136" s="19"/>
      <c r="AG2136" s="19"/>
      <c r="AH2136" s="19"/>
      <c r="AI2136" s="19"/>
      <c r="AJ2136" s="19"/>
      <c r="AK2136" s="19"/>
    </row>
    <row r="2137" spans="1:37" ht="15.45" customHeight="1" x14ac:dyDescent="0.25">
      <c r="A2137" s="156" t="s">
        <v>824</v>
      </c>
      <c r="B2137" s="28"/>
      <c r="C2137" s="37" t="s">
        <v>756</v>
      </c>
      <c r="E2137" s="37" t="s">
        <v>2830</v>
      </c>
      <c r="F2137" s="24" t="s">
        <v>1096</v>
      </c>
      <c r="H2137" s="168"/>
      <c r="I2137" s="167"/>
      <c r="J2137" s="214" t="s">
        <v>3690</v>
      </c>
      <c r="K2137" s="10" t="s">
        <v>3685</v>
      </c>
      <c r="N2137" s="37" t="s">
        <v>3771</v>
      </c>
      <c r="P2137" s="37" t="s">
        <v>1599</v>
      </c>
      <c r="S2137" s="37"/>
      <c r="T2137" s="37"/>
      <c r="U2137" s="22">
        <v>2</v>
      </c>
      <c r="V2137" s="22">
        <v>2</v>
      </c>
      <c r="W2137" s="73">
        <f t="shared" si="99"/>
        <v>844</v>
      </c>
      <c r="X2137" s="80">
        <f t="shared" si="98"/>
        <v>3662</v>
      </c>
      <c r="Y2137" s="82" t="s">
        <v>3584</v>
      </c>
      <c r="AF2137" s="19"/>
      <c r="AG2137" s="19"/>
      <c r="AH2137" s="19"/>
      <c r="AI2137" s="19"/>
      <c r="AJ2137" s="19"/>
      <c r="AK2137" s="19"/>
    </row>
    <row r="2138" spans="1:37" ht="15.45" customHeight="1" x14ac:dyDescent="0.25">
      <c r="A2138" s="156" t="s">
        <v>880</v>
      </c>
      <c r="B2138" s="28"/>
      <c r="C2138" s="37" t="s">
        <v>756</v>
      </c>
      <c r="E2138" s="37" t="s">
        <v>2830</v>
      </c>
      <c r="F2138" s="24" t="s">
        <v>1096</v>
      </c>
      <c r="H2138" s="168"/>
      <c r="I2138" s="167"/>
      <c r="J2138" s="214" t="s">
        <v>3690</v>
      </c>
      <c r="K2138" s="10" t="s">
        <v>3685</v>
      </c>
      <c r="N2138" s="37" t="s">
        <v>3771</v>
      </c>
      <c r="P2138" s="37" t="s">
        <v>1600</v>
      </c>
      <c r="S2138" s="37"/>
      <c r="T2138" s="37"/>
      <c r="U2138" s="22">
        <v>3</v>
      </c>
      <c r="V2138" s="22">
        <v>3</v>
      </c>
      <c r="W2138" s="73">
        <f t="shared" si="99"/>
        <v>847</v>
      </c>
      <c r="X2138" s="80">
        <f t="shared" si="98"/>
        <v>3665</v>
      </c>
      <c r="Y2138" s="82" t="s">
        <v>3584</v>
      </c>
      <c r="AF2138" s="19"/>
      <c r="AG2138" s="19"/>
      <c r="AH2138" s="19"/>
      <c r="AI2138" s="19"/>
      <c r="AJ2138" s="19"/>
      <c r="AK2138" s="19"/>
    </row>
    <row r="2139" spans="1:37" ht="15.45" customHeight="1" x14ac:dyDescent="0.25">
      <c r="A2139" s="156" t="s">
        <v>5848</v>
      </c>
      <c r="B2139" s="28"/>
      <c r="C2139" s="37" t="s">
        <v>756</v>
      </c>
      <c r="E2139" s="37" t="s">
        <v>2830</v>
      </c>
      <c r="F2139" s="24" t="s">
        <v>1096</v>
      </c>
      <c r="H2139" s="168" t="s">
        <v>5849</v>
      </c>
      <c r="I2139" s="167"/>
      <c r="J2139" s="214" t="s">
        <v>5684</v>
      </c>
      <c r="O2139" s="37" t="s">
        <v>5850</v>
      </c>
      <c r="P2139" s="37" t="s">
        <v>1463</v>
      </c>
      <c r="S2139" s="37" t="s">
        <v>3412</v>
      </c>
      <c r="T2139" s="37"/>
      <c r="U2139" s="22">
        <v>1</v>
      </c>
      <c r="V2139" s="22">
        <v>1</v>
      </c>
      <c r="W2139" s="73">
        <f t="shared" si="99"/>
        <v>848</v>
      </c>
      <c r="X2139" s="80">
        <f t="shared" si="98"/>
        <v>3666</v>
      </c>
      <c r="Y2139" s="82" t="s">
        <v>3591</v>
      </c>
      <c r="Z2139" s="24" t="s">
        <v>2885</v>
      </c>
      <c r="AB2139" s="177">
        <v>44383</v>
      </c>
      <c r="AC2139" s="84" t="s">
        <v>5308</v>
      </c>
      <c r="AF2139" s="19"/>
      <c r="AG2139" s="19"/>
      <c r="AH2139" s="19"/>
      <c r="AI2139" s="19"/>
      <c r="AJ2139" s="19"/>
      <c r="AK2139" s="19"/>
    </row>
    <row r="2140" spans="1:37" ht="15.45" customHeight="1" x14ac:dyDescent="0.25">
      <c r="A2140" s="156" t="s">
        <v>875</v>
      </c>
      <c r="B2140" s="28"/>
      <c r="C2140" s="37" t="s">
        <v>756</v>
      </c>
      <c r="E2140" s="37" t="s">
        <v>2830</v>
      </c>
      <c r="F2140" s="24" t="s">
        <v>1096</v>
      </c>
      <c r="H2140" s="168"/>
      <c r="I2140" s="167"/>
      <c r="J2140" s="214" t="s">
        <v>3690</v>
      </c>
      <c r="K2140" s="10" t="s">
        <v>3685</v>
      </c>
      <c r="N2140" s="37" t="s">
        <v>3771</v>
      </c>
      <c r="P2140" s="37" t="s">
        <v>1827</v>
      </c>
      <c r="S2140" s="37"/>
      <c r="T2140" s="37"/>
      <c r="U2140" s="22">
        <v>5</v>
      </c>
      <c r="V2140" s="22">
        <v>5</v>
      </c>
      <c r="W2140" s="73">
        <f t="shared" si="99"/>
        <v>853</v>
      </c>
      <c r="X2140" s="80">
        <f t="shared" si="98"/>
        <v>3671</v>
      </c>
      <c r="Y2140" s="82" t="s">
        <v>3584</v>
      </c>
      <c r="AF2140" s="19"/>
      <c r="AG2140" s="19"/>
      <c r="AH2140" s="19"/>
      <c r="AI2140" s="19"/>
      <c r="AJ2140" s="19"/>
      <c r="AK2140" s="19"/>
    </row>
    <row r="2141" spans="1:37" ht="15.45" customHeight="1" x14ac:dyDescent="0.25">
      <c r="A2141" s="156" t="s">
        <v>876</v>
      </c>
      <c r="B2141" s="28"/>
      <c r="C2141" s="37" t="s">
        <v>756</v>
      </c>
      <c r="E2141" s="37" t="s">
        <v>2830</v>
      </c>
      <c r="F2141" s="24" t="s">
        <v>1096</v>
      </c>
      <c r="H2141" s="168"/>
      <c r="I2141" s="167"/>
      <c r="J2141" s="214" t="s">
        <v>3690</v>
      </c>
      <c r="K2141" s="10" t="s">
        <v>3685</v>
      </c>
      <c r="N2141" s="37" t="s">
        <v>3771</v>
      </c>
      <c r="P2141" s="37" t="s">
        <v>1827</v>
      </c>
      <c r="S2141" s="37"/>
      <c r="T2141" s="37"/>
      <c r="U2141" s="22">
        <v>7</v>
      </c>
      <c r="V2141" s="22">
        <v>7</v>
      </c>
      <c r="W2141" s="73">
        <f t="shared" si="99"/>
        <v>860</v>
      </c>
      <c r="X2141" s="80">
        <f t="shared" si="98"/>
        <v>3678</v>
      </c>
      <c r="Y2141" s="82" t="s">
        <v>3584</v>
      </c>
      <c r="AF2141" s="19"/>
      <c r="AG2141" s="19"/>
      <c r="AH2141" s="19"/>
      <c r="AI2141" s="19"/>
      <c r="AJ2141" s="19"/>
      <c r="AK2141" s="19"/>
    </row>
    <row r="2142" spans="1:37" ht="15.45" customHeight="1" x14ac:dyDescent="0.25">
      <c r="A2142" s="156" t="s">
        <v>941</v>
      </c>
      <c r="B2142" s="28"/>
      <c r="C2142" s="37" t="s">
        <v>756</v>
      </c>
      <c r="E2142" s="37" t="s">
        <v>2830</v>
      </c>
      <c r="F2142" s="24" t="s">
        <v>1096</v>
      </c>
      <c r="H2142" s="168"/>
      <c r="I2142" s="167"/>
      <c r="J2142" s="214" t="s">
        <v>3690</v>
      </c>
      <c r="K2142" s="10" t="s">
        <v>3685</v>
      </c>
      <c r="N2142" s="37" t="s">
        <v>3771</v>
      </c>
      <c r="P2142" s="37" t="s">
        <v>1918</v>
      </c>
      <c r="Q2142" s="37" t="s">
        <v>3777</v>
      </c>
      <c r="S2142" s="37"/>
      <c r="T2142" s="37"/>
      <c r="U2142" s="22">
        <v>1</v>
      </c>
      <c r="V2142" s="22">
        <v>1</v>
      </c>
      <c r="W2142" s="73">
        <f t="shared" si="99"/>
        <v>861</v>
      </c>
      <c r="X2142" s="80">
        <f t="shared" si="98"/>
        <v>3679</v>
      </c>
      <c r="Y2142" s="82" t="s">
        <v>3584</v>
      </c>
      <c r="AF2142" s="19"/>
      <c r="AG2142" s="19"/>
      <c r="AH2142" s="19"/>
      <c r="AI2142" s="19"/>
      <c r="AJ2142" s="19"/>
      <c r="AK2142" s="19"/>
    </row>
    <row r="2143" spans="1:37" ht="15.45" customHeight="1" x14ac:dyDescent="0.25">
      <c r="A2143" s="156" t="s">
        <v>1553</v>
      </c>
      <c r="B2143" s="28"/>
      <c r="C2143" s="37" t="s">
        <v>756</v>
      </c>
      <c r="E2143" s="37" t="s">
        <v>2830</v>
      </c>
      <c r="F2143" s="24" t="s">
        <v>1096</v>
      </c>
      <c r="H2143" s="168"/>
      <c r="I2143" s="167"/>
      <c r="J2143" s="214" t="s">
        <v>3690</v>
      </c>
      <c r="K2143" s="10" t="s">
        <v>3685</v>
      </c>
      <c r="N2143" s="37" t="s">
        <v>3771</v>
      </c>
      <c r="P2143" s="37" t="s">
        <v>1829</v>
      </c>
      <c r="S2143" s="37"/>
      <c r="T2143" s="37"/>
      <c r="U2143" s="22">
        <v>4</v>
      </c>
      <c r="V2143" s="22">
        <v>4</v>
      </c>
      <c r="W2143" s="73">
        <f t="shared" si="99"/>
        <v>865</v>
      </c>
      <c r="X2143" s="80">
        <f t="shared" si="98"/>
        <v>3683</v>
      </c>
      <c r="Y2143" s="82" t="s">
        <v>3584</v>
      </c>
      <c r="AF2143" s="19"/>
      <c r="AG2143" s="19"/>
      <c r="AH2143" s="19"/>
      <c r="AI2143" s="19"/>
      <c r="AJ2143" s="19"/>
      <c r="AK2143" s="19"/>
    </row>
    <row r="2144" spans="1:37" ht="15.45" customHeight="1" x14ac:dyDescent="0.25">
      <c r="A2144" s="156" t="s">
        <v>821</v>
      </c>
      <c r="B2144" s="28"/>
      <c r="C2144" s="37" t="s">
        <v>756</v>
      </c>
      <c r="E2144" s="37" t="s">
        <v>2830</v>
      </c>
      <c r="F2144" s="24" t="s">
        <v>1096</v>
      </c>
      <c r="H2144" s="168"/>
      <c r="I2144" s="167"/>
      <c r="J2144" s="214" t="s">
        <v>3690</v>
      </c>
      <c r="K2144" s="10" t="s">
        <v>3685</v>
      </c>
      <c r="N2144" s="37" t="s">
        <v>3772</v>
      </c>
      <c r="S2144" s="37"/>
      <c r="T2144" s="37"/>
      <c r="U2144" s="22">
        <v>2</v>
      </c>
      <c r="V2144" s="22">
        <v>2</v>
      </c>
      <c r="W2144" s="73">
        <f t="shared" si="99"/>
        <v>867</v>
      </c>
      <c r="X2144" s="80">
        <f t="shared" si="98"/>
        <v>3685</v>
      </c>
      <c r="Y2144" s="82" t="s">
        <v>3584</v>
      </c>
      <c r="AF2144" s="19"/>
      <c r="AG2144" s="19"/>
      <c r="AH2144" s="19"/>
      <c r="AI2144" s="19"/>
      <c r="AJ2144" s="19"/>
      <c r="AK2144" s="19"/>
    </row>
    <row r="2145" spans="1:37" ht="15.45" customHeight="1" x14ac:dyDescent="0.25">
      <c r="A2145" s="156" t="s">
        <v>861</v>
      </c>
      <c r="B2145" s="28"/>
      <c r="C2145" s="37" t="s">
        <v>756</v>
      </c>
      <c r="E2145" s="37" t="s">
        <v>2830</v>
      </c>
      <c r="F2145" s="24" t="s">
        <v>1096</v>
      </c>
      <c r="H2145" s="168"/>
      <c r="I2145" s="167"/>
      <c r="J2145" s="214" t="s">
        <v>3690</v>
      </c>
      <c r="K2145" s="10" t="s">
        <v>3685</v>
      </c>
      <c r="N2145" s="37" t="s">
        <v>3771</v>
      </c>
      <c r="P2145" s="37" t="s">
        <v>1829</v>
      </c>
      <c r="S2145" s="37"/>
      <c r="T2145" s="37"/>
      <c r="U2145" s="22">
        <v>1</v>
      </c>
      <c r="V2145" s="22">
        <v>1</v>
      </c>
      <c r="W2145" s="73">
        <f t="shared" si="99"/>
        <v>868</v>
      </c>
      <c r="X2145" s="80">
        <f t="shared" si="98"/>
        <v>3686</v>
      </c>
      <c r="Y2145" s="82" t="s">
        <v>3584</v>
      </c>
      <c r="AF2145" s="19"/>
      <c r="AG2145" s="19"/>
      <c r="AH2145" s="19"/>
      <c r="AI2145" s="19"/>
      <c r="AJ2145" s="19"/>
      <c r="AK2145" s="19"/>
    </row>
    <row r="2146" spans="1:37" ht="15.45" customHeight="1" x14ac:dyDescent="0.25">
      <c r="A2146" s="156" t="s">
        <v>862</v>
      </c>
      <c r="B2146" s="28"/>
      <c r="C2146" s="37" t="s">
        <v>756</v>
      </c>
      <c r="E2146" s="37" t="s">
        <v>2830</v>
      </c>
      <c r="F2146" s="24" t="s">
        <v>1096</v>
      </c>
      <c r="H2146" s="168"/>
      <c r="I2146" s="167"/>
      <c r="J2146" s="214" t="s">
        <v>3690</v>
      </c>
      <c r="K2146" s="10" t="s">
        <v>3685</v>
      </c>
      <c r="N2146" s="37" t="s">
        <v>3771</v>
      </c>
      <c r="P2146" s="37" t="s">
        <v>1592</v>
      </c>
      <c r="S2146" s="37"/>
      <c r="T2146" s="37"/>
      <c r="U2146" s="22">
        <v>1</v>
      </c>
      <c r="V2146" s="22">
        <v>1</v>
      </c>
      <c r="W2146" s="73">
        <f t="shared" si="99"/>
        <v>869</v>
      </c>
      <c r="X2146" s="80">
        <f t="shared" si="98"/>
        <v>3687</v>
      </c>
      <c r="Y2146" s="82" t="s">
        <v>3584</v>
      </c>
      <c r="AF2146" s="19"/>
      <c r="AG2146" s="19"/>
      <c r="AH2146" s="19"/>
      <c r="AI2146" s="19"/>
      <c r="AJ2146" s="19"/>
      <c r="AK2146" s="19"/>
    </row>
    <row r="2147" spans="1:37" ht="15.45" customHeight="1" x14ac:dyDescent="0.25">
      <c r="A2147" s="156" t="s">
        <v>1267</v>
      </c>
      <c r="B2147" s="28"/>
      <c r="C2147" s="37" t="s">
        <v>756</v>
      </c>
      <c r="E2147" s="37" t="s">
        <v>2830</v>
      </c>
      <c r="F2147" s="24" t="s">
        <v>1096</v>
      </c>
      <c r="H2147" s="168"/>
      <c r="I2147" s="167"/>
      <c r="J2147" s="214" t="s">
        <v>3690</v>
      </c>
      <c r="K2147" s="10" t="s">
        <v>3685</v>
      </c>
      <c r="N2147" s="37" t="s">
        <v>3771</v>
      </c>
      <c r="P2147" s="37" t="s">
        <v>1592</v>
      </c>
      <c r="S2147" s="37"/>
      <c r="T2147" s="37"/>
      <c r="U2147" s="22">
        <v>1</v>
      </c>
      <c r="V2147" s="22">
        <v>1</v>
      </c>
      <c r="W2147" s="73">
        <f t="shared" si="99"/>
        <v>870</v>
      </c>
      <c r="X2147" s="80">
        <f t="shared" si="98"/>
        <v>3688</v>
      </c>
      <c r="Y2147" s="82" t="s">
        <v>3584</v>
      </c>
      <c r="AF2147" s="19"/>
      <c r="AG2147" s="19"/>
      <c r="AH2147" s="19"/>
      <c r="AI2147" s="19"/>
      <c r="AJ2147" s="19"/>
      <c r="AK2147" s="19"/>
    </row>
    <row r="2148" spans="1:37" ht="15.45" customHeight="1" x14ac:dyDescent="0.25">
      <c r="A2148" s="156" t="s">
        <v>1268</v>
      </c>
      <c r="B2148" s="28"/>
      <c r="C2148" s="37" t="s">
        <v>756</v>
      </c>
      <c r="E2148" s="37" t="s">
        <v>2830</v>
      </c>
      <c r="F2148" s="24" t="s">
        <v>1096</v>
      </c>
      <c r="H2148" s="168"/>
      <c r="I2148" s="167"/>
      <c r="J2148" s="214" t="s">
        <v>3690</v>
      </c>
      <c r="K2148" s="10" t="s">
        <v>3685</v>
      </c>
      <c r="N2148" s="37" t="s">
        <v>3771</v>
      </c>
      <c r="P2148" s="37" t="s">
        <v>1593</v>
      </c>
      <c r="S2148" s="37"/>
      <c r="T2148" s="37"/>
      <c r="U2148" s="22">
        <v>1</v>
      </c>
      <c r="V2148" s="22">
        <v>1</v>
      </c>
      <c r="W2148" s="73">
        <f t="shared" si="99"/>
        <v>871</v>
      </c>
      <c r="X2148" s="80">
        <f t="shared" si="98"/>
        <v>3689</v>
      </c>
      <c r="Y2148" s="82" t="s">
        <v>3584</v>
      </c>
      <c r="AF2148" s="19"/>
      <c r="AG2148" s="19"/>
      <c r="AH2148" s="19"/>
      <c r="AI2148" s="19"/>
      <c r="AJ2148" s="19"/>
      <c r="AK2148" s="19"/>
    </row>
    <row r="2149" spans="1:37" ht="15.45" customHeight="1" x14ac:dyDescent="0.25">
      <c r="A2149" s="156" t="s">
        <v>1452</v>
      </c>
      <c r="B2149" s="28"/>
      <c r="C2149" s="37" t="s">
        <v>756</v>
      </c>
      <c r="E2149" s="37" t="s">
        <v>2830</v>
      </c>
      <c r="F2149" s="24" t="s">
        <v>1096</v>
      </c>
      <c r="H2149" s="168"/>
      <c r="I2149" s="167"/>
      <c r="J2149" s="214" t="s">
        <v>3690</v>
      </c>
      <c r="K2149" s="10" t="s">
        <v>3685</v>
      </c>
      <c r="N2149" s="37" t="s">
        <v>3771</v>
      </c>
      <c r="P2149" s="37" t="s">
        <v>1592</v>
      </c>
      <c r="S2149" s="37"/>
      <c r="T2149" s="37"/>
      <c r="U2149" s="22">
        <v>2</v>
      </c>
      <c r="V2149" s="22">
        <v>2</v>
      </c>
      <c r="W2149" s="73">
        <f t="shared" si="99"/>
        <v>873</v>
      </c>
      <c r="X2149" s="80">
        <f t="shared" si="98"/>
        <v>3691</v>
      </c>
      <c r="Y2149" s="82" t="s">
        <v>3584</v>
      </c>
      <c r="AF2149" s="19"/>
      <c r="AG2149" s="19"/>
      <c r="AH2149" s="19"/>
      <c r="AI2149" s="19"/>
      <c r="AJ2149" s="19"/>
      <c r="AK2149" s="19"/>
    </row>
    <row r="2150" spans="1:37" ht="15.45" customHeight="1" x14ac:dyDescent="0.25">
      <c r="A2150" s="156" t="s">
        <v>1164</v>
      </c>
      <c r="B2150" s="28"/>
      <c r="C2150" s="37" t="s">
        <v>756</v>
      </c>
      <c r="E2150" s="37" t="s">
        <v>2830</v>
      </c>
      <c r="F2150" s="24" t="s">
        <v>1096</v>
      </c>
      <c r="H2150" s="168"/>
      <c r="I2150" s="167"/>
      <c r="J2150" s="214" t="s">
        <v>3690</v>
      </c>
      <c r="K2150" s="10" t="s">
        <v>3685</v>
      </c>
      <c r="N2150" s="37" t="s">
        <v>3772</v>
      </c>
      <c r="S2150" s="37"/>
      <c r="T2150" s="37"/>
      <c r="U2150" s="22">
        <v>1</v>
      </c>
      <c r="V2150" s="22">
        <v>1</v>
      </c>
      <c r="W2150" s="73">
        <f t="shared" si="99"/>
        <v>874</v>
      </c>
      <c r="X2150" s="80">
        <f t="shared" si="98"/>
        <v>3692</v>
      </c>
      <c r="Y2150" s="82" t="s">
        <v>3584</v>
      </c>
      <c r="AF2150" s="19"/>
      <c r="AG2150" s="19"/>
      <c r="AH2150" s="19"/>
      <c r="AI2150" s="19"/>
      <c r="AJ2150" s="19"/>
      <c r="AK2150" s="19"/>
    </row>
    <row r="2151" spans="1:37" ht="15.45" customHeight="1" x14ac:dyDescent="0.25">
      <c r="A2151" s="156" t="s">
        <v>6026</v>
      </c>
      <c r="B2151" s="28"/>
      <c r="C2151" s="37" t="s">
        <v>756</v>
      </c>
      <c r="E2151" s="37" t="s">
        <v>2830</v>
      </c>
      <c r="F2151" s="24" t="s">
        <v>5975</v>
      </c>
      <c r="H2151" s="168" t="s">
        <v>6025</v>
      </c>
      <c r="I2151" s="167"/>
      <c r="J2151" s="214" t="s">
        <v>5334</v>
      </c>
      <c r="O2151" s="37" t="s">
        <v>5813</v>
      </c>
      <c r="P2151" s="37" t="s">
        <v>1463</v>
      </c>
      <c r="Q2151" s="37" t="s">
        <v>3506</v>
      </c>
      <c r="R2151" s="37" t="s">
        <v>1792</v>
      </c>
      <c r="S2151" s="37" t="s">
        <v>3412</v>
      </c>
      <c r="T2151" s="37"/>
      <c r="U2151" s="22">
        <v>1</v>
      </c>
      <c r="V2151" s="22">
        <v>1</v>
      </c>
      <c r="W2151" s="73">
        <f t="shared" si="99"/>
        <v>875</v>
      </c>
      <c r="X2151" s="80">
        <f t="shared" si="98"/>
        <v>3693</v>
      </c>
      <c r="Y2151" s="82" t="s">
        <v>3591</v>
      </c>
      <c r="Z2151" s="24" t="s">
        <v>2885</v>
      </c>
      <c r="AB2151" s="177">
        <v>44383</v>
      </c>
      <c r="AC2151" s="84" t="s">
        <v>5308</v>
      </c>
      <c r="AF2151" s="19"/>
      <c r="AG2151" s="19"/>
      <c r="AH2151" s="19"/>
      <c r="AI2151" s="19"/>
      <c r="AJ2151" s="19"/>
      <c r="AK2151" s="19"/>
    </row>
    <row r="2152" spans="1:37" ht="15.45" customHeight="1" x14ac:dyDescent="0.25">
      <c r="A2152" s="156" t="s">
        <v>1153</v>
      </c>
      <c r="B2152" s="28"/>
      <c r="C2152" s="37" t="s">
        <v>756</v>
      </c>
      <c r="E2152" s="37" t="s">
        <v>2830</v>
      </c>
      <c r="F2152" s="24" t="s">
        <v>1096</v>
      </c>
      <c r="H2152" s="168"/>
      <c r="I2152" s="167"/>
      <c r="J2152" s="214" t="s">
        <v>3690</v>
      </c>
      <c r="K2152" s="10" t="s">
        <v>3685</v>
      </c>
      <c r="N2152" s="37" t="s">
        <v>3771</v>
      </c>
      <c r="P2152" s="37" t="s">
        <v>1594</v>
      </c>
      <c r="S2152" s="37"/>
      <c r="T2152" s="37"/>
      <c r="U2152" s="22">
        <v>1</v>
      </c>
      <c r="V2152" s="22">
        <v>1</v>
      </c>
      <c r="W2152" s="73">
        <f t="shared" si="99"/>
        <v>876</v>
      </c>
      <c r="X2152" s="80">
        <f t="shared" si="98"/>
        <v>3694</v>
      </c>
      <c r="Y2152" s="82" t="s">
        <v>3584</v>
      </c>
      <c r="AF2152" s="19"/>
      <c r="AG2152" s="19"/>
      <c r="AH2152" s="19"/>
      <c r="AI2152" s="19"/>
      <c r="AJ2152" s="19"/>
      <c r="AK2152" s="19"/>
    </row>
    <row r="2153" spans="1:37" ht="15.45" customHeight="1" x14ac:dyDescent="0.25">
      <c r="A2153" s="156" t="s">
        <v>1154</v>
      </c>
      <c r="B2153" s="28"/>
      <c r="C2153" s="37" t="s">
        <v>756</v>
      </c>
      <c r="E2153" s="37" t="s">
        <v>2830</v>
      </c>
      <c r="F2153" s="24" t="s">
        <v>1096</v>
      </c>
      <c r="H2153" s="168"/>
      <c r="I2153" s="167"/>
      <c r="J2153" s="214" t="s">
        <v>3690</v>
      </c>
      <c r="K2153" s="10" t="s">
        <v>3685</v>
      </c>
      <c r="N2153" s="37" t="s">
        <v>3771</v>
      </c>
      <c r="P2153" s="37" t="s">
        <v>25</v>
      </c>
      <c r="S2153" s="37"/>
      <c r="T2153" s="37"/>
      <c r="U2153" s="22">
        <v>1</v>
      </c>
      <c r="V2153" s="22">
        <v>1</v>
      </c>
      <c r="W2153" s="73">
        <f t="shared" si="99"/>
        <v>877</v>
      </c>
      <c r="X2153" s="80">
        <f t="shared" si="98"/>
        <v>3695</v>
      </c>
      <c r="Y2153" s="82" t="s">
        <v>3584</v>
      </c>
      <c r="AF2153" s="19"/>
      <c r="AG2153" s="19"/>
      <c r="AH2153" s="19"/>
      <c r="AI2153" s="19"/>
      <c r="AJ2153" s="19"/>
      <c r="AK2153" s="19"/>
    </row>
    <row r="2154" spans="1:37" ht="15.45" customHeight="1" x14ac:dyDescent="0.25">
      <c r="A2154" s="156" t="s">
        <v>1303</v>
      </c>
      <c r="B2154" s="28"/>
      <c r="C2154" s="37" t="s">
        <v>756</v>
      </c>
      <c r="E2154" s="37" t="s">
        <v>2830</v>
      </c>
      <c r="F2154" s="24" t="s">
        <v>1096</v>
      </c>
      <c r="H2154" s="168"/>
      <c r="I2154" s="167"/>
      <c r="J2154" s="214" t="s">
        <v>3690</v>
      </c>
      <c r="K2154" s="10" t="s">
        <v>3685</v>
      </c>
      <c r="N2154" s="37" t="s">
        <v>3771</v>
      </c>
      <c r="P2154" s="37" t="s">
        <v>1595</v>
      </c>
      <c r="S2154" s="37"/>
      <c r="T2154" s="37"/>
      <c r="U2154" s="22">
        <v>1</v>
      </c>
      <c r="V2154" s="22">
        <v>1</v>
      </c>
      <c r="W2154" s="73">
        <f t="shared" si="99"/>
        <v>878</v>
      </c>
      <c r="X2154" s="80">
        <f t="shared" si="98"/>
        <v>3696</v>
      </c>
      <c r="Y2154" s="82" t="s">
        <v>3584</v>
      </c>
      <c r="AF2154" s="19"/>
      <c r="AG2154" s="19"/>
      <c r="AH2154" s="19"/>
      <c r="AI2154" s="19"/>
      <c r="AJ2154" s="19"/>
      <c r="AK2154" s="19"/>
    </row>
    <row r="2155" spans="1:37" ht="15.45" customHeight="1" x14ac:dyDescent="0.25">
      <c r="A2155" s="156" t="s">
        <v>1084</v>
      </c>
      <c r="B2155" s="28"/>
      <c r="C2155" s="37" t="s">
        <v>756</v>
      </c>
      <c r="E2155" s="37" t="s">
        <v>2830</v>
      </c>
      <c r="F2155" s="24" t="s">
        <v>1096</v>
      </c>
      <c r="H2155" s="168"/>
      <c r="I2155" s="167"/>
      <c r="J2155" s="214" t="s">
        <v>3690</v>
      </c>
      <c r="K2155" s="10" t="s">
        <v>3685</v>
      </c>
      <c r="N2155" s="37" t="s">
        <v>3771</v>
      </c>
      <c r="P2155" s="37" t="s">
        <v>1918</v>
      </c>
      <c r="S2155" s="37"/>
      <c r="T2155" s="37"/>
      <c r="U2155" s="22">
        <v>2</v>
      </c>
      <c r="V2155" s="22">
        <v>2</v>
      </c>
      <c r="W2155" s="73">
        <f t="shared" si="99"/>
        <v>880</v>
      </c>
      <c r="X2155" s="80">
        <f t="shared" si="98"/>
        <v>3698</v>
      </c>
      <c r="Y2155" s="82" t="s">
        <v>3584</v>
      </c>
      <c r="AF2155" s="19"/>
      <c r="AG2155" s="19"/>
      <c r="AH2155" s="19"/>
      <c r="AI2155" s="19"/>
      <c r="AJ2155" s="19"/>
      <c r="AK2155" s="19"/>
    </row>
    <row r="2156" spans="1:37" ht="15.45" customHeight="1" x14ac:dyDescent="0.25">
      <c r="A2156" s="156" t="s">
        <v>1720</v>
      </c>
      <c r="B2156" s="28"/>
      <c r="C2156" s="37" t="s">
        <v>756</v>
      </c>
      <c r="E2156" s="37" t="s">
        <v>2830</v>
      </c>
      <c r="F2156" s="24" t="s">
        <v>1096</v>
      </c>
      <c r="H2156" s="168" t="s">
        <v>1679</v>
      </c>
      <c r="I2156" s="167"/>
      <c r="S2156" s="37"/>
      <c r="T2156" s="37"/>
      <c r="U2156" s="22">
        <v>1</v>
      </c>
      <c r="V2156" s="22">
        <v>1</v>
      </c>
      <c r="W2156" s="73">
        <f t="shared" si="99"/>
        <v>881</v>
      </c>
      <c r="X2156" s="80">
        <f t="shared" si="98"/>
        <v>3699</v>
      </c>
      <c r="Y2156" s="82" t="s">
        <v>3592</v>
      </c>
      <c r="Z2156" s="24" t="s">
        <v>1669</v>
      </c>
      <c r="AF2156" s="19"/>
      <c r="AG2156" s="19"/>
      <c r="AH2156" s="19"/>
      <c r="AI2156" s="19"/>
      <c r="AJ2156" s="19"/>
      <c r="AK2156" s="19"/>
    </row>
    <row r="2157" spans="1:37" ht="15.45" customHeight="1" x14ac:dyDescent="0.25">
      <c r="A2157" s="156" t="s">
        <v>1085</v>
      </c>
      <c r="B2157" s="28"/>
      <c r="C2157" s="37" t="s">
        <v>756</v>
      </c>
      <c r="E2157" s="37" t="s">
        <v>2830</v>
      </c>
      <c r="F2157" s="24" t="s">
        <v>1096</v>
      </c>
      <c r="H2157" s="168"/>
      <c r="I2157" s="167"/>
      <c r="J2157" s="214" t="s">
        <v>3690</v>
      </c>
      <c r="K2157" s="10" t="s">
        <v>3685</v>
      </c>
      <c r="N2157" s="37" t="s">
        <v>3772</v>
      </c>
      <c r="S2157" s="37"/>
      <c r="T2157" s="37"/>
      <c r="U2157" s="22">
        <v>3</v>
      </c>
      <c r="V2157" s="22">
        <v>3</v>
      </c>
      <c r="W2157" s="73">
        <f t="shared" si="99"/>
        <v>884</v>
      </c>
      <c r="X2157" s="80">
        <f t="shared" si="98"/>
        <v>3702</v>
      </c>
      <c r="Y2157" s="82" t="s">
        <v>3584</v>
      </c>
      <c r="AF2157" s="19"/>
      <c r="AG2157" s="19"/>
      <c r="AH2157" s="19"/>
      <c r="AI2157" s="19"/>
      <c r="AJ2157" s="19"/>
      <c r="AK2157" s="19"/>
    </row>
    <row r="2158" spans="1:37" ht="15.45" customHeight="1" x14ac:dyDescent="0.25">
      <c r="A2158" s="156" t="s">
        <v>5846</v>
      </c>
      <c r="B2158" s="28"/>
      <c r="C2158" s="37" t="s">
        <v>756</v>
      </c>
      <c r="E2158" s="37" t="s">
        <v>2830</v>
      </c>
      <c r="F2158" s="24" t="s">
        <v>1096</v>
      </c>
      <c r="H2158" s="168" t="s">
        <v>5847</v>
      </c>
      <c r="I2158" s="167"/>
      <c r="J2158" s="214" t="s">
        <v>5327</v>
      </c>
      <c r="O2158" s="37" t="s">
        <v>6355</v>
      </c>
      <c r="P2158" s="37" t="s">
        <v>1463</v>
      </c>
      <c r="S2158" s="37" t="s">
        <v>2983</v>
      </c>
      <c r="T2158" s="37"/>
      <c r="U2158" s="22">
        <v>2</v>
      </c>
      <c r="V2158" s="22">
        <v>2</v>
      </c>
      <c r="W2158" s="73">
        <f t="shared" si="99"/>
        <v>886</v>
      </c>
      <c r="X2158" s="80">
        <f t="shared" si="98"/>
        <v>3704</v>
      </c>
      <c r="Y2158" s="82" t="s">
        <v>3591</v>
      </c>
      <c r="Z2158" s="24" t="s">
        <v>2885</v>
      </c>
      <c r="AB2158" s="177">
        <v>44383</v>
      </c>
      <c r="AC2158" s="84" t="s">
        <v>5308</v>
      </c>
      <c r="AF2158" s="19"/>
      <c r="AG2158" s="19"/>
      <c r="AH2158" s="19"/>
      <c r="AI2158" s="19"/>
      <c r="AJ2158" s="19"/>
      <c r="AK2158" s="19"/>
    </row>
    <row r="2159" spans="1:37" ht="15.45" customHeight="1" x14ac:dyDescent="0.25">
      <c r="A2159" s="156" t="s">
        <v>1304</v>
      </c>
      <c r="B2159" s="28"/>
      <c r="C2159" s="37" t="s">
        <v>756</v>
      </c>
      <c r="E2159" s="37" t="s">
        <v>2830</v>
      </c>
      <c r="F2159" s="24" t="s">
        <v>1096</v>
      </c>
      <c r="H2159" s="168"/>
      <c r="I2159" s="167"/>
      <c r="J2159" s="214" t="s">
        <v>3690</v>
      </c>
      <c r="K2159" s="10" t="s">
        <v>3685</v>
      </c>
      <c r="N2159" s="37" t="s">
        <v>3772</v>
      </c>
      <c r="S2159" s="37"/>
      <c r="T2159" s="37"/>
      <c r="U2159" s="22">
        <v>1</v>
      </c>
      <c r="V2159" s="22">
        <v>1</v>
      </c>
      <c r="W2159" s="73">
        <f t="shared" si="99"/>
        <v>887</v>
      </c>
      <c r="X2159" s="80">
        <f t="shared" si="98"/>
        <v>3705</v>
      </c>
      <c r="Y2159" s="82" t="s">
        <v>3584</v>
      </c>
      <c r="AF2159" s="19"/>
      <c r="AG2159" s="19"/>
      <c r="AH2159" s="19"/>
      <c r="AI2159" s="19"/>
      <c r="AJ2159" s="19"/>
      <c r="AK2159" s="19"/>
    </row>
    <row r="2160" spans="1:37" ht="15.45" customHeight="1" x14ac:dyDescent="0.25">
      <c r="A2160" s="156" t="s">
        <v>214</v>
      </c>
      <c r="B2160" s="28"/>
      <c r="C2160" s="37" t="s">
        <v>756</v>
      </c>
      <c r="E2160" s="37" t="s">
        <v>2830</v>
      </c>
      <c r="F2160" s="24" t="s">
        <v>1096</v>
      </c>
      <c r="H2160" s="168"/>
      <c r="I2160" s="167"/>
      <c r="P2160" s="37" t="s">
        <v>396</v>
      </c>
      <c r="Q2160" s="37" t="s">
        <v>51</v>
      </c>
      <c r="S2160" s="37"/>
      <c r="T2160" s="37"/>
      <c r="U2160" s="22">
        <v>6</v>
      </c>
      <c r="V2160" s="22">
        <v>6</v>
      </c>
      <c r="W2160" s="73">
        <f t="shared" si="99"/>
        <v>893</v>
      </c>
      <c r="X2160" s="80">
        <f t="shared" si="98"/>
        <v>3711</v>
      </c>
      <c r="Y2160" s="82" t="s">
        <v>3592</v>
      </c>
      <c r="Z2160" s="24" t="s">
        <v>2884</v>
      </c>
      <c r="AF2160" s="19"/>
      <c r="AG2160" s="19"/>
      <c r="AH2160" s="19"/>
      <c r="AI2160" s="19"/>
      <c r="AJ2160" s="19"/>
      <c r="AK2160" s="19"/>
    </row>
    <row r="2161" spans="1:37" ht="15.45" customHeight="1" x14ac:dyDescent="0.25">
      <c r="A2161" s="156" t="s">
        <v>983</v>
      </c>
      <c r="B2161" s="28" t="s">
        <v>6342</v>
      </c>
      <c r="C2161" s="37" t="s">
        <v>756</v>
      </c>
      <c r="E2161" s="37" t="s">
        <v>2830</v>
      </c>
      <c r="F2161" s="24" t="s">
        <v>1204</v>
      </c>
      <c r="H2161" s="168"/>
      <c r="I2161" s="167"/>
      <c r="J2161" s="214" t="s">
        <v>3690</v>
      </c>
      <c r="K2161" s="10" t="s">
        <v>3685</v>
      </c>
      <c r="N2161" s="37" t="s">
        <v>3771</v>
      </c>
      <c r="P2161" s="37" t="s">
        <v>3787</v>
      </c>
      <c r="Q2161" s="37" t="s">
        <v>1783</v>
      </c>
      <c r="S2161" s="37"/>
      <c r="T2161" s="37"/>
      <c r="U2161" s="22">
        <v>2</v>
      </c>
      <c r="V2161" s="22">
        <v>2</v>
      </c>
      <c r="W2161" s="73">
        <f t="shared" si="99"/>
        <v>895</v>
      </c>
      <c r="X2161" s="80">
        <f t="shared" si="98"/>
        <v>3713</v>
      </c>
      <c r="Y2161" s="82" t="s">
        <v>3584</v>
      </c>
      <c r="AF2161" s="19"/>
      <c r="AG2161" s="19"/>
      <c r="AH2161" s="19"/>
      <c r="AI2161" s="19"/>
      <c r="AJ2161" s="19"/>
      <c r="AK2161" s="19"/>
    </row>
    <row r="2162" spans="1:37" ht="15.45" customHeight="1" x14ac:dyDescent="0.25">
      <c r="A2162" s="156" t="s">
        <v>6343</v>
      </c>
      <c r="B2162" s="28" t="s">
        <v>6342</v>
      </c>
      <c r="C2162" s="37" t="s">
        <v>756</v>
      </c>
      <c r="E2162" s="37" t="s">
        <v>2830</v>
      </c>
      <c r="F2162" s="24" t="s">
        <v>5973</v>
      </c>
      <c r="H2162" s="201" t="s">
        <v>6338</v>
      </c>
      <c r="I2162" s="167"/>
      <c r="J2162" s="214" t="s">
        <v>5305</v>
      </c>
      <c r="S2162" s="37"/>
      <c r="T2162" s="37"/>
      <c r="U2162" s="22">
        <v>1</v>
      </c>
      <c r="V2162" s="22">
        <v>1</v>
      </c>
      <c r="W2162" s="73">
        <f t="shared" si="99"/>
        <v>896</v>
      </c>
      <c r="X2162" s="80">
        <f t="shared" si="98"/>
        <v>3714</v>
      </c>
      <c r="Y2162" s="82" t="s">
        <v>3591</v>
      </c>
      <c r="Z2162" s="24" t="s">
        <v>2885</v>
      </c>
      <c r="AB2162" s="177">
        <v>44515</v>
      </c>
      <c r="AC2162" s="84" t="s">
        <v>5308</v>
      </c>
      <c r="AF2162" s="19"/>
      <c r="AG2162" s="19"/>
      <c r="AH2162" s="19"/>
      <c r="AI2162" s="19"/>
      <c r="AJ2162" s="19"/>
      <c r="AK2162" s="19"/>
    </row>
    <row r="2163" spans="1:37" ht="15.45" customHeight="1" x14ac:dyDescent="0.25">
      <c r="A2163" s="156" t="s">
        <v>1199</v>
      </c>
      <c r="B2163" s="28"/>
      <c r="C2163" s="37" t="s">
        <v>756</v>
      </c>
      <c r="E2163" s="37" t="s">
        <v>2830</v>
      </c>
      <c r="F2163" s="24" t="s">
        <v>1204</v>
      </c>
      <c r="H2163" s="168"/>
      <c r="I2163" s="167"/>
      <c r="J2163" s="214" t="s">
        <v>3690</v>
      </c>
      <c r="K2163" s="10" t="s">
        <v>3685</v>
      </c>
      <c r="N2163" s="37" t="s">
        <v>3772</v>
      </c>
      <c r="S2163" s="37"/>
      <c r="T2163" s="37"/>
      <c r="U2163" s="22">
        <v>4</v>
      </c>
      <c r="V2163" s="22">
        <v>4</v>
      </c>
      <c r="W2163" s="73">
        <f t="shared" si="99"/>
        <v>900</v>
      </c>
      <c r="X2163" s="80">
        <f t="shared" si="98"/>
        <v>3718</v>
      </c>
      <c r="Y2163" s="82" t="s">
        <v>3584</v>
      </c>
      <c r="AF2163" s="19"/>
      <c r="AG2163" s="19"/>
      <c r="AH2163" s="19"/>
      <c r="AI2163" s="19"/>
      <c r="AJ2163" s="19"/>
      <c r="AK2163" s="19"/>
    </row>
    <row r="2164" spans="1:37" ht="15.45" customHeight="1" x14ac:dyDescent="0.25">
      <c r="A2164" s="156" t="s">
        <v>1174</v>
      </c>
      <c r="B2164" s="28"/>
      <c r="C2164" s="37" t="s">
        <v>756</v>
      </c>
      <c r="E2164" s="37" t="s">
        <v>2830</v>
      </c>
      <c r="F2164" s="24" t="s">
        <v>1204</v>
      </c>
      <c r="H2164" s="168"/>
      <c r="I2164" s="167"/>
      <c r="J2164" s="214" t="s">
        <v>3690</v>
      </c>
      <c r="K2164" s="10" t="s">
        <v>3685</v>
      </c>
      <c r="N2164" s="37" t="s">
        <v>3771</v>
      </c>
      <c r="P2164" s="37" t="s">
        <v>1482</v>
      </c>
      <c r="Q2164" s="37" t="s">
        <v>1998</v>
      </c>
      <c r="S2164" s="37"/>
      <c r="T2164" s="37"/>
      <c r="U2164" s="22">
        <v>1</v>
      </c>
      <c r="V2164" s="22">
        <v>1</v>
      </c>
      <c r="W2164" s="73">
        <f t="shared" si="99"/>
        <v>901</v>
      </c>
      <c r="X2164" s="80">
        <f t="shared" si="98"/>
        <v>3719</v>
      </c>
      <c r="Y2164" s="82" t="s">
        <v>3584</v>
      </c>
      <c r="AF2164" s="19"/>
      <c r="AG2164" s="19"/>
      <c r="AH2164" s="19"/>
      <c r="AI2164" s="19"/>
      <c r="AJ2164" s="19"/>
      <c r="AK2164" s="19"/>
    </row>
    <row r="2165" spans="1:37" ht="15.45" customHeight="1" x14ac:dyDescent="0.25">
      <c r="A2165" s="156" t="s">
        <v>1059</v>
      </c>
      <c r="B2165" s="28"/>
      <c r="C2165" s="37" t="s">
        <v>756</v>
      </c>
      <c r="E2165" s="37" t="s">
        <v>2830</v>
      </c>
      <c r="F2165" s="24" t="s">
        <v>1204</v>
      </c>
      <c r="H2165" s="168"/>
      <c r="I2165" s="167"/>
      <c r="J2165" s="214" t="s">
        <v>3690</v>
      </c>
      <c r="K2165" s="10" t="s">
        <v>3685</v>
      </c>
      <c r="N2165" s="37" t="s">
        <v>3771</v>
      </c>
      <c r="P2165" s="37" t="s">
        <v>1482</v>
      </c>
      <c r="Q2165" s="37" t="s">
        <v>1998</v>
      </c>
      <c r="S2165" s="37"/>
      <c r="T2165" s="37"/>
      <c r="U2165" s="22">
        <v>1</v>
      </c>
      <c r="V2165" s="22">
        <v>1</v>
      </c>
      <c r="W2165" s="73">
        <f t="shared" si="99"/>
        <v>902</v>
      </c>
      <c r="X2165" s="80">
        <f t="shared" si="98"/>
        <v>3720</v>
      </c>
      <c r="Y2165" s="82" t="s">
        <v>3584</v>
      </c>
      <c r="AF2165" s="19"/>
      <c r="AG2165" s="19"/>
      <c r="AH2165" s="19"/>
      <c r="AI2165" s="19"/>
      <c r="AJ2165" s="19"/>
      <c r="AK2165" s="19"/>
    </row>
    <row r="2166" spans="1:37" ht="15.45" customHeight="1" x14ac:dyDescent="0.25">
      <c r="A2166" s="156" t="s">
        <v>1321</v>
      </c>
      <c r="B2166" s="28"/>
      <c r="C2166" s="37" t="s">
        <v>756</v>
      </c>
      <c r="E2166" s="37" t="s">
        <v>2830</v>
      </c>
      <c r="F2166" s="24" t="s">
        <v>1204</v>
      </c>
      <c r="H2166" s="168"/>
      <c r="I2166" s="167"/>
      <c r="J2166" s="214" t="s">
        <v>3690</v>
      </c>
      <c r="K2166" s="10" t="s">
        <v>3685</v>
      </c>
      <c r="N2166" s="37" t="s">
        <v>3771</v>
      </c>
      <c r="P2166" s="37" t="s">
        <v>1482</v>
      </c>
      <c r="Q2166" s="37" t="s">
        <v>1998</v>
      </c>
      <c r="S2166" s="37"/>
      <c r="T2166" s="37"/>
      <c r="U2166" s="22">
        <v>7</v>
      </c>
      <c r="V2166" s="22">
        <v>7</v>
      </c>
      <c r="W2166" s="73">
        <f t="shared" si="99"/>
        <v>909</v>
      </c>
      <c r="X2166" s="80">
        <f t="shared" si="98"/>
        <v>3727</v>
      </c>
      <c r="Y2166" s="82" t="s">
        <v>3584</v>
      </c>
      <c r="AF2166" s="19"/>
      <c r="AG2166" s="19"/>
      <c r="AH2166" s="19"/>
      <c r="AI2166" s="19"/>
      <c r="AJ2166" s="19"/>
      <c r="AK2166" s="19"/>
    </row>
    <row r="2167" spans="1:37" ht="15.45" customHeight="1" x14ac:dyDescent="0.25">
      <c r="A2167" s="156" t="s">
        <v>1060</v>
      </c>
      <c r="B2167" s="28"/>
      <c r="C2167" s="37" t="s">
        <v>756</v>
      </c>
      <c r="E2167" s="37" t="s">
        <v>2830</v>
      </c>
      <c r="F2167" s="24" t="s">
        <v>1204</v>
      </c>
      <c r="H2167" s="168"/>
      <c r="I2167" s="167"/>
      <c r="J2167" s="214" t="s">
        <v>3690</v>
      </c>
      <c r="K2167" s="10" t="s">
        <v>3685</v>
      </c>
      <c r="N2167" s="37" t="s">
        <v>3771</v>
      </c>
      <c r="P2167" s="37" t="s">
        <v>1482</v>
      </c>
      <c r="Q2167" s="37" t="s">
        <v>1998</v>
      </c>
      <c r="S2167" s="37"/>
      <c r="T2167" s="37"/>
      <c r="U2167" s="22">
        <v>1</v>
      </c>
      <c r="V2167" s="22">
        <v>1</v>
      </c>
      <c r="W2167" s="73">
        <f t="shared" si="99"/>
        <v>910</v>
      </c>
      <c r="X2167" s="80">
        <f t="shared" si="98"/>
        <v>3728</v>
      </c>
      <c r="Y2167" s="82" t="s">
        <v>3584</v>
      </c>
      <c r="AF2167" s="19"/>
      <c r="AG2167" s="19"/>
      <c r="AH2167" s="19"/>
      <c r="AI2167" s="19"/>
      <c r="AJ2167" s="19"/>
      <c r="AK2167" s="19"/>
    </row>
    <row r="2168" spans="1:37" ht="15.45" customHeight="1" x14ac:dyDescent="0.25">
      <c r="A2168" s="156" t="s">
        <v>1446</v>
      </c>
      <c r="B2168" s="28"/>
      <c r="C2168" s="37" t="s">
        <v>756</v>
      </c>
      <c r="E2168" s="37" t="s">
        <v>2830</v>
      </c>
      <c r="F2168" s="24" t="s">
        <v>1204</v>
      </c>
      <c r="H2168" s="168"/>
      <c r="I2168" s="167"/>
      <c r="J2168" s="214" t="s">
        <v>3690</v>
      </c>
      <c r="K2168" s="10" t="s">
        <v>3685</v>
      </c>
      <c r="N2168" s="37" t="s">
        <v>3771</v>
      </c>
      <c r="P2168" s="37" t="s">
        <v>1482</v>
      </c>
      <c r="Q2168" s="37" t="s">
        <v>1998</v>
      </c>
      <c r="S2168" s="37"/>
      <c r="T2168" s="37"/>
      <c r="U2168" s="22">
        <v>3</v>
      </c>
      <c r="V2168" s="22">
        <v>3</v>
      </c>
      <c r="W2168" s="73">
        <f t="shared" si="99"/>
        <v>913</v>
      </c>
      <c r="X2168" s="80">
        <f t="shared" si="98"/>
        <v>3731</v>
      </c>
      <c r="Y2168" s="82" t="s">
        <v>3584</v>
      </c>
      <c r="AF2168" s="19"/>
      <c r="AG2168" s="19"/>
      <c r="AH2168" s="19"/>
      <c r="AI2168" s="19"/>
      <c r="AJ2168" s="19"/>
      <c r="AK2168" s="19"/>
    </row>
    <row r="2169" spans="1:37" ht="15.45" customHeight="1" x14ac:dyDescent="0.25">
      <c r="A2169" s="156" t="s">
        <v>1181</v>
      </c>
      <c r="B2169" s="28"/>
      <c r="C2169" s="37" t="s">
        <v>756</v>
      </c>
      <c r="E2169" s="37" t="s">
        <v>2830</v>
      </c>
      <c r="F2169" s="24" t="s">
        <v>1204</v>
      </c>
      <c r="H2169" s="168"/>
      <c r="I2169" s="167"/>
      <c r="J2169" s="214" t="s">
        <v>3690</v>
      </c>
      <c r="K2169" s="10" t="s">
        <v>3685</v>
      </c>
      <c r="N2169" s="37" t="s">
        <v>3771</v>
      </c>
      <c r="P2169" s="37" t="s">
        <v>248</v>
      </c>
      <c r="Q2169" s="37" t="s">
        <v>1998</v>
      </c>
      <c r="S2169" s="37"/>
      <c r="T2169" s="37"/>
      <c r="U2169" s="22">
        <v>1</v>
      </c>
      <c r="V2169" s="22">
        <v>1</v>
      </c>
      <c r="W2169" s="73">
        <f t="shared" si="99"/>
        <v>914</v>
      </c>
      <c r="X2169" s="80">
        <f t="shared" si="98"/>
        <v>3732</v>
      </c>
      <c r="Y2169" s="82" t="s">
        <v>3584</v>
      </c>
      <c r="AF2169" s="19"/>
      <c r="AG2169" s="19"/>
      <c r="AH2169" s="19"/>
      <c r="AI2169" s="19"/>
      <c r="AJ2169" s="19"/>
      <c r="AK2169" s="19"/>
    </row>
    <row r="2170" spans="1:37" ht="15.45" customHeight="1" x14ac:dyDescent="0.25">
      <c r="A2170" s="156" t="s">
        <v>6339</v>
      </c>
      <c r="B2170" s="24" t="s">
        <v>4500</v>
      </c>
      <c r="C2170" s="37" t="s">
        <v>756</v>
      </c>
      <c r="E2170" s="37" t="s">
        <v>2830</v>
      </c>
      <c r="F2170" s="24" t="s">
        <v>1204</v>
      </c>
      <c r="H2170" s="168"/>
      <c r="I2170" s="167"/>
      <c r="J2170" s="214" t="s">
        <v>3690</v>
      </c>
      <c r="K2170" s="10" t="s">
        <v>3685</v>
      </c>
      <c r="N2170" s="37" t="s">
        <v>3771</v>
      </c>
      <c r="P2170" s="37" t="s">
        <v>248</v>
      </c>
      <c r="Q2170" s="37" t="s">
        <v>1998</v>
      </c>
      <c r="S2170" s="37"/>
      <c r="T2170" s="37"/>
      <c r="U2170" s="22">
        <v>2</v>
      </c>
      <c r="V2170" s="22">
        <v>2</v>
      </c>
      <c r="W2170" s="73">
        <f t="shared" si="99"/>
        <v>916</v>
      </c>
      <c r="X2170" s="80">
        <f t="shared" si="98"/>
        <v>3734</v>
      </c>
      <c r="Y2170" s="82" t="s">
        <v>3584</v>
      </c>
      <c r="AF2170" s="19"/>
      <c r="AG2170" s="19"/>
      <c r="AH2170" s="19"/>
      <c r="AI2170" s="19"/>
      <c r="AJ2170" s="19"/>
      <c r="AK2170" s="19"/>
    </row>
    <row r="2171" spans="1:37" ht="15.45" customHeight="1" x14ac:dyDescent="0.25">
      <c r="A2171" s="156" t="s">
        <v>6341</v>
      </c>
      <c r="B2171" s="24" t="s">
        <v>4500</v>
      </c>
      <c r="C2171" s="37" t="s">
        <v>756</v>
      </c>
      <c r="E2171" s="37" t="s">
        <v>2830</v>
      </c>
      <c r="F2171" s="24" t="s">
        <v>5973</v>
      </c>
      <c r="H2171" s="201" t="s">
        <v>6340</v>
      </c>
      <c r="I2171" s="167"/>
      <c r="J2171" s="214" t="s">
        <v>5305</v>
      </c>
      <c r="P2171" s="37" t="s">
        <v>2056</v>
      </c>
      <c r="Q2171" s="37" t="s">
        <v>3506</v>
      </c>
      <c r="S2171" s="37"/>
      <c r="T2171" s="37"/>
      <c r="U2171" s="22">
        <v>2</v>
      </c>
      <c r="V2171" s="22">
        <v>2</v>
      </c>
      <c r="W2171" s="73">
        <f t="shared" si="99"/>
        <v>918</v>
      </c>
      <c r="X2171" s="80">
        <f t="shared" si="98"/>
        <v>3736</v>
      </c>
      <c r="Y2171" s="82" t="s">
        <v>3591</v>
      </c>
      <c r="Z2171" s="24" t="s">
        <v>2885</v>
      </c>
      <c r="AB2171" s="177">
        <v>44515</v>
      </c>
      <c r="AC2171" s="84" t="s">
        <v>5308</v>
      </c>
      <c r="AF2171" s="19"/>
      <c r="AG2171" s="19"/>
      <c r="AH2171" s="19"/>
      <c r="AI2171" s="19"/>
      <c r="AJ2171" s="19"/>
      <c r="AK2171" s="19"/>
    </row>
    <row r="2172" spans="1:37" ht="15.45" customHeight="1" x14ac:dyDescent="0.25">
      <c r="A2172" s="156" t="s">
        <v>1656</v>
      </c>
      <c r="B2172" s="28"/>
      <c r="C2172" s="37" t="s">
        <v>756</v>
      </c>
      <c r="E2172" s="37" t="s">
        <v>2830</v>
      </c>
      <c r="F2172" s="24" t="s">
        <v>1204</v>
      </c>
      <c r="H2172" s="168"/>
      <c r="I2172" s="167"/>
      <c r="J2172" s="214" t="s">
        <v>3690</v>
      </c>
      <c r="K2172" s="10" t="s">
        <v>3685</v>
      </c>
      <c r="N2172" s="37" t="s">
        <v>3771</v>
      </c>
      <c r="P2172" s="37" t="s">
        <v>248</v>
      </c>
      <c r="Q2172" s="37" t="s">
        <v>1998</v>
      </c>
      <c r="S2172" s="37"/>
      <c r="T2172" s="37"/>
      <c r="U2172" s="22">
        <v>2</v>
      </c>
      <c r="V2172" s="22">
        <v>2</v>
      </c>
      <c r="W2172" s="73">
        <f t="shared" si="99"/>
        <v>920</v>
      </c>
      <c r="X2172" s="80">
        <f t="shared" si="98"/>
        <v>3738</v>
      </c>
      <c r="Y2172" s="82" t="s">
        <v>3584</v>
      </c>
      <c r="AF2172" s="19"/>
      <c r="AG2172" s="19"/>
      <c r="AH2172" s="19"/>
      <c r="AI2172" s="19"/>
      <c r="AJ2172" s="19"/>
      <c r="AK2172" s="19"/>
    </row>
    <row r="2173" spans="1:37" ht="15.45" customHeight="1" x14ac:dyDescent="0.25">
      <c r="A2173" s="156" t="s">
        <v>1068</v>
      </c>
      <c r="B2173" s="28"/>
      <c r="C2173" s="37" t="s">
        <v>756</v>
      </c>
      <c r="E2173" s="37" t="s">
        <v>2830</v>
      </c>
      <c r="F2173" s="24" t="s">
        <v>1204</v>
      </c>
      <c r="H2173" s="168"/>
      <c r="I2173" s="167"/>
      <c r="J2173" s="214" t="s">
        <v>3690</v>
      </c>
      <c r="K2173" s="10" t="s">
        <v>3685</v>
      </c>
      <c r="N2173" s="37" t="s">
        <v>3771</v>
      </c>
      <c r="P2173" s="37" t="s">
        <v>248</v>
      </c>
      <c r="Q2173" s="37" t="s">
        <v>1998</v>
      </c>
      <c r="S2173" s="37"/>
      <c r="T2173" s="37"/>
      <c r="U2173" s="22">
        <v>1</v>
      </c>
      <c r="V2173" s="22">
        <v>1</v>
      </c>
      <c r="W2173" s="73">
        <f t="shared" si="99"/>
        <v>921</v>
      </c>
      <c r="X2173" s="80">
        <f t="shared" si="98"/>
        <v>3739</v>
      </c>
      <c r="Y2173" s="82" t="s">
        <v>3584</v>
      </c>
      <c r="AF2173" s="19"/>
      <c r="AG2173" s="19"/>
      <c r="AH2173" s="19"/>
      <c r="AI2173" s="19"/>
      <c r="AJ2173" s="19"/>
      <c r="AK2173" s="19"/>
    </row>
    <row r="2174" spans="1:37" ht="15.45" customHeight="1" x14ac:dyDescent="0.25">
      <c r="A2174" s="156" t="s">
        <v>1090</v>
      </c>
      <c r="B2174" s="28"/>
      <c r="C2174" s="37" t="s">
        <v>756</v>
      </c>
      <c r="E2174" s="37" t="s">
        <v>2830</v>
      </c>
      <c r="F2174" s="24" t="s">
        <v>1204</v>
      </c>
      <c r="H2174" s="168"/>
      <c r="I2174" s="167"/>
      <c r="J2174" s="214" t="s">
        <v>3690</v>
      </c>
      <c r="K2174" s="10" t="s">
        <v>3685</v>
      </c>
      <c r="N2174" s="37" t="s">
        <v>3771</v>
      </c>
      <c r="P2174" s="37" t="s">
        <v>1879</v>
      </c>
      <c r="Q2174" s="37" t="s">
        <v>1998</v>
      </c>
      <c r="S2174" s="37"/>
      <c r="T2174" s="37"/>
      <c r="U2174" s="22">
        <v>3</v>
      </c>
      <c r="V2174" s="22">
        <v>3</v>
      </c>
      <c r="W2174" s="73">
        <f t="shared" si="99"/>
        <v>924</v>
      </c>
      <c r="X2174" s="80">
        <f t="shared" si="98"/>
        <v>3742</v>
      </c>
      <c r="Y2174" s="82" t="s">
        <v>3584</v>
      </c>
      <c r="AF2174" s="19"/>
      <c r="AG2174" s="19"/>
      <c r="AH2174" s="19"/>
      <c r="AI2174" s="19"/>
      <c r="AJ2174" s="19"/>
      <c r="AK2174" s="19"/>
    </row>
    <row r="2175" spans="1:37" ht="15.45" customHeight="1" x14ac:dyDescent="0.25">
      <c r="A2175" s="156" t="s">
        <v>6337</v>
      </c>
      <c r="B2175" s="28"/>
      <c r="C2175" s="37" t="s">
        <v>756</v>
      </c>
      <c r="E2175" s="37" t="s">
        <v>2830</v>
      </c>
      <c r="F2175" s="24" t="s">
        <v>1204</v>
      </c>
      <c r="H2175" s="168"/>
      <c r="I2175" s="167"/>
      <c r="J2175" s="214" t="s">
        <v>3690</v>
      </c>
      <c r="K2175" s="10" t="s">
        <v>3685</v>
      </c>
      <c r="N2175" s="37" t="s">
        <v>3772</v>
      </c>
      <c r="S2175" s="37"/>
      <c r="T2175" s="37"/>
      <c r="U2175" s="22">
        <v>7</v>
      </c>
      <c r="V2175" s="22">
        <v>7</v>
      </c>
      <c r="W2175" s="73">
        <f t="shared" si="99"/>
        <v>931</v>
      </c>
      <c r="X2175" s="80">
        <f t="shared" si="98"/>
        <v>3749</v>
      </c>
      <c r="Y2175" s="82" t="s">
        <v>3584</v>
      </c>
      <c r="AF2175" s="19"/>
      <c r="AG2175" s="19"/>
      <c r="AH2175" s="19"/>
      <c r="AI2175" s="19"/>
      <c r="AJ2175" s="19"/>
      <c r="AK2175" s="19"/>
    </row>
    <row r="2176" spans="1:37" ht="15.45" customHeight="1" x14ac:dyDescent="0.25">
      <c r="A2176" s="156" t="s">
        <v>884</v>
      </c>
      <c r="B2176" s="28"/>
      <c r="C2176" s="37" t="s">
        <v>756</v>
      </c>
      <c r="E2176" s="37" t="s">
        <v>2830</v>
      </c>
      <c r="F2176" s="24" t="s">
        <v>1204</v>
      </c>
      <c r="H2176" s="168"/>
      <c r="I2176" s="167"/>
      <c r="J2176" s="214" t="s">
        <v>3690</v>
      </c>
      <c r="K2176" s="10" t="s">
        <v>3685</v>
      </c>
      <c r="N2176" s="37" t="s">
        <v>3771</v>
      </c>
      <c r="P2176" s="37" t="s">
        <v>1919</v>
      </c>
      <c r="Q2176" s="37" t="s">
        <v>1998</v>
      </c>
      <c r="S2176" s="37"/>
      <c r="T2176" s="37"/>
      <c r="U2176" s="22">
        <v>5</v>
      </c>
      <c r="V2176" s="22">
        <v>5</v>
      </c>
      <c r="W2176" s="73">
        <f t="shared" si="99"/>
        <v>936</v>
      </c>
      <c r="X2176" s="80">
        <f t="shared" si="98"/>
        <v>3754</v>
      </c>
      <c r="Y2176" s="82" t="s">
        <v>3584</v>
      </c>
      <c r="AF2176" s="19"/>
      <c r="AG2176" s="19"/>
      <c r="AH2176" s="19"/>
      <c r="AI2176" s="19"/>
      <c r="AJ2176" s="19"/>
      <c r="AK2176" s="19"/>
    </row>
    <row r="2177" spans="1:37" ht="15.45" customHeight="1" x14ac:dyDescent="0.25">
      <c r="A2177" s="156" t="s">
        <v>656</v>
      </c>
      <c r="B2177" s="28"/>
      <c r="C2177" s="37" t="s">
        <v>756</v>
      </c>
      <c r="E2177" s="37" t="s">
        <v>2830</v>
      </c>
      <c r="F2177" s="24" t="s">
        <v>1204</v>
      </c>
      <c r="H2177" s="168"/>
      <c r="I2177" s="167"/>
      <c r="J2177" s="214" t="s">
        <v>3690</v>
      </c>
      <c r="K2177" s="10" t="s">
        <v>3685</v>
      </c>
      <c r="N2177" s="37" t="s">
        <v>3771</v>
      </c>
      <c r="P2177" s="37" t="s">
        <v>1698</v>
      </c>
      <c r="S2177" s="37"/>
      <c r="T2177" s="37"/>
      <c r="U2177" s="22">
        <v>4</v>
      </c>
      <c r="V2177" s="22">
        <v>4</v>
      </c>
      <c r="W2177" s="73">
        <f t="shared" si="99"/>
        <v>940</v>
      </c>
      <c r="X2177" s="80">
        <f t="shared" si="98"/>
        <v>3758</v>
      </c>
      <c r="Y2177" s="82" t="s">
        <v>3584</v>
      </c>
      <c r="AF2177" s="19"/>
      <c r="AG2177" s="19"/>
      <c r="AH2177" s="19"/>
      <c r="AI2177" s="19"/>
      <c r="AJ2177" s="19"/>
      <c r="AK2177" s="19"/>
    </row>
    <row r="2178" spans="1:37" ht="15.45" customHeight="1" x14ac:dyDescent="0.25">
      <c r="A2178" s="156" t="s">
        <v>657</v>
      </c>
      <c r="B2178" s="28"/>
      <c r="C2178" s="37" t="s">
        <v>756</v>
      </c>
      <c r="E2178" s="37" t="s">
        <v>2830</v>
      </c>
      <c r="F2178" s="24" t="s">
        <v>1204</v>
      </c>
      <c r="H2178" s="168"/>
      <c r="I2178" s="167"/>
      <c r="J2178" s="214" t="s">
        <v>3690</v>
      </c>
      <c r="K2178" s="10" t="s">
        <v>3685</v>
      </c>
      <c r="N2178" s="37" t="s">
        <v>3771</v>
      </c>
      <c r="P2178" s="37" t="s">
        <v>1482</v>
      </c>
      <c r="Q2178" s="37" t="s">
        <v>1998</v>
      </c>
      <c r="S2178" s="37"/>
      <c r="T2178" s="37"/>
      <c r="U2178" s="22">
        <v>2</v>
      </c>
      <c r="V2178" s="22">
        <v>2</v>
      </c>
      <c r="W2178" s="73">
        <f t="shared" si="99"/>
        <v>942</v>
      </c>
      <c r="X2178" s="80">
        <f t="shared" si="98"/>
        <v>3760</v>
      </c>
      <c r="Y2178" s="82" t="s">
        <v>3584</v>
      </c>
      <c r="AF2178" s="19"/>
      <c r="AG2178" s="19"/>
      <c r="AH2178" s="19"/>
      <c r="AI2178" s="19"/>
      <c r="AJ2178" s="19"/>
      <c r="AK2178" s="19"/>
    </row>
    <row r="2179" spans="1:37" ht="15.45" customHeight="1" x14ac:dyDescent="0.25">
      <c r="A2179" s="156" t="s">
        <v>986</v>
      </c>
      <c r="B2179" s="28"/>
      <c r="C2179" s="37" t="s">
        <v>756</v>
      </c>
      <c r="E2179" s="37" t="s">
        <v>2830</v>
      </c>
      <c r="F2179" s="24" t="s">
        <v>1204</v>
      </c>
      <c r="H2179" s="168"/>
      <c r="I2179" s="167"/>
      <c r="J2179" s="214" t="s">
        <v>3690</v>
      </c>
      <c r="K2179" s="10" t="s">
        <v>3685</v>
      </c>
      <c r="N2179" s="37" t="s">
        <v>3771</v>
      </c>
      <c r="P2179" s="37" t="s">
        <v>1482</v>
      </c>
      <c r="Q2179" s="37" t="s">
        <v>1998</v>
      </c>
      <c r="S2179" s="37"/>
      <c r="T2179" s="37"/>
      <c r="U2179" s="22">
        <v>3</v>
      </c>
      <c r="V2179" s="22">
        <v>3</v>
      </c>
      <c r="W2179" s="73">
        <f t="shared" si="99"/>
        <v>945</v>
      </c>
      <c r="X2179" s="80">
        <f t="shared" ref="X2179:X2207" si="100">V2179+X2178</f>
        <v>3763</v>
      </c>
      <c r="Y2179" s="82" t="s">
        <v>3584</v>
      </c>
      <c r="AF2179" s="19"/>
      <c r="AG2179" s="19"/>
      <c r="AH2179" s="19"/>
      <c r="AI2179" s="19"/>
      <c r="AJ2179" s="19"/>
      <c r="AK2179" s="19"/>
    </row>
    <row r="2180" spans="1:37" ht="15.45" customHeight="1" x14ac:dyDescent="0.25">
      <c r="A2180" s="156" t="s">
        <v>1435</v>
      </c>
      <c r="B2180" s="28"/>
      <c r="C2180" s="37" t="s">
        <v>756</v>
      </c>
      <c r="E2180" s="37" t="s">
        <v>2830</v>
      </c>
      <c r="F2180" s="24" t="s">
        <v>1204</v>
      </c>
      <c r="H2180" s="168"/>
      <c r="I2180" s="167"/>
      <c r="J2180" s="214" t="s">
        <v>3690</v>
      </c>
      <c r="K2180" s="10" t="s">
        <v>3685</v>
      </c>
      <c r="N2180" s="37" t="s">
        <v>3771</v>
      </c>
      <c r="P2180" s="37" t="s">
        <v>1827</v>
      </c>
      <c r="Q2180" s="37" t="s">
        <v>1998</v>
      </c>
      <c r="S2180" s="37"/>
      <c r="T2180" s="37"/>
      <c r="U2180" s="22">
        <v>3</v>
      </c>
      <c r="V2180" s="22">
        <v>3</v>
      </c>
      <c r="W2180" s="73">
        <f t="shared" si="99"/>
        <v>948</v>
      </c>
      <c r="X2180" s="80">
        <f t="shared" si="100"/>
        <v>3766</v>
      </c>
      <c r="Y2180" s="82" t="s">
        <v>3584</v>
      </c>
      <c r="AF2180" s="19"/>
      <c r="AG2180" s="19"/>
      <c r="AH2180" s="19"/>
      <c r="AI2180" s="19"/>
      <c r="AJ2180" s="19"/>
      <c r="AK2180" s="19"/>
    </row>
    <row r="2181" spans="1:37" ht="15.45" customHeight="1" x14ac:dyDescent="0.25">
      <c r="A2181" s="156" t="s">
        <v>953</v>
      </c>
      <c r="B2181" s="28"/>
      <c r="C2181" s="37" t="s">
        <v>756</v>
      </c>
      <c r="E2181" s="37" t="s">
        <v>2830</v>
      </c>
      <c r="F2181" s="24" t="s">
        <v>1204</v>
      </c>
      <c r="H2181" s="168"/>
      <c r="I2181" s="167"/>
      <c r="J2181" s="214" t="s">
        <v>3690</v>
      </c>
      <c r="K2181" s="10" t="s">
        <v>3685</v>
      </c>
      <c r="N2181" s="37" t="s">
        <v>3771</v>
      </c>
      <c r="P2181" s="37" t="s">
        <v>1482</v>
      </c>
      <c r="Q2181" s="37" t="s">
        <v>1998</v>
      </c>
      <c r="S2181" s="37"/>
      <c r="T2181" s="37"/>
      <c r="U2181" s="22">
        <v>1</v>
      </c>
      <c r="V2181" s="22">
        <v>1</v>
      </c>
      <c r="W2181" s="73">
        <f t="shared" si="99"/>
        <v>949</v>
      </c>
      <c r="X2181" s="80">
        <f t="shared" si="100"/>
        <v>3767</v>
      </c>
      <c r="Y2181" s="82" t="s">
        <v>3584</v>
      </c>
      <c r="AF2181" s="19"/>
      <c r="AG2181" s="19"/>
      <c r="AH2181" s="19"/>
      <c r="AI2181" s="19"/>
      <c r="AJ2181" s="19"/>
      <c r="AK2181" s="19"/>
    </row>
    <row r="2182" spans="1:37" ht="15.45" customHeight="1" x14ac:dyDescent="0.25">
      <c r="A2182" s="156" t="s">
        <v>985</v>
      </c>
      <c r="B2182" s="28"/>
      <c r="C2182" s="37" t="s">
        <v>756</v>
      </c>
      <c r="E2182" s="37" t="s">
        <v>2830</v>
      </c>
      <c r="F2182" s="24" t="s">
        <v>1204</v>
      </c>
      <c r="H2182" s="168"/>
      <c r="I2182" s="167"/>
      <c r="J2182" s="214" t="s">
        <v>3690</v>
      </c>
      <c r="K2182" s="10" t="s">
        <v>3685</v>
      </c>
      <c r="N2182" s="37" t="s">
        <v>3771</v>
      </c>
      <c r="P2182" s="37" t="s">
        <v>1827</v>
      </c>
      <c r="S2182" s="37"/>
      <c r="T2182" s="37"/>
      <c r="U2182" s="22">
        <v>2</v>
      </c>
      <c r="V2182" s="22">
        <v>2</v>
      </c>
      <c r="W2182" s="73">
        <f t="shared" si="99"/>
        <v>951</v>
      </c>
      <c r="X2182" s="80">
        <f t="shared" si="100"/>
        <v>3769</v>
      </c>
      <c r="Y2182" s="82" t="s">
        <v>3584</v>
      </c>
      <c r="AF2182" s="19"/>
      <c r="AG2182" s="19"/>
      <c r="AH2182" s="19"/>
      <c r="AI2182" s="19"/>
      <c r="AJ2182" s="19"/>
      <c r="AK2182" s="19"/>
    </row>
    <row r="2183" spans="1:37" ht="15.45" customHeight="1" x14ac:dyDescent="0.25">
      <c r="A2183" s="156" t="s">
        <v>1061</v>
      </c>
      <c r="B2183" s="28"/>
      <c r="C2183" s="37" t="s">
        <v>756</v>
      </c>
      <c r="E2183" s="37" t="s">
        <v>2830</v>
      </c>
      <c r="F2183" s="24" t="s">
        <v>1204</v>
      </c>
      <c r="H2183" s="168"/>
      <c r="I2183" s="167"/>
      <c r="J2183" s="214" t="s">
        <v>3690</v>
      </c>
      <c r="K2183" s="10" t="s">
        <v>3685</v>
      </c>
      <c r="N2183" s="37" t="s">
        <v>3771</v>
      </c>
      <c r="P2183" s="37" t="s">
        <v>1827</v>
      </c>
      <c r="S2183" s="37"/>
      <c r="T2183" s="37"/>
      <c r="U2183" s="22">
        <v>1</v>
      </c>
      <c r="V2183" s="22">
        <v>1</v>
      </c>
      <c r="W2183" s="73">
        <f t="shared" si="99"/>
        <v>952</v>
      </c>
      <c r="X2183" s="80">
        <f t="shared" si="100"/>
        <v>3770</v>
      </c>
      <c r="Y2183" s="82" t="s">
        <v>3584</v>
      </c>
      <c r="AF2183" s="19"/>
      <c r="AG2183" s="19"/>
      <c r="AH2183" s="19"/>
      <c r="AI2183" s="19"/>
      <c r="AJ2183" s="19"/>
      <c r="AK2183" s="19"/>
    </row>
    <row r="2184" spans="1:37" ht="15.45" customHeight="1" x14ac:dyDescent="0.25">
      <c r="A2184" s="156" t="s">
        <v>1287</v>
      </c>
      <c r="B2184" s="28"/>
      <c r="C2184" s="37" t="s">
        <v>756</v>
      </c>
      <c r="E2184" s="37" t="s">
        <v>2830</v>
      </c>
      <c r="F2184" s="24" t="s">
        <v>1204</v>
      </c>
      <c r="H2184" s="168"/>
      <c r="I2184" s="167"/>
      <c r="J2184" s="214" t="s">
        <v>3690</v>
      </c>
      <c r="K2184" s="10" t="s">
        <v>3685</v>
      </c>
      <c r="N2184" s="37" t="s">
        <v>3771</v>
      </c>
      <c r="P2184" s="37" t="s">
        <v>1827</v>
      </c>
      <c r="S2184" s="37"/>
      <c r="T2184" s="37"/>
      <c r="U2184" s="22">
        <v>1</v>
      </c>
      <c r="V2184" s="22">
        <v>1</v>
      </c>
      <c r="W2184" s="73">
        <f t="shared" si="99"/>
        <v>953</v>
      </c>
      <c r="X2184" s="80">
        <f t="shared" si="100"/>
        <v>3771</v>
      </c>
      <c r="Y2184" s="82" t="s">
        <v>3584</v>
      </c>
      <c r="AF2184" s="19"/>
      <c r="AG2184" s="19"/>
      <c r="AH2184" s="19"/>
      <c r="AI2184" s="19"/>
      <c r="AJ2184" s="19"/>
      <c r="AK2184" s="19"/>
    </row>
    <row r="2185" spans="1:37" ht="15.45" customHeight="1" x14ac:dyDescent="0.25">
      <c r="A2185" s="156" t="s">
        <v>1067</v>
      </c>
      <c r="B2185" s="28"/>
      <c r="C2185" s="37" t="s">
        <v>756</v>
      </c>
      <c r="E2185" s="37" t="s">
        <v>2830</v>
      </c>
      <c r="F2185" s="24" t="s">
        <v>1204</v>
      </c>
      <c r="H2185" s="168"/>
      <c r="I2185" s="167"/>
      <c r="J2185" s="214" t="s">
        <v>3690</v>
      </c>
      <c r="K2185" s="10" t="s">
        <v>3685</v>
      </c>
      <c r="N2185" s="37" t="s">
        <v>3771</v>
      </c>
      <c r="P2185" s="37" t="s">
        <v>1827</v>
      </c>
      <c r="S2185" s="37"/>
      <c r="T2185" s="37"/>
      <c r="U2185" s="22">
        <v>1</v>
      </c>
      <c r="V2185" s="22">
        <v>1</v>
      </c>
      <c r="W2185" s="73">
        <f t="shared" si="99"/>
        <v>954</v>
      </c>
      <c r="X2185" s="80">
        <f t="shared" si="100"/>
        <v>3772</v>
      </c>
      <c r="Y2185" s="82" t="s">
        <v>3584</v>
      </c>
      <c r="AF2185" s="19"/>
      <c r="AG2185" s="19"/>
      <c r="AH2185" s="19"/>
      <c r="AI2185" s="19"/>
      <c r="AJ2185" s="19"/>
      <c r="AK2185" s="19"/>
    </row>
    <row r="2186" spans="1:37" ht="15.45" customHeight="1" x14ac:dyDescent="0.25">
      <c r="A2186" s="156" t="s">
        <v>5976</v>
      </c>
      <c r="B2186" s="28"/>
      <c r="C2186" s="37" t="s">
        <v>756</v>
      </c>
      <c r="E2186" s="37" t="s">
        <v>2830</v>
      </c>
      <c r="F2186" s="24" t="s">
        <v>5973</v>
      </c>
      <c r="H2186" s="168" t="s">
        <v>5977</v>
      </c>
      <c r="I2186" s="167"/>
      <c r="J2186" s="214" t="s">
        <v>5327</v>
      </c>
      <c r="O2186" s="37" t="s">
        <v>5978</v>
      </c>
      <c r="P2186" s="37" t="s">
        <v>546</v>
      </c>
      <c r="Q2186" s="37" t="s">
        <v>3506</v>
      </c>
      <c r="R2186" s="37" t="s">
        <v>1792</v>
      </c>
      <c r="S2186" s="37"/>
      <c r="T2186" s="37"/>
      <c r="U2186" s="22">
        <v>1</v>
      </c>
      <c r="V2186" s="22">
        <v>1</v>
      </c>
      <c r="W2186" s="73">
        <f t="shared" si="99"/>
        <v>955</v>
      </c>
      <c r="X2186" s="80">
        <f t="shared" si="100"/>
        <v>3773</v>
      </c>
      <c r="Y2186" s="82" t="s">
        <v>3591</v>
      </c>
      <c r="Z2186" s="24" t="s">
        <v>2885</v>
      </c>
      <c r="AB2186" s="177">
        <v>44392</v>
      </c>
      <c r="AC2186" s="84" t="s">
        <v>5308</v>
      </c>
      <c r="AF2186" s="19"/>
      <c r="AG2186" s="19"/>
      <c r="AH2186" s="19"/>
      <c r="AI2186" s="19"/>
      <c r="AJ2186" s="19"/>
      <c r="AK2186" s="19"/>
    </row>
    <row r="2187" spans="1:37" ht="15.45" customHeight="1" x14ac:dyDescent="0.25">
      <c r="A2187" s="156" t="s">
        <v>963</v>
      </c>
      <c r="B2187" s="28"/>
      <c r="C2187" s="37" t="s">
        <v>756</v>
      </c>
      <c r="E2187" s="37" t="s">
        <v>2830</v>
      </c>
      <c r="F2187" s="24" t="s">
        <v>1204</v>
      </c>
      <c r="H2187" s="168"/>
      <c r="I2187" s="167"/>
      <c r="J2187" s="214" t="s">
        <v>3690</v>
      </c>
      <c r="K2187" s="10" t="s">
        <v>3685</v>
      </c>
      <c r="N2187" s="37" t="s">
        <v>3771</v>
      </c>
      <c r="P2187" s="37" t="s">
        <v>1794</v>
      </c>
      <c r="S2187" s="37"/>
      <c r="T2187" s="37"/>
      <c r="U2187" s="22">
        <v>1</v>
      </c>
      <c r="V2187" s="22">
        <v>1</v>
      </c>
      <c r="W2187" s="73">
        <f t="shared" si="99"/>
        <v>956</v>
      </c>
      <c r="X2187" s="80">
        <f t="shared" si="100"/>
        <v>3774</v>
      </c>
      <c r="Y2187" s="82" t="s">
        <v>3584</v>
      </c>
      <c r="AF2187" s="19"/>
      <c r="AG2187" s="19"/>
      <c r="AH2187" s="19"/>
      <c r="AI2187" s="19"/>
      <c r="AJ2187" s="19"/>
      <c r="AK2187" s="19"/>
    </row>
    <row r="2188" spans="1:37" ht="15.45" customHeight="1" x14ac:dyDescent="0.25">
      <c r="A2188" s="156" t="s">
        <v>1091</v>
      </c>
      <c r="B2188" s="28"/>
      <c r="C2188" s="37" t="s">
        <v>756</v>
      </c>
      <c r="E2188" s="37" t="s">
        <v>2830</v>
      </c>
      <c r="F2188" s="24" t="s">
        <v>1204</v>
      </c>
      <c r="H2188" s="168"/>
      <c r="I2188" s="167"/>
      <c r="J2188" s="214" t="s">
        <v>3690</v>
      </c>
      <c r="K2188" s="10" t="s">
        <v>3685</v>
      </c>
      <c r="N2188" s="37" t="s">
        <v>3771</v>
      </c>
      <c r="P2188" s="37" t="s">
        <v>1828</v>
      </c>
      <c r="S2188" s="37"/>
      <c r="T2188" s="37"/>
      <c r="U2188" s="22">
        <v>3</v>
      </c>
      <c r="V2188" s="22">
        <v>3</v>
      </c>
      <c r="W2188" s="73">
        <f t="shared" si="99"/>
        <v>959</v>
      </c>
      <c r="X2188" s="80">
        <f t="shared" si="100"/>
        <v>3777</v>
      </c>
      <c r="Y2188" s="82" t="s">
        <v>3584</v>
      </c>
      <c r="AF2188" s="19"/>
      <c r="AG2188" s="19"/>
      <c r="AH2188" s="19"/>
      <c r="AI2188" s="19"/>
      <c r="AJ2188" s="19"/>
      <c r="AK2188" s="19"/>
    </row>
    <row r="2189" spans="1:37" ht="15.45" customHeight="1" x14ac:dyDescent="0.25">
      <c r="A2189" s="156" t="s">
        <v>750</v>
      </c>
      <c r="B2189" s="28"/>
      <c r="C2189" s="37" t="s">
        <v>756</v>
      </c>
      <c r="E2189" s="37" t="s">
        <v>2830</v>
      </c>
      <c r="F2189" s="24" t="s">
        <v>1204</v>
      </c>
      <c r="H2189" s="168"/>
      <c r="I2189" s="167"/>
      <c r="J2189" s="214" t="s">
        <v>3690</v>
      </c>
      <c r="K2189" s="10" t="s">
        <v>3685</v>
      </c>
      <c r="N2189" s="37" t="s">
        <v>3771</v>
      </c>
      <c r="S2189" s="37"/>
      <c r="T2189" s="37"/>
      <c r="U2189" s="22">
        <v>9</v>
      </c>
      <c r="V2189" s="22">
        <v>9</v>
      </c>
      <c r="W2189" s="73">
        <f t="shared" si="99"/>
        <v>968</v>
      </c>
      <c r="X2189" s="80">
        <f t="shared" si="100"/>
        <v>3786</v>
      </c>
      <c r="Y2189" s="82" t="s">
        <v>3584</v>
      </c>
      <c r="AF2189" s="19"/>
      <c r="AG2189" s="19"/>
      <c r="AH2189" s="19"/>
      <c r="AI2189" s="19"/>
      <c r="AJ2189" s="19"/>
      <c r="AK2189" s="19"/>
    </row>
    <row r="2190" spans="1:37" ht="15.45" customHeight="1" x14ac:dyDescent="0.25">
      <c r="A2190" s="156" t="s">
        <v>1440</v>
      </c>
      <c r="B2190" s="28"/>
      <c r="C2190" s="37" t="s">
        <v>756</v>
      </c>
      <c r="E2190" s="37" t="s">
        <v>2830</v>
      </c>
      <c r="F2190" s="24" t="s">
        <v>1204</v>
      </c>
      <c r="H2190" s="168"/>
      <c r="I2190" s="167"/>
      <c r="J2190" s="214" t="s">
        <v>3690</v>
      </c>
      <c r="K2190" s="10" t="s">
        <v>3685</v>
      </c>
      <c r="N2190" s="37" t="s">
        <v>3771</v>
      </c>
      <c r="P2190" s="37" t="s">
        <v>1797</v>
      </c>
      <c r="S2190" s="37"/>
      <c r="T2190" s="37"/>
      <c r="U2190" s="22">
        <v>9</v>
      </c>
      <c r="V2190" s="22">
        <v>9</v>
      </c>
      <c r="W2190" s="73">
        <f t="shared" si="99"/>
        <v>977</v>
      </c>
      <c r="X2190" s="80">
        <f t="shared" si="100"/>
        <v>3795</v>
      </c>
      <c r="Y2190" s="82" t="s">
        <v>3584</v>
      </c>
      <c r="AF2190" s="19"/>
      <c r="AG2190" s="19"/>
      <c r="AH2190" s="19"/>
      <c r="AI2190" s="19"/>
      <c r="AJ2190" s="19"/>
      <c r="AK2190" s="19"/>
    </row>
    <row r="2191" spans="1:37" ht="15.45" customHeight="1" x14ac:dyDescent="0.25">
      <c r="A2191" s="156" t="s">
        <v>1441</v>
      </c>
      <c r="B2191" s="28"/>
      <c r="C2191" s="37" t="s">
        <v>756</v>
      </c>
      <c r="E2191" s="37" t="s">
        <v>2830</v>
      </c>
      <c r="F2191" s="24" t="s">
        <v>1204</v>
      </c>
      <c r="H2191" s="168"/>
      <c r="I2191" s="167"/>
      <c r="J2191" s="214" t="s">
        <v>3690</v>
      </c>
      <c r="K2191" s="10" t="s">
        <v>3685</v>
      </c>
      <c r="N2191" s="37" t="s">
        <v>3771</v>
      </c>
      <c r="P2191" s="37" t="s">
        <v>1795</v>
      </c>
      <c r="S2191" s="37"/>
      <c r="T2191" s="37"/>
      <c r="U2191" s="22">
        <v>3</v>
      </c>
      <c r="V2191" s="22">
        <v>3</v>
      </c>
      <c r="W2191" s="73">
        <f t="shared" si="99"/>
        <v>980</v>
      </c>
      <c r="X2191" s="80">
        <f t="shared" si="100"/>
        <v>3798</v>
      </c>
      <c r="Y2191" s="82" t="s">
        <v>3584</v>
      </c>
      <c r="AF2191" s="19"/>
      <c r="AG2191" s="19"/>
      <c r="AH2191" s="19"/>
      <c r="AI2191" s="19"/>
      <c r="AJ2191" s="19"/>
      <c r="AK2191" s="19"/>
    </row>
    <row r="2192" spans="1:37" ht="15.45" customHeight="1" x14ac:dyDescent="0.25">
      <c r="A2192" s="156" t="s">
        <v>2086</v>
      </c>
      <c r="B2192" s="28"/>
      <c r="C2192" s="37" t="s">
        <v>756</v>
      </c>
      <c r="E2192" s="37" t="s">
        <v>2830</v>
      </c>
      <c r="F2192" s="24" t="s">
        <v>1204</v>
      </c>
      <c r="H2192" s="168"/>
      <c r="I2192" s="167"/>
      <c r="P2192" s="37" t="s">
        <v>2087</v>
      </c>
      <c r="Q2192" s="37" t="s">
        <v>3506</v>
      </c>
      <c r="S2192" s="37"/>
      <c r="T2192" s="37"/>
      <c r="U2192" s="22">
        <v>1</v>
      </c>
      <c r="V2192" s="22">
        <v>1</v>
      </c>
      <c r="W2192" s="73">
        <f t="shared" si="99"/>
        <v>981</v>
      </c>
      <c r="X2192" s="80">
        <f t="shared" si="100"/>
        <v>3799</v>
      </c>
      <c r="Y2192" s="82" t="s">
        <v>3592</v>
      </c>
      <c r="Z2192" s="24" t="s">
        <v>430</v>
      </c>
      <c r="AF2192" s="19"/>
      <c r="AG2192" s="19"/>
      <c r="AH2192" s="19"/>
      <c r="AI2192" s="19"/>
      <c r="AJ2192" s="19"/>
      <c r="AK2192" s="19"/>
    </row>
    <row r="2193" spans="1:37" ht="15.45" customHeight="1" x14ac:dyDescent="0.25">
      <c r="A2193" s="156" t="s">
        <v>751</v>
      </c>
      <c r="B2193" s="28"/>
      <c r="C2193" s="37" t="s">
        <v>756</v>
      </c>
      <c r="E2193" s="37" t="s">
        <v>2830</v>
      </c>
      <c r="F2193" s="24" t="s">
        <v>1204</v>
      </c>
      <c r="H2193" s="168"/>
      <c r="I2193" s="167"/>
      <c r="J2193" s="214" t="s">
        <v>3690</v>
      </c>
      <c r="K2193" s="10" t="s">
        <v>3685</v>
      </c>
      <c r="N2193" s="37" t="s">
        <v>3771</v>
      </c>
      <c r="P2193" s="37" t="s">
        <v>1796</v>
      </c>
      <c r="S2193" s="37"/>
      <c r="T2193" s="37"/>
      <c r="U2193" s="22">
        <v>32</v>
      </c>
      <c r="V2193" s="22">
        <v>32</v>
      </c>
      <c r="W2193" s="73">
        <f t="shared" ref="W2193:W2207" si="101">W2192+V2193</f>
        <v>1013</v>
      </c>
      <c r="X2193" s="80">
        <f t="shared" si="100"/>
        <v>3831</v>
      </c>
      <c r="Y2193" s="82" t="s">
        <v>3584</v>
      </c>
      <c r="AF2193" s="19"/>
      <c r="AG2193" s="19"/>
      <c r="AH2193" s="19"/>
      <c r="AI2193" s="19"/>
      <c r="AJ2193" s="19"/>
      <c r="AK2193" s="19"/>
    </row>
    <row r="2194" spans="1:37" ht="15.45" customHeight="1" x14ac:dyDescent="0.25">
      <c r="A2194" s="156" t="s">
        <v>773</v>
      </c>
      <c r="B2194" s="28"/>
      <c r="C2194" s="37" t="s">
        <v>756</v>
      </c>
      <c r="E2194" s="37" t="s">
        <v>2830</v>
      </c>
      <c r="F2194" s="24" t="s">
        <v>1204</v>
      </c>
      <c r="H2194" s="168"/>
      <c r="I2194" s="167"/>
      <c r="J2194" s="214" t="s">
        <v>3690</v>
      </c>
      <c r="K2194" s="10" t="s">
        <v>3685</v>
      </c>
      <c r="N2194" s="37" t="s">
        <v>3771</v>
      </c>
      <c r="P2194" s="37" t="s">
        <v>1796</v>
      </c>
      <c r="S2194" s="37"/>
      <c r="T2194" s="37"/>
      <c r="U2194" s="22">
        <v>7</v>
      </c>
      <c r="V2194" s="22">
        <v>7</v>
      </c>
      <c r="W2194" s="73">
        <f t="shared" si="101"/>
        <v>1020</v>
      </c>
      <c r="X2194" s="80">
        <f t="shared" si="100"/>
        <v>3838</v>
      </c>
      <c r="Y2194" s="82" t="s">
        <v>3584</v>
      </c>
      <c r="AF2194" s="19"/>
      <c r="AG2194" s="19"/>
      <c r="AH2194" s="19"/>
      <c r="AI2194" s="19"/>
      <c r="AJ2194" s="19"/>
      <c r="AK2194" s="19"/>
    </row>
    <row r="2195" spans="1:37" ht="15.45" customHeight="1" x14ac:dyDescent="0.25">
      <c r="A2195" s="156" t="s">
        <v>1772</v>
      </c>
      <c r="B2195" s="28"/>
      <c r="C2195" s="37" t="s">
        <v>756</v>
      </c>
      <c r="E2195" s="37" t="s">
        <v>2830</v>
      </c>
      <c r="F2195" s="24" t="s">
        <v>1204</v>
      </c>
      <c r="H2195" s="168"/>
      <c r="I2195" s="167"/>
      <c r="J2195" s="214" t="s">
        <v>3690</v>
      </c>
      <c r="K2195" s="10" t="s">
        <v>3685</v>
      </c>
      <c r="N2195" s="37" t="s">
        <v>3771</v>
      </c>
      <c r="P2195" s="37" t="s">
        <v>1797</v>
      </c>
      <c r="S2195" s="37"/>
      <c r="T2195" s="37"/>
      <c r="U2195" s="22">
        <v>45</v>
      </c>
      <c r="V2195" s="22">
        <v>45</v>
      </c>
      <c r="W2195" s="73">
        <f t="shared" si="101"/>
        <v>1065</v>
      </c>
      <c r="X2195" s="80">
        <f t="shared" si="100"/>
        <v>3883</v>
      </c>
      <c r="Y2195" s="82" t="s">
        <v>3584</v>
      </c>
      <c r="AF2195" s="19"/>
      <c r="AG2195" s="19"/>
      <c r="AH2195" s="19"/>
      <c r="AI2195" s="19"/>
      <c r="AJ2195" s="19"/>
      <c r="AK2195" s="19"/>
    </row>
    <row r="2196" spans="1:37" ht="15.45" customHeight="1" x14ac:dyDescent="0.25">
      <c r="A2196" s="156" t="s">
        <v>869</v>
      </c>
      <c r="B2196" s="28"/>
      <c r="C2196" s="37" t="s">
        <v>756</v>
      </c>
      <c r="E2196" s="37" t="s">
        <v>2830</v>
      </c>
      <c r="F2196" s="24" t="s">
        <v>1204</v>
      </c>
      <c r="H2196" s="168"/>
      <c r="I2196" s="167"/>
      <c r="J2196" s="214" t="s">
        <v>3690</v>
      </c>
      <c r="K2196" s="10" t="s">
        <v>3685</v>
      </c>
      <c r="N2196" s="37" t="s">
        <v>3771</v>
      </c>
      <c r="P2196" s="37" t="s">
        <v>3780</v>
      </c>
      <c r="Q2196" s="37" t="s">
        <v>1873</v>
      </c>
      <c r="S2196" s="37"/>
      <c r="T2196" s="37"/>
      <c r="U2196" s="22">
        <v>1</v>
      </c>
      <c r="V2196" s="22">
        <v>1</v>
      </c>
      <c r="W2196" s="73">
        <f t="shared" si="101"/>
        <v>1066</v>
      </c>
      <c r="X2196" s="80">
        <f t="shared" si="100"/>
        <v>3884</v>
      </c>
      <c r="Y2196" s="82" t="s">
        <v>3584</v>
      </c>
      <c r="AF2196" s="19"/>
      <c r="AG2196" s="19"/>
      <c r="AH2196" s="19"/>
      <c r="AI2196" s="19"/>
      <c r="AJ2196" s="19"/>
      <c r="AK2196" s="19"/>
    </row>
    <row r="2197" spans="1:37" ht="15.45" customHeight="1" x14ac:dyDescent="0.25">
      <c r="A2197" s="156" t="s">
        <v>1773</v>
      </c>
      <c r="B2197" s="28"/>
      <c r="C2197" s="37" t="s">
        <v>756</v>
      </c>
      <c r="E2197" s="37" t="s">
        <v>2830</v>
      </c>
      <c r="F2197" s="24" t="s">
        <v>1204</v>
      </c>
      <c r="H2197" s="168"/>
      <c r="I2197" s="167"/>
      <c r="J2197" s="214" t="s">
        <v>3690</v>
      </c>
      <c r="K2197" s="10" t="s">
        <v>3685</v>
      </c>
      <c r="N2197" s="37" t="s">
        <v>3771</v>
      </c>
      <c r="S2197" s="37"/>
      <c r="T2197" s="37"/>
      <c r="U2197" s="22">
        <v>38</v>
      </c>
      <c r="V2197" s="22">
        <v>38</v>
      </c>
      <c r="W2197" s="73">
        <f t="shared" si="101"/>
        <v>1104</v>
      </c>
      <c r="X2197" s="80">
        <f t="shared" si="100"/>
        <v>3922</v>
      </c>
      <c r="Y2197" s="82" t="s">
        <v>3584</v>
      </c>
      <c r="AF2197" s="19"/>
      <c r="AG2197" s="19"/>
      <c r="AH2197" s="19"/>
      <c r="AI2197" s="19"/>
      <c r="AJ2197" s="19"/>
      <c r="AK2197" s="19"/>
    </row>
    <row r="2198" spans="1:37" ht="15.45" customHeight="1" x14ac:dyDescent="0.25">
      <c r="A2198" s="156" t="s">
        <v>3370</v>
      </c>
      <c r="B2198" s="28"/>
      <c r="C2198" s="37" t="s">
        <v>756</v>
      </c>
      <c r="E2198" s="37" t="s">
        <v>2830</v>
      </c>
      <c r="F2198" s="24" t="s">
        <v>1204</v>
      </c>
      <c r="H2198" s="168" t="s">
        <v>3790</v>
      </c>
      <c r="I2198" s="167"/>
      <c r="S2198" s="37"/>
      <c r="T2198" s="37"/>
      <c r="U2198" s="22">
        <v>2</v>
      </c>
      <c r="V2198" s="22">
        <v>2</v>
      </c>
      <c r="W2198" s="73">
        <f t="shared" si="101"/>
        <v>1106</v>
      </c>
      <c r="X2198" s="80">
        <f t="shared" si="100"/>
        <v>3924</v>
      </c>
      <c r="Y2198" s="82" t="s">
        <v>3592</v>
      </c>
      <c r="Z2198" s="24" t="s">
        <v>2884</v>
      </c>
      <c r="AF2198" s="19"/>
      <c r="AG2198" s="19"/>
      <c r="AH2198" s="19"/>
      <c r="AI2198" s="19"/>
      <c r="AJ2198" s="19"/>
      <c r="AK2198" s="19"/>
    </row>
    <row r="2199" spans="1:37" ht="15.45" customHeight="1" x14ac:dyDescent="0.25">
      <c r="A2199" s="156" t="s">
        <v>5836</v>
      </c>
      <c r="B2199" s="28"/>
      <c r="C2199" s="37" t="s">
        <v>756</v>
      </c>
      <c r="E2199" s="37" t="s">
        <v>5301</v>
      </c>
      <c r="F2199" s="24" t="s">
        <v>1204</v>
      </c>
      <c r="H2199" s="168" t="s">
        <v>5835</v>
      </c>
      <c r="I2199" s="167"/>
      <c r="J2199" s="214" t="s">
        <v>5684</v>
      </c>
      <c r="O2199" s="37" t="s">
        <v>5837</v>
      </c>
      <c r="P2199" s="37" t="s">
        <v>2035</v>
      </c>
      <c r="Q2199" s="37" t="s">
        <v>3506</v>
      </c>
      <c r="R2199" s="37" t="s">
        <v>1792</v>
      </c>
      <c r="S2199" s="37" t="s">
        <v>3412</v>
      </c>
      <c r="T2199" s="37"/>
      <c r="U2199" s="22">
        <v>5</v>
      </c>
      <c r="V2199" s="22">
        <v>5</v>
      </c>
      <c r="W2199" s="73">
        <f t="shared" si="101"/>
        <v>1111</v>
      </c>
      <c r="X2199" s="80">
        <f t="shared" si="100"/>
        <v>3929</v>
      </c>
      <c r="Y2199" s="82" t="s">
        <v>3591</v>
      </c>
      <c r="Z2199" s="24" t="s">
        <v>2885</v>
      </c>
      <c r="AB2199" s="177">
        <v>44383</v>
      </c>
      <c r="AC2199" s="84" t="s">
        <v>5308</v>
      </c>
      <c r="AF2199" s="19"/>
      <c r="AG2199" s="19"/>
      <c r="AH2199" s="19"/>
      <c r="AI2199" s="19"/>
      <c r="AJ2199" s="19"/>
      <c r="AK2199" s="19"/>
    </row>
    <row r="2200" spans="1:37" ht="15.45" customHeight="1" x14ac:dyDescent="0.25">
      <c r="A2200" s="156" t="s">
        <v>5972</v>
      </c>
      <c r="B2200" s="28"/>
      <c r="C2200" s="37" t="s">
        <v>756</v>
      </c>
      <c r="E2200" s="37" t="s">
        <v>5301</v>
      </c>
      <c r="F2200" s="24" t="s">
        <v>5973</v>
      </c>
      <c r="H2200" s="168" t="s">
        <v>5974</v>
      </c>
      <c r="I2200" s="167"/>
      <c r="J2200" s="214" t="s">
        <v>5684</v>
      </c>
      <c r="O2200" s="37" t="s">
        <v>5837</v>
      </c>
      <c r="P2200" s="37" t="s">
        <v>2035</v>
      </c>
      <c r="Q2200" s="37" t="s">
        <v>3506</v>
      </c>
      <c r="R2200" s="37" t="s">
        <v>1792</v>
      </c>
      <c r="S2200" s="37"/>
      <c r="T2200" s="37"/>
      <c r="U2200" s="22">
        <v>1</v>
      </c>
      <c r="V2200" s="22">
        <v>1</v>
      </c>
      <c r="W2200" s="73">
        <f t="shared" si="101"/>
        <v>1112</v>
      </c>
      <c r="X2200" s="80">
        <f t="shared" si="100"/>
        <v>3930</v>
      </c>
      <c r="Y2200" s="82" t="s">
        <v>3591</v>
      </c>
      <c r="Z2200" s="24" t="s">
        <v>2885</v>
      </c>
      <c r="AB2200" s="177">
        <v>44383</v>
      </c>
      <c r="AC2200" s="84" t="s">
        <v>5308</v>
      </c>
      <c r="AF2200" s="19"/>
      <c r="AG2200" s="19"/>
      <c r="AH2200" s="19"/>
      <c r="AI2200" s="19"/>
      <c r="AJ2200" s="19"/>
      <c r="AK2200" s="19"/>
    </row>
    <row r="2201" spans="1:37" ht="15.45" customHeight="1" x14ac:dyDescent="0.25">
      <c r="A2201" s="156" t="s">
        <v>977</v>
      </c>
      <c r="B2201" s="28"/>
      <c r="C2201" s="37" t="s">
        <v>756</v>
      </c>
      <c r="E2201" s="37" t="s">
        <v>2830</v>
      </c>
      <c r="F2201" s="24" t="s">
        <v>1204</v>
      </c>
      <c r="H2201" s="168"/>
      <c r="I2201" s="167"/>
      <c r="P2201" s="37" t="s">
        <v>1838</v>
      </c>
      <c r="Q2201" s="37" t="s">
        <v>3506</v>
      </c>
      <c r="S2201" s="37"/>
      <c r="T2201" s="37"/>
      <c r="U2201" s="22">
        <v>1</v>
      </c>
      <c r="V2201" s="22">
        <v>1</v>
      </c>
      <c r="W2201" s="73">
        <f t="shared" si="101"/>
        <v>1113</v>
      </c>
      <c r="X2201" s="80">
        <f t="shared" si="100"/>
        <v>3931</v>
      </c>
      <c r="Y2201" s="82" t="s">
        <v>3584</v>
      </c>
      <c r="AF2201" s="19"/>
      <c r="AG2201" s="19"/>
      <c r="AH2201" s="19"/>
      <c r="AI2201" s="19"/>
      <c r="AJ2201" s="19"/>
      <c r="AK2201" s="19"/>
    </row>
    <row r="2202" spans="1:37" ht="15.45" customHeight="1" x14ac:dyDescent="0.25">
      <c r="A2202" s="156" t="s">
        <v>978</v>
      </c>
      <c r="B2202" s="28"/>
      <c r="C2202" s="37" t="s">
        <v>756</v>
      </c>
      <c r="E2202" s="37" t="s">
        <v>2830</v>
      </c>
      <c r="F2202" s="24" t="s">
        <v>1204</v>
      </c>
      <c r="H2202" s="168"/>
      <c r="I2202" s="167"/>
      <c r="J2202" s="214" t="s">
        <v>3690</v>
      </c>
      <c r="K2202" s="10" t="s">
        <v>3685</v>
      </c>
      <c r="N2202" s="37" t="s">
        <v>3771</v>
      </c>
      <c r="S2202" s="37"/>
      <c r="T2202" s="37"/>
      <c r="U2202" s="22">
        <v>1</v>
      </c>
      <c r="V2202" s="22">
        <v>1</v>
      </c>
      <c r="W2202" s="73">
        <f t="shared" si="101"/>
        <v>1114</v>
      </c>
      <c r="X2202" s="80">
        <f t="shared" si="100"/>
        <v>3932</v>
      </c>
      <c r="Y2202" s="82" t="s">
        <v>3584</v>
      </c>
      <c r="AF2202" s="19"/>
      <c r="AG2202" s="19"/>
      <c r="AH2202" s="19"/>
      <c r="AI2202" s="19"/>
      <c r="AJ2202" s="19"/>
      <c r="AK2202" s="19"/>
    </row>
    <row r="2203" spans="1:37" ht="15.45" customHeight="1" x14ac:dyDescent="0.25">
      <c r="A2203" s="156" t="s">
        <v>1313</v>
      </c>
      <c r="B2203" s="28"/>
      <c r="C2203" s="37" t="s">
        <v>756</v>
      </c>
      <c r="E2203" s="37" t="s">
        <v>2830</v>
      </c>
      <c r="F2203" s="24" t="s">
        <v>1204</v>
      </c>
      <c r="H2203" s="168"/>
      <c r="I2203" s="167"/>
      <c r="P2203" s="37" t="s">
        <v>2061</v>
      </c>
      <c r="Q2203" s="37" t="s">
        <v>3506</v>
      </c>
      <c r="S2203" s="37"/>
      <c r="T2203" s="37"/>
      <c r="U2203" s="22">
        <v>1</v>
      </c>
      <c r="V2203" s="22">
        <v>1</v>
      </c>
      <c r="W2203" s="73">
        <f t="shared" si="101"/>
        <v>1115</v>
      </c>
      <c r="X2203" s="80">
        <f t="shared" si="100"/>
        <v>3933</v>
      </c>
      <c r="Y2203" s="82" t="s">
        <v>3584</v>
      </c>
      <c r="AF2203" s="19"/>
      <c r="AG2203" s="19"/>
      <c r="AH2203" s="19"/>
      <c r="AI2203" s="19"/>
      <c r="AJ2203" s="19"/>
      <c r="AK2203" s="19"/>
    </row>
    <row r="2204" spans="1:37" ht="15.45" customHeight="1" x14ac:dyDescent="0.25">
      <c r="A2204" s="29" t="s">
        <v>3229</v>
      </c>
      <c r="B2204" s="28"/>
      <c r="C2204" s="37" t="s">
        <v>756</v>
      </c>
      <c r="E2204" s="37" t="s">
        <v>2830</v>
      </c>
      <c r="F2204" s="24" t="s">
        <v>2247</v>
      </c>
      <c r="H2204" s="168" t="s">
        <v>5027</v>
      </c>
      <c r="I2204" s="169"/>
      <c r="J2204" s="214" t="s">
        <v>4336</v>
      </c>
      <c r="P2204" s="37" t="s">
        <v>3800</v>
      </c>
      <c r="Q2204" s="37" t="s">
        <v>3506</v>
      </c>
      <c r="S2204" s="37"/>
      <c r="T2204" s="37"/>
      <c r="U2204" s="21">
        <v>14</v>
      </c>
      <c r="V2204" s="21">
        <v>14</v>
      </c>
      <c r="W2204" s="73">
        <f t="shared" si="101"/>
        <v>1129</v>
      </c>
      <c r="X2204" s="80">
        <f t="shared" si="100"/>
        <v>3947</v>
      </c>
      <c r="Y2204" s="82" t="s">
        <v>3591</v>
      </c>
      <c r="Z2204" s="24" t="s">
        <v>5026</v>
      </c>
    </row>
    <row r="2205" spans="1:37" ht="15.45" customHeight="1" x14ac:dyDescent="0.25">
      <c r="A2205" s="29" t="s">
        <v>6072</v>
      </c>
      <c r="B2205" s="28"/>
      <c r="C2205" s="37" t="s">
        <v>756</v>
      </c>
      <c r="E2205" s="37" t="s">
        <v>2830</v>
      </c>
      <c r="H2205" s="201" t="s">
        <v>6321</v>
      </c>
      <c r="I2205" s="169"/>
      <c r="J2205" s="214" t="s">
        <v>5334</v>
      </c>
      <c r="P2205" s="37" t="s">
        <v>546</v>
      </c>
      <c r="S2205" s="37" t="s">
        <v>3436</v>
      </c>
      <c r="T2205" s="37"/>
      <c r="U2205" s="21">
        <v>1</v>
      </c>
      <c r="V2205" s="21">
        <v>1</v>
      </c>
      <c r="W2205" s="73">
        <f t="shared" si="101"/>
        <v>1130</v>
      </c>
      <c r="X2205" s="80">
        <f t="shared" si="100"/>
        <v>3948</v>
      </c>
      <c r="Y2205" s="82" t="s">
        <v>3591</v>
      </c>
      <c r="Z2205" s="24" t="s">
        <v>2885</v>
      </c>
      <c r="AB2205" s="177">
        <v>44514</v>
      </c>
      <c r="AC2205" s="84" t="s">
        <v>5308</v>
      </c>
    </row>
    <row r="2206" spans="1:37" ht="15.45" customHeight="1" x14ac:dyDescent="0.25">
      <c r="A2206" s="29" t="s">
        <v>6072</v>
      </c>
      <c r="B2206" s="28"/>
      <c r="C2206" s="37" t="s">
        <v>756</v>
      </c>
      <c r="E2206" s="37" t="s">
        <v>2830</v>
      </c>
      <c r="F2206" s="24" t="s">
        <v>6070</v>
      </c>
      <c r="H2206" s="168" t="s">
        <v>6071</v>
      </c>
      <c r="I2206" s="169"/>
      <c r="J2206" s="214" t="s">
        <v>3407</v>
      </c>
      <c r="O2206" s="37" t="s">
        <v>5916</v>
      </c>
      <c r="S2206" s="37" t="s">
        <v>3412</v>
      </c>
      <c r="T2206" s="37"/>
      <c r="U2206" s="21">
        <v>14</v>
      </c>
      <c r="V2206" s="21">
        <v>14</v>
      </c>
      <c r="W2206" s="73">
        <f t="shared" si="101"/>
        <v>1144</v>
      </c>
      <c r="X2206" s="80">
        <f t="shared" si="100"/>
        <v>3962</v>
      </c>
      <c r="Y2206" s="82" t="s">
        <v>3584</v>
      </c>
      <c r="AB2206" s="177">
        <v>44455</v>
      </c>
      <c r="AC2206" s="84" t="s">
        <v>5308</v>
      </c>
    </row>
    <row r="2207" spans="1:37" ht="15.45" customHeight="1" x14ac:dyDescent="0.25">
      <c r="A2207" s="29" t="s">
        <v>6387</v>
      </c>
      <c r="B2207" s="28" t="s">
        <v>6386</v>
      </c>
      <c r="C2207" s="37" t="s">
        <v>756</v>
      </c>
      <c r="E2207" s="37" t="s">
        <v>2830</v>
      </c>
      <c r="F2207" s="24" t="s">
        <v>6382</v>
      </c>
      <c r="H2207" s="168" t="s">
        <v>7207</v>
      </c>
      <c r="I2207" s="169"/>
      <c r="J2207" s="219" t="s">
        <v>4045</v>
      </c>
      <c r="K2207" s="10" t="s">
        <v>4046</v>
      </c>
      <c r="N2207" s="151"/>
      <c r="O2207" s="151"/>
      <c r="P2207" s="37" t="s">
        <v>1838</v>
      </c>
      <c r="Q2207" s="37" t="s">
        <v>3506</v>
      </c>
      <c r="U2207" s="21">
        <v>1</v>
      </c>
      <c r="V2207" s="21">
        <v>1</v>
      </c>
      <c r="W2207" s="73">
        <f t="shared" si="101"/>
        <v>1145</v>
      </c>
      <c r="X2207" s="80">
        <f t="shared" si="100"/>
        <v>3963</v>
      </c>
      <c r="Y2207" s="82" t="s">
        <v>3591</v>
      </c>
      <c r="Z2207" s="26" t="s">
        <v>4047</v>
      </c>
      <c r="AA2207" s="232" t="s">
        <v>3669</v>
      </c>
      <c r="AB2207" s="183"/>
      <c r="AC2207" s="88"/>
      <c r="AD2207" s="88"/>
    </row>
    <row r="2208" spans="1:37" s="51" customFormat="1" ht="15.45" customHeight="1" x14ac:dyDescent="0.25">
      <c r="A2208" s="45" t="s">
        <v>6156</v>
      </c>
      <c r="B2208" s="50"/>
      <c r="C2208" s="49"/>
      <c r="D2208" s="49"/>
      <c r="E2208" s="49"/>
      <c r="F2208" s="50"/>
      <c r="G2208" s="50"/>
      <c r="H2208" s="46"/>
      <c r="I2208" s="109"/>
      <c r="J2208" s="212"/>
      <c r="K2208" s="56"/>
      <c r="L2208" s="100"/>
      <c r="M2208" s="100"/>
      <c r="N2208" s="49"/>
      <c r="O2208" s="49"/>
      <c r="P2208" s="49"/>
      <c r="Q2208" s="49"/>
      <c r="R2208" s="49"/>
      <c r="S2208" s="47"/>
      <c r="T2208" s="47"/>
      <c r="U2208" s="48"/>
      <c r="V2208" s="48"/>
      <c r="W2208" s="74"/>
      <c r="X2208" s="81"/>
      <c r="Y2208" s="132"/>
      <c r="Z2208" s="50"/>
      <c r="AA2208" s="173"/>
      <c r="AB2208" s="173"/>
      <c r="AC2208" s="137"/>
      <c r="AD2208" s="137"/>
      <c r="AE2208" s="83"/>
      <c r="AF2208" s="47"/>
      <c r="AG2208" s="47"/>
      <c r="AH2208" s="47"/>
      <c r="AI2208" s="47"/>
      <c r="AJ2208" s="47"/>
      <c r="AK2208" s="47"/>
    </row>
    <row r="2209" spans="1:37" ht="18" customHeight="1" x14ac:dyDescent="0.25">
      <c r="A2209" s="159" t="s">
        <v>5045</v>
      </c>
      <c r="B2209" s="28" t="s">
        <v>2236</v>
      </c>
      <c r="C2209" s="37" t="s">
        <v>6161</v>
      </c>
      <c r="E2209" s="37" t="s">
        <v>2830</v>
      </c>
      <c r="F2209" s="24" t="s">
        <v>2119</v>
      </c>
      <c r="G2209" s="28"/>
      <c r="H2209" s="168" t="s">
        <v>6158</v>
      </c>
      <c r="I2209" s="118"/>
      <c r="J2209" s="214" t="s">
        <v>3691</v>
      </c>
      <c r="K2209" s="10" t="s">
        <v>3685</v>
      </c>
      <c r="L2209" s="102" t="s">
        <v>2114</v>
      </c>
      <c r="N2209" s="37" t="s">
        <v>3781</v>
      </c>
      <c r="P2209" s="37" t="s">
        <v>1482</v>
      </c>
      <c r="Q2209" s="37" t="s">
        <v>1998</v>
      </c>
      <c r="S2209" s="20"/>
      <c r="T2209" s="20"/>
      <c r="U2209" s="22">
        <v>1</v>
      </c>
      <c r="V2209" s="22">
        <v>1</v>
      </c>
      <c r="W2209" s="73">
        <f t="shared" ref="W2209:W2215" si="102">W2208+V2209</f>
        <v>1</v>
      </c>
      <c r="X2209" s="80">
        <f>V2209+X2207</f>
        <v>3964</v>
      </c>
      <c r="Y2209" s="82" t="s">
        <v>3584</v>
      </c>
      <c r="AF2209" s="20"/>
      <c r="AG2209" s="20"/>
      <c r="AH2209" s="20"/>
      <c r="AI2209" s="20"/>
      <c r="AJ2209" s="20"/>
      <c r="AK2209" s="20"/>
    </row>
    <row r="2210" spans="1:37" ht="17.25" customHeight="1" x14ac:dyDescent="0.25">
      <c r="A2210" s="159" t="s">
        <v>2235</v>
      </c>
      <c r="B2210" s="28" t="s">
        <v>6157</v>
      </c>
      <c r="C2210" s="37" t="s">
        <v>6161</v>
      </c>
      <c r="E2210" s="37" t="s">
        <v>2830</v>
      </c>
      <c r="F2210" s="24" t="s">
        <v>2119</v>
      </c>
      <c r="G2210" s="28"/>
      <c r="H2210" s="168" t="s">
        <v>6158</v>
      </c>
      <c r="I2210" s="118"/>
      <c r="J2210" s="214" t="s">
        <v>3691</v>
      </c>
      <c r="K2210" s="10" t="s">
        <v>3685</v>
      </c>
      <c r="N2210" s="37" t="s">
        <v>3781</v>
      </c>
      <c r="P2210" s="37" t="s">
        <v>1482</v>
      </c>
      <c r="Q2210" s="37" t="s">
        <v>1998</v>
      </c>
      <c r="S2210" s="20"/>
      <c r="T2210" s="20"/>
      <c r="U2210" s="22">
        <v>1</v>
      </c>
      <c r="V2210" s="22">
        <v>1</v>
      </c>
      <c r="W2210" s="73">
        <f t="shared" si="102"/>
        <v>2</v>
      </c>
      <c r="X2210" s="80">
        <f t="shared" ref="X2210:X2215" si="103">V2210+X2209</f>
        <v>3965</v>
      </c>
      <c r="Y2210" s="82" t="s">
        <v>3584</v>
      </c>
      <c r="AF2210" s="20"/>
      <c r="AG2210" s="20"/>
      <c r="AH2210" s="20"/>
      <c r="AI2210" s="20"/>
      <c r="AJ2210" s="20"/>
      <c r="AK2210" s="20"/>
    </row>
    <row r="2211" spans="1:37" ht="17.25" customHeight="1" x14ac:dyDescent="0.25">
      <c r="A2211" s="159" t="s">
        <v>5046</v>
      </c>
      <c r="B2211" s="28" t="s">
        <v>2237</v>
      </c>
      <c r="C2211" s="37" t="s">
        <v>6161</v>
      </c>
      <c r="E2211" s="37" t="s">
        <v>2830</v>
      </c>
      <c r="F2211" s="24" t="s">
        <v>2119</v>
      </c>
      <c r="G2211" s="28"/>
      <c r="H2211" s="168" t="s">
        <v>6158</v>
      </c>
      <c r="I2211" s="118"/>
      <c r="J2211" s="214" t="s">
        <v>3691</v>
      </c>
      <c r="K2211" s="10" t="s">
        <v>3685</v>
      </c>
      <c r="N2211" s="37" t="s">
        <v>3781</v>
      </c>
      <c r="P2211" s="37" t="s">
        <v>1482</v>
      </c>
      <c r="Q2211" s="37" t="s">
        <v>1998</v>
      </c>
      <c r="S2211" s="20"/>
      <c r="T2211" s="20"/>
      <c r="U2211" s="22">
        <v>1</v>
      </c>
      <c r="V2211" s="22">
        <v>1</v>
      </c>
      <c r="W2211" s="73">
        <f t="shared" si="102"/>
        <v>3</v>
      </c>
      <c r="X2211" s="80">
        <f t="shared" si="103"/>
        <v>3966</v>
      </c>
      <c r="Y2211" s="82" t="s">
        <v>3584</v>
      </c>
      <c r="AF2211" s="20"/>
      <c r="AG2211" s="20"/>
      <c r="AH2211" s="20"/>
      <c r="AI2211" s="20"/>
      <c r="AJ2211" s="20"/>
      <c r="AK2211" s="20"/>
    </row>
    <row r="2212" spans="1:37" ht="17.25" customHeight="1" x14ac:dyDescent="0.25">
      <c r="A2212" s="159" t="s">
        <v>5025</v>
      </c>
      <c r="B2212" s="28"/>
      <c r="C2212" s="37" t="s">
        <v>6161</v>
      </c>
      <c r="E2212" s="37" t="s">
        <v>2830</v>
      </c>
      <c r="F2212" s="24" t="s">
        <v>2119</v>
      </c>
      <c r="G2212" s="28"/>
      <c r="H2212" s="168" t="s">
        <v>6159</v>
      </c>
      <c r="I2212" s="118"/>
      <c r="J2212" s="214" t="s">
        <v>3691</v>
      </c>
      <c r="K2212" s="10" t="s">
        <v>3685</v>
      </c>
      <c r="N2212" s="37" t="s">
        <v>3781</v>
      </c>
      <c r="P2212" s="37" t="s">
        <v>1482</v>
      </c>
      <c r="Q2212" s="37" t="s">
        <v>1998</v>
      </c>
      <c r="S2212" s="20"/>
      <c r="T2212" s="20"/>
      <c r="U2212" s="22">
        <v>1</v>
      </c>
      <c r="V2212" s="22">
        <v>3</v>
      </c>
      <c r="W2212" s="73">
        <f t="shared" si="102"/>
        <v>6</v>
      </c>
      <c r="X2212" s="80">
        <f t="shared" si="103"/>
        <v>3969</v>
      </c>
      <c r="Y2212" s="82" t="s">
        <v>3584</v>
      </c>
      <c r="AF2212" s="20"/>
      <c r="AG2212" s="20"/>
      <c r="AH2212" s="20"/>
      <c r="AI2212" s="20"/>
      <c r="AJ2212" s="20"/>
      <c r="AK2212" s="20"/>
    </row>
    <row r="2213" spans="1:37" ht="16.5" customHeight="1" x14ac:dyDescent="0.25">
      <c r="A2213" s="159" t="s">
        <v>2238</v>
      </c>
      <c r="B2213" s="28" t="s">
        <v>5047</v>
      </c>
      <c r="C2213" s="37" t="s">
        <v>6161</v>
      </c>
      <c r="E2213" s="37" t="s">
        <v>2830</v>
      </c>
      <c r="F2213" s="24" t="s">
        <v>2119</v>
      </c>
      <c r="G2213" s="28"/>
      <c r="H2213" s="168" t="s">
        <v>6158</v>
      </c>
      <c r="I2213" s="118"/>
      <c r="J2213" s="214" t="s">
        <v>3691</v>
      </c>
      <c r="K2213" s="10" t="s">
        <v>3685</v>
      </c>
      <c r="N2213" s="37" t="s">
        <v>3781</v>
      </c>
      <c r="P2213" s="37" t="s">
        <v>1482</v>
      </c>
      <c r="Q2213" s="37" t="s">
        <v>1998</v>
      </c>
      <c r="S2213" s="20"/>
      <c r="T2213" s="20"/>
      <c r="U2213" s="22">
        <v>1</v>
      </c>
      <c r="V2213" s="22">
        <v>1</v>
      </c>
      <c r="W2213" s="73">
        <f t="shared" si="102"/>
        <v>7</v>
      </c>
      <c r="X2213" s="80">
        <f t="shared" si="103"/>
        <v>3970</v>
      </c>
      <c r="Y2213" s="82" t="s">
        <v>3584</v>
      </c>
      <c r="AF2213" s="20"/>
      <c r="AG2213" s="20"/>
      <c r="AH2213" s="20"/>
      <c r="AI2213" s="20"/>
      <c r="AJ2213" s="20"/>
      <c r="AK2213" s="20"/>
    </row>
    <row r="2214" spans="1:37" ht="15.75" customHeight="1" x14ac:dyDescent="0.25">
      <c r="A2214" s="159" t="s">
        <v>5049</v>
      </c>
      <c r="B2214" s="28" t="s">
        <v>5048</v>
      </c>
      <c r="C2214" s="37" t="s">
        <v>6161</v>
      </c>
      <c r="E2214" s="37" t="s">
        <v>2830</v>
      </c>
      <c r="F2214" s="24" t="s">
        <v>2119</v>
      </c>
      <c r="G2214" s="28"/>
      <c r="H2214" s="168" t="s">
        <v>6158</v>
      </c>
      <c r="I2214" s="118"/>
      <c r="J2214" s="214" t="s">
        <v>3691</v>
      </c>
      <c r="K2214" s="10" t="s">
        <v>3685</v>
      </c>
      <c r="N2214" s="37" t="s">
        <v>3781</v>
      </c>
      <c r="P2214" s="37" t="s">
        <v>1482</v>
      </c>
      <c r="Q2214" s="37" t="s">
        <v>1998</v>
      </c>
      <c r="S2214" s="20"/>
      <c r="T2214" s="20"/>
      <c r="U2214" s="22">
        <v>1</v>
      </c>
      <c r="V2214" s="22">
        <v>1</v>
      </c>
      <c r="W2214" s="73">
        <f t="shared" si="102"/>
        <v>8</v>
      </c>
      <c r="X2214" s="80">
        <f t="shared" si="103"/>
        <v>3971</v>
      </c>
      <c r="Y2214" s="82" t="s">
        <v>3584</v>
      </c>
      <c r="AF2214" s="20"/>
      <c r="AG2214" s="20"/>
      <c r="AH2214" s="20"/>
      <c r="AI2214" s="20"/>
      <c r="AJ2214" s="20"/>
      <c r="AK2214" s="20"/>
    </row>
    <row r="2215" spans="1:37" ht="15.75" customHeight="1" x14ac:dyDescent="0.25">
      <c r="A2215" s="159" t="s">
        <v>6179</v>
      </c>
      <c r="B2215" s="28" t="s">
        <v>6160</v>
      </c>
      <c r="C2215" s="37" t="s">
        <v>6161</v>
      </c>
      <c r="E2215" s="37" t="s">
        <v>2830</v>
      </c>
      <c r="F2215" s="24" t="s">
        <v>6162</v>
      </c>
      <c r="G2215" s="28"/>
      <c r="H2215" s="38" t="s">
        <v>6178</v>
      </c>
      <c r="I2215" s="118"/>
      <c r="J2215" s="214" t="s">
        <v>6176</v>
      </c>
      <c r="N2215" s="37" t="s">
        <v>6177</v>
      </c>
      <c r="Q2215" s="37" t="s">
        <v>1955</v>
      </c>
      <c r="S2215" s="37" t="s">
        <v>3436</v>
      </c>
      <c r="T2215" s="20"/>
      <c r="U2215" s="22">
        <v>1</v>
      </c>
      <c r="V2215" s="22">
        <v>1</v>
      </c>
      <c r="W2215" s="73">
        <f t="shared" si="102"/>
        <v>9</v>
      </c>
      <c r="X2215" s="80">
        <f t="shared" si="103"/>
        <v>3972</v>
      </c>
      <c r="Y2215" s="82" t="s">
        <v>3591</v>
      </c>
      <c r="Z2215" s="24" t="s">
        <v>6230</v>
      </c>
      <c r="AB2215" s="177">
        <v>44495</v>
      </c>
      <c r="AC2215" s="84" t="s">
        <v>5308</v>
      </c>
      <c r="AF2215" s="20"/>
      <c r="AG2215" s="20"/>
      <c r="AH2215" s="20"/>
      <c r="AI2215" s="20"/>
      <c r="AJ2215" s="20"/>
      <c r="AK2215" s="20"/>
    </row>
    <row r="2216" spans="1:37" s="51" customFormat="1" ht="15.45" customHeight="1" x14ac:dyDescent="0.25">
      <c r="A2216" s="45" t="s">
        <v>6163</v>
      </c>
      <c r="B2216" s="50"/>
      <c r="C2216" s="49"/>
      <c r="D2216" s="49"/>
      <c r="E2216" s="49"/>
      <c r="F2216" s="50"/>
      <c r="G2216" s="50"/>
      <c r="H2216" s="64" t="s">
        <v>5174</v>
      </c>
      <c r="I2216" s="119"/>
      <c r="J2216" s="212"/>
      <c r="K2216" s="56"/>
      <c r="L2216" s="100"/>
      <c r="M2216" s="100"/>
      <c r="N2216" s="49"/>
      <c r="O2216" s="49"/>
      <c r="P2216" s="49"/>
      <c r="Q2216" s="49"/>
      <c r="R2216" s="49"/>
      <c r="S2216" s="65"/>
      <c r="T2216" s="65"/>
      <c r="U2216" s="48"/>
      <c r="V2216" s="53"/>
      <c r="W2216" s="74"/>
      <c r="X2216" s="81"/>
      <c r="Y2216" s="132"/>
      <c r="Z2216" s="50"/>
      <c r="AA2216" s="173"/>
      <c r="AB2216" s="173"/>
      <c r="AC2216" s="137"/>
      <c r="AD2216" s="137"/>
      <c r="AE2216" s="83"/>
      <c r="AF2216" s="65"/>
      <c r="AG2216" s="65"/>
      <c r="AH2216" s="65"/>
      <c r="AI2216" s="65"/>
      <c r="AJ2216" s="65"/>
      <c r="AK2216" s="65"/>
    </row>
    <row r="2217" spans="1:37" ht="15.45" customHeight="1" x14ac:dyDescent="0.25">
      <c r="A2217" s="31" t="s">
        <v>4126</v>
      </c>
      <c r="B2217" s="28"/>
      <c r="C2217" s="37" t="s">
        <v>7249</v>
      </c>
      <c r="E2217" s="37" t="s">
        <v>2928</v>
      </c>
      <c r="H2217" s="39" t="s">
        <v>5173</v>
      </c>
      <c r="J2217" s="214" t="s">
        <v>5159</v>
      </c>
      <c r="K2217" s="10" t="s">
        <v>5168</v>
      </c>
      <c r="S2217" s="11"/>
      <c r="T2217" s="11"/>
      <c r="U2217" s="22">
        <v>1</v>
      </c>
      <c r="V2217" s="22">
        <v>1</v>
      </c>
      <c r="W2217" s="73">
        <v>1</v>
      </c>
      <c r="X2217" s="80">
        <f>V2217+X2215</f>
        <v>3973</v>
      </c>
      <c r="Y2217" s="82" t="s">
        <v>3612</v>
      </c>
      <c r="AA2217" s="179"/>
      <c r="AB2217" s="179"/>
      <c r="AF2217" s="11"/>
      <c r="AG2217" s="11"/>
      <c r="AH2217" s="11"/>
      <c r="AI2217" s="11"/>
      <c r="AJ2217" s="11"/>
      <c r="AK2217" s="11"/>
    </row>
    <row r="2218" spans="1:37" ht="15.45" customHeight="1" x14ac:dyDescent="0.25">
      <c r="A2218" s="31" t="s">
        <v>4127</v>
      </c>
      <c r="B2218" s="28"/>
      <c r="C2218" s="37" t="s">
        <v>7249</v>
      </c>
      <c r="E2218" s="37" t="s">
        <v>2928</v>
      </c>
      <c r="H2218" s="39" t="s">
        <v>5173</v>
      </c>
      <c r="J2218" s="214" t="s">
        <v>5159</v>
      </c>
      <c r="K2218" s="10" t="s">
        <v>5168</v>
      </c>
      <c r="S2218" s="11"/>
      <c r="T2218" s="11"/>
      <c r="U2218" s="22">
        <v>2</v>
      </c>
      <c r="V2218" s="22">
        <v>2</v>
      </c>
      <c r="W2218" s="73">
        <f t="shared" ref="W2218:W2226" si="104">W2217+V2218</f>
        <v>3</v>
      </c>
      <c r="X2218" s="80">
        <f t="shared" ref="X2218:X2226" si="105">V2218+X2217</f>
        <v>3975</v>
      </c>
      <c r="Y2218" s="82" t="s">
        <v>3612</v>
      </c>
      <c r="AA2218" s="179"/>
      <c r="AB2218" s="179"/>
      <c r="AF2218" s="11"/>
      <c r="AG2218" s="11"/>
      <c r="AH2218" s="11"/>
      <c r="AI2218" s="11"/>
      <c r="AJ2218" s="11"/>
      <c r="AK2218" s="11"/>
    </row>
    <row r="2219" spans="1:37" ht="15.45" customHeight="1" x14ac:dyDescent="0.25">
      <c r="A2219" s="31" t="s">
        <v>4128</v>
      </c>
      <c r="B2219" s="28"/>
      <c r="C2219" s="37" t="s">
        <v>7249</v>
      </c>
      <c r="E2219" s="37" t="s">
        <v>2928</v>
      </c>
      <c r="H2219" s="39" t="s">
        <v>5173</v>
      </c>
      <c r="J2219" s="214" t="s">
        <v>5159</v>
      </c>
      <c r="K2219" s="10" t="s">
        <v>5168</v>
      </c>
      <c r="S2219" s="11"/>
      <c r="T2219" s="11"/>
      <c r="U2219" s="22">
        <v>1</v>
      </c>
      <c r="V2219" s="22">
        <v>1</v>
      </c>
      <c r="W2219" s="73">
        <f t="shared" si="104"/>
        <v>4</v>
      </c>
      <c r="X2219" s="80">
        <f t="shared" si="105"/>
        <v>3976</v>
      </c>
      <c r="Y2219" s="82" t="s">
        <v>3612</v>
      </c>
      <c r="AA2219" s="179"/>
      <c r="AB2219" s="179"/>
      <c r="AF2219" s="11"/>
      <c r="AG2219" s="11"/>
      <c r="AH2219" s="11"/>
      <c r="AI2219" s="11"/>
      <c r="AJ2219" s="11"/>
      <c r="AK2219" s="11"/>
    </row>
    <row r="2220" spans="1:37" ht="15.45" customHeight="1" x14ac:dyDescent="0.25">
      <c r="A2220" s="31" t="s">
        <v>5596</v>
      </c>
      <c r="B2220" s="28"/>
      <c r="C2220" s="37" t="s">
        <v>7249</v>
      </c>
      <c r="E2220" s="37" t="s">
        <v>2928</v>
      </c>
      <c r="H2220" s="39" t="s">
        <v>5173</v>
      </c>
      <c r="J2220" s="214" t="s">
        <v>5159</v>
      </c>
      <c r="K2220" s="10" t="s">
        <v>5168</v>
      </c>
      <c r="O2220" s="37" t="s">
        <v>5595</v>
      </c>
      <c r="P2220" s="37" t="s">
        <v>146</v>
      </c>
      <c r="Q2220" s="37" t="s">
        <v>1979</v>
      </c>
      <c r="S2220" s="11"/>
      <c r="T2220" s="11"/>
      <c r="U2220" s="22">
        <v>1</v>
      </c>
      <c r="V2220" s="22">
        <v>1</v>
      </c>
      <c r="W2220" s="73">
        <f t="shared" si="104"/>
        <v>5</v>
      </c>
      <c r="X2220" s="80">
        <f t="shared" si="105"/>
        <v>3977</v>
      </c>
      <c r="Y2220" s="82" t="s">
        <v>3612</v>
      </c>
      <c r="AA2220" s="179"/>
      <c r="AB2220" s="179"/>
      <c r="AF2220" s="11"/>
      <c r="AG2220" s="11"/>
      <c r="AH2220" s="11"/>
      <c r="AI2220" s="11"/>
      <c r="AJ2220" s="11"/>
      <c r="AK2220" s="11"/>
    </row>
    <row r="2221" spans="1:37" ht="15.45" customHeight="1" x14ac:dyDescent="0.25">
      <c r="A2221" s="31" t="s">
        <v>4129</v>
      </c>
      <c r="B2221" s="28"/>
      <c r="C2221" s="37" t="s">
        <v>7249</v>
      </c>
      <c r="E2221" s="37" t="s">
        <v>2928</v>
      </c>
      <c r="H2221" s="168" t="s">
        <v>4125</v>
      </c>
      <c r="J2221" s="214" t="s">
        <v>5163</v>
      </c>
      <c r="K2221" s="10" t="s">
        <v>5171</v>
      </c>
      <c r="S2221" s="11"/>
      <c r="T2221" s="11"/>
      <c r="U2221" s="22">
        <v>1</v>
      </c>
      <c r="V2221" s="22">
        <v>1</v>
      </c>
      <c r="W2221" s="73">
        <f t="shared" si="104"/>
        <v>6</v>
      </c>
      <c r="X2221" s="80">
        <f t="shared" si="105"/>
        <v>3978</v>
      </c>
      <c r="Y2221" s="82" t="s">
        <v>3612</v>
      </c>
      <c r="AA2221" s="179"/>
      <c r="AB2221" s="179"/>
      <c r="AF2221" s="11"/>
      <c r="AG2221" s="11"/>
      <c r="AH2221" s="11"/>
      <c r="AI2221" s="11"/>
      <c r="AJ2221" s="11"/>
      <c r="AK2221" s="11"/>
    </row>
    <row r="2222" spans="1:37" ht="15.45" customHeight="1" x14ac:dyDescent="0.25">
      <c r="A2222" s="31" t="s">
        <v>4130</v>
      </c>
      <c r="B2222" s="28"/>
      <c r="C2222" s="37" t="s">
        <v>7249</v>
      </c>
      <c r="E2222" s="37" t="s">
        <v>2928</v>
      </c>
      <c r="H2222" s="168" t="s">
        <v>4125</v>
      </c>
      <c r="J2222" s="214" t="s">
        <v>5169</v>
      </c>
      <c r="K2222" s="10" t="s">
        <v>5147</v>
      </c>
      <c r="S2222" s="11"/>
      <c r="T2222" s="11"/>
      <c r="U2222" s="22">
        <v>2</v>
      </c>
      <c r="V2222" s="22">
        <v>2</v>
      </c>
      <c r="W2222" s="73">
        <f t="shared" si="104"/>
        <v>8</v>
      </c>
      <c r="X2222" s="80">
        <f t="shared" si="105"/>
        <v>3980</v>
      </c>
      <c r="Y2222" s="82" t="s">
        <v>3612</v>
      </c>
      <c r="AA2222" s="179"/>
      <c r="AB2222" s="179"/>
      <c r="AF2222" s="11"/>
      <c r="AG2222" s="11"/>
      <c r="AH2222" s="11"/>
      <c r="AI2222" s="11"/>
      <c r="AJ2222" s="11"/>
      <c r="AK2222" s="11"/>
    </row>
    <row r="2223" spans="1:37" ht="15.45" customHeight="1" x14ac:dyDescent="0.25">
      <c r="A2223" s="31" t="s">
        <v>4131</v>
      </c>
      <c r="B2223" s="28"/>
      <c r="C2223" s="37" t="s">
        <v>7249</v>
      </c>
      <c r="E2223" s="37" t="s">
        <v>2928</v>
      </c>
      <c r="H2223" s="168" t="s">
        <v>4125</v>
      </c>
      <c r="J2223" s="214" t="s">
        <v>5170</v>
      </c>
      <c r="K2223" s="10" t="s">
        <v>5172</v>
      </c>
      <c r="S2223" s="11"/>
      <c r="T2223" s="11"/>
      <c r="U2223" s="22">
        <v>1</v>
      </c>
      <c r="V2223" s="22">
        <v>1</v>
      </c>
      <c r="W2223" s="73">
        <f t="shared" si="104"/>
        <v>9</v>
      </c>
      <c r="X2223" s="80">
        <f t="shared" si="105"/>
        <v>3981</v>
      </c>
      <c r="Y2223" s="82" t="s">
        <v>3612</v>
      </c>
      <c r="AA2223" s="179"/>
      <c r="AB2223" s="179"/>
      <c r="AF2223" s="11"/>
      <c r="AG2223" s="11"/>
      <c r="AH2223" s="11"/>
      <c r="AI2223" s="11"/>
      <c r="AJ2223" s="11"/>
      <c r="AK2223" s="11"/>
    </row>
    <row r="2224" spans="1:37" ht="15.45" customHeight="1" x14ac:dyDescent="0.25">
      <c r="A2224" s="31" t="s">
        <v>5597</v>
      </c>
      <c r="B2224" s="28"/>
      <c r="E2224" s="37" t="s">
        <v>2928</v>
      </c>
      <c r="H2224" s="38" t="s">
        <v>5598</v>
      </c>
      <c r="J2224" s="214" t="s">
        <v>5593</v>
      </c>
      <c r="N2224" s="37" t="s">
        <v>2181</v>
      </c>
      <c r="P2224" s="37" t="s">
        <v>1781</v>
      </c>
      <c r="Q2224" s="37" t="s">
        <v>3506</v>
      </c>
      <c r="S2224" s="168" t="s">
        <v>3436</v>
      </c>
      <c r="T2224" s="11"/>
      <c r="U2224" s="22">
        <v>1</v>
      </c>
      <c r="V2224" s="22">
        <v>1</v>
      </c>
      <c r="W2224" s="73">
        <f t="shared" si="104"/>
        <v>10</v>
      </c>
      <c r="X2224" s="80">
        <f t="shared" si="105"/>
        <v>3982</v>
      </c>
      <c r="Y2224" s="82" t="s">
        <v>4059</v>
      </c>
      <c r="AA2224" s="179"/>
      <c r="AB2224" s="179">
        <v>44326</v>
      </c>
      <c r="AC2224" s="84" t="s">
        <v>5308</v>
      </c>
      <c r="AF2224" s="11"/>
      <c r="AG2224" s="11"/>
      <c r="AH2224" s="11"/>
      <c r="AI2224" s="11"/>
      <c r="AJ2224" s="11"/>
      <c r="AK2224" s="11"/>
    </row>
    <row r="2225" spans="1:68" ht="15.45" customHeight="1" x14ac:dyDescent="0.25">
      <c r="A2225" s="31" t="s">
        <v>5597</v>
      </c>
      <c r="B2225" s="28"/>
      <c r="E2225" s="37" t="s">
        <v>2928</v>
      </c>
      <c r="H2225" s="38" t="s">
        <v>5598</v>
      </c>
      <c r="J2225" s="214" t="s">
        <v>5593</v>
      </c>
      <c r="N2225" s="37" t="s">
        <v>5594</v>
      </c>
      <c r="P2225" s="37" t="s">
        <v>1781</v>
      </c>
      <c r="Q2225" s="37" t="s">
        <v>3506</v>
      </c>
      <c r="S2225" s="168" t="s">
        <v>3436</v>
      </c>
      <c r="T2225" s="11"/>
      <c r="U2225" s="22">
        <v>1</v>
      </c>
      <c r="V2225" s="22">
        <v>1</v>
      </c>
      <c r="W2225" s="73">
        <f t="shared" si="104"/>
        <v>11</v>
      </c>
      <c r="X2225" s="80">
        <f t="shared" si="105"/>
        <v>3983</v>
      </c>
      <c r="Y2225" s="82" t="s">
        <v>4059</v>
      </c>
      <c r="AA2225" s="179"/>
      <c r="AB2225" s="179">
        <v>44326</v>
      </c>
      <c r="AC2225" s="84" t="s">
        <v>5308</v>
      </c>
      <c r="AF2225" s="11"/>
      <c r="AG2225" s="11"/>
      <c r="AH2225" s="11"/>
      <c r="AI2225" s="11"/>
      <c r="AJ2225" s="11"/>
      <c r="AK2225" s="11"/>
    </row>
    <row r="2226" spans="1:68" ht="15.45" customHeight="1" x14ac:dyDescent="0.25">
      <c r="A2226" s="31" t="s">
        <v>5599</v>
      </c>
      <c r="B2226" s="28"/>
      <c r="C2226" s="37" t="s">
        <v>2156</v>
      </c>
      <c r="E2226" s="37" t="s">
        <v>2928</v>
      </c>
      <c r="H2226" s="38" t="s">
        <v>5640</v>
      </c>
      <c r="J2226" s="214" t="s">
        <v>3407</v>
      </c>
      <c r="N2226" s="37" t="s">
        <v>2826</v>
      </c>
      <c r="S2226" s="38" t="s">
        <v>2983</v>
      </c>
      <c r="T2226" s="168" t="s">
        <v>5641</v>
      </c>
      <c r="U2226" s="22">
        <v>3</v>
      </c>
      <c r="V2226" s="22">
        <v>3</v>
      </c>
      <c r="W2226" s="73">
        <f t="shared" si="104"/>
        <v>14</v>
      </c>
      <c r="X2226" s="80">
        <f t="shared" si="105"/>
        <v>3986</v>
      </c>
      <c r="Y2226" s="82" t="s">
        <v>3584</v>
      </c>
      <c r="AA2226" s="179"/>
      <c r="AB2226" s="179">
        <v>44326</v>
      </c>
      <c r="AC2226" s="84" t="s">
        <v>5308</v>
      </c>
      <c r="AF2226" s="11"/>
      <c r="AG2226" s="11"/>
      <c r="AH2226" s="11"/>
      <c r="AI2226" s="11"/>
      <c r="AJ2226" s="11"/>
      <c r="AK2226" s="11"/>
    </row>
    <row r="2227" spans="1:68" s="51" customFormat="1" ht="15.45" customHeight="1" x14ac:dyDescent="0.25">
      <c r="A2227" s="66" t="s">
        <v>2325</v>
      </c>
      <c r="B2227" s="28"/>
      <c r="C2227" s="49"/>
      <c r="D2227" s="49"/>
      <c r="E2227" s="49"/>
      <c r="F2227" s="50"/>
      <c r="G2227" s="50"/>
      <c r="H2227" s="170" t="s">
        <v>4530</v>
      </c>
      <c r="I2227" s="109" t="s">
        <v>5167</v>
      </c>
      <c r="J2227" s="212"/>
      <c r="K2227" s="56"/>
      <c r="L2227" s="100"/>
      <c r="M2227" s="100"/>
      <c r="N2227" s="49"/>
      <c r="O2227" s="49"/>
      <c r="P2227" s="49"/>
      <c r="Q2227" s="49"/>
      <c r="R2227" s="49"/>
      <c r="S2227" s="68"/>
      <c r="T2227" s="68"/>
      <c r="U2227" s="48"/>
      <c r="V2227" s="48"/>
      <c r="W2227" s="74"/>
      <c r="X2227" s="81"/>
      <c r="Y2227" s="132"/>
      <c r="Z2227" s="50"/>
      <c r="AA2227" s="173"/>
      <c r="AB2227" s="173"/>
      <c r="AC2227" s="137"/>
      <c r="AD2227" s="137"/>
      <c r="AE2227" s="83"/>
      <c r="AF2227" s="68"/>
      <c r="AG2227" s="68"/>
      <c r="AH2227" s="68"/>
      <c r="AI2227" s="68"/>
      <c r="AJ2227" s="68"/>
      <c r="AK2227" s="68"/>
    </row>
    <row r="2228" spans="1:68" ht="15.45" customHeight="1" x14ac:dyDescent="0.25">
      <c r="A2228" s="31" t="s">
        <v>4119</v>
      </c>
      <c r="B2228" s="28"/>
      <c r="C2228" s="37" t="s">
        <v>1034</v>
      </c>
      <c r="E2228" s="37" t="s">
        <v>2926</v>
      </c>
      <c r="F2228" s="24" t="s">
        <v>4554</v>
      </c>
      <c r="H2228" s="168" t="s">
        <v>4116</v>
      </c>
      <c r="J2228" s="215" t="s">
        <v>5159</v>
      </c>
      <c r="K2228" s="10" t="s">
        <v>5164</v>
      </c>
      <c r="N2228" s="28" t="s">
        <v>3782</v>
      </c>
      <c r="P2228" s="37" t="s">
        <v>1781</v>
      </c>
      <c r="Q2228" s="37" t="s">
        <v>3506</v>
      </c>
      <c r="S2228" s="168" t="s">
        <v>3436</v>
      </c>
      <c r="T2228" s="168"/>
      <c r="U2228" s="22">
        <v>38</v>
      </c>
      <c r="V2228" s="22">
        <v>38</v>
      </c>
      <c r="W2228" s="73">
        <v>38</v>
      </c>
      <c r="X2228" s="80">
        <f>V2228+X2226</f>
        <v>4024</v>
      </c>
      <c r="Y2228" s="82" t="s">
        <v>3612</v>
      </c>
      <c r="AA2228" s="179"/>
      <c r="AB2228" s="179"/>
      <c r="AE2228" s="24" t="s">
        <v>4143</v>
      </c>
      <c r="AF2228" s="11" t="s">
        <v>2945</v>
      </c>
      <c r="AG2228" s="11"/>
      <c r="AH2228" s="11"/>
      <c r="AI2228" s="11"/>
      <c r="AJ2228" s="11"/>
      <c r="AK2228" s="11"/>
    </row>
    <row r="2229" spans="1:68" ht="15.45" customHeight="1" x14ac:dyDescent="0.25">
      <c r="A2229" s="31" t="s">
        <v>4119</v>
      </c>
      <c r="B2229" s="28"/>
      <c r="C2229" s="37" t="s">
        <v>1034</v>
      </c>
      <c r="E2229" s="37" t="s">
        <v>2926</v>
      </c>
      <c r="F2229" s="24" t="s">
        <v>4554</v>
      </c>
      <c r="H2229" s="168" t="s">
        <v>4124</v>
      </c>
      <c r="J2229" s="215" t="s">
        <v>5160</v>
      </c>
      <c r="K2229" s="10" t="s">
        <v>5165</v>
      </c>
      <c r="N2229" s="28" t="s">
        <v>3782</v>
      </c>
      <c r="P2229" s="37" t="s">
        <v>1781</v>
      </c>
      <c r="Q2229" s="37" t="s">
        <v>3506</v>
      </c>
      <c r="S2229" s="168" t="s">
        <v>3436</v>
      </c>
      <c r="T2229" s="168"/>
      <c r="U2229" s="22">
        <v>1</v>
      </c>
      <c r="V2229" s="22">
        <v>1</v>
      </c>
      <c r="W2229" s="73">
        <f t="shared" ref="W2229:W2234" si="106">W2228+V2229</f>
        <v>39</v>
      </c>
      <c r="X2229" s="80">
        <f t="shared" ref="X2229:X2234" si="107">V2229+X2228</f>
        <v>4025</v>
      </c>
      <c r="Y2229" s="82" t="s">
        <v>3612</v>
      </c>
      <c r="AA2229" s="179"/>
      <c r="AB2229" s="179"/>
      <c r="AF2229" s="11"/>
      <c r="AG2229" s="11"/>
      <c r="AH2229" s="11"/>
      <c r="AI2229" s="11"/>
      <c r="AJ2229" s="11"/>
      <c r="AK2229" s="11"/>
    </row>
    <row r="2230" spans="1:68" ht="15.45" customHeight="1" x14ac:dyDescent="0.25">
      <c r="A2230" s="31" t="s">
        <v>4120</v>
      </c>
      <c r="B2230" s="28"/>
      <c r="C2230" s="37" t="s">
        <v>1034</v>
      </c>
      <c r="E2230" s="37" t="s">
        <v>2926</v>
      </c>
      <c r="F2230" s="24" t="s">
        <v>4554</v>
      </c>
      <c r="H2230" s="168" t="s">
        <v>4117</v>
      </c>
      <c r="J2230" s="215" t="s">
        <v>5161</v>
      </c>
      <c r="K2230" s="10" t="s">
        <v>4046</v>
      </c>
      <c r="N2230" s="28" t="s">
        <v>3782</v>
      </c>
      <c r="P2230" s="37" t="s">
        <v>1781</v>
      </c>
      <c r="Q2230" s="37" t="s">
        <v>3506</v>
      </c>
      <c r="S2230" s="168" t="s">
        <v>2983</v>
      </c>
      <c r="T2230" s="168"/>
      <c r="U2230" s="22">
        <v>32</v>
      </c>
      <c r="V2230" s="22">
        <v>32</v>
      </c>
      <c r="W2230" s="73">
        <f t="shared" si="106"/>
        <v>71</v>
      </c>
      <c r="X2230" s="80">
        <f t="shared" si="107"/>
        <v>4057</v>
      </c>
      <c r="Y2230" s="82" t="s">
        <v>3584</v>
      </c>
      <c r="AA2230" s="179"/>
      <c r="AB2230" s="179"/>
      <c r="AF2230" s="11" t="s">
        <v>2945</v>
      </c>
      <c r="AG2230" s="11"/>
      <c r="AH2230" s="11"/>
      <c r="AI2230" s="11"/>
      <c r="AJ2230" s="11"/>
      <c r="AK2230" s="11"/>
    </row>
    <row r="2231" spans="1:68" ht="15.45" customHeight="1" x14ac:dyDescent="0.25">
      <c r="A2231" s="31" t="s">
        <v>4121</v>
      </c>
      <c r="B2231" s="28"/>
      <c r="C2231" s="37" t="s">
        <v>1034</v>
      </c>
      <c r="E2231" s="37" t="s">
        <v>2926</v>
      </c>
      <c r="F2231" s="24" t="s">
        <v>4554</v>
      </c>
      <c r="H2231" s="168" t="s">
        <v>4118</v>
      </c>
      <c r="J2231" s="215" t="s">
        <v>5162</v>
      </c>
      <c r="K2231" s="10" t="s">
        <v>5081</v>
      </c>
      <c r="N2231" s="28" t="s">
        <v>3782</v>
      </c>
      <c r="P2231" s="37" t="s">
        <v>1781</v>
      </c>
      <c r="Q2231" s="37" t="s">
        <v>3506</v>
      </c>
      <c r="S2231" s="168" t="s">
        <v>2983</v>
      </c>
      <c r="T2231" s="168"/>
      <c r="U2231" s="22">
        <v>7</v>
      </c>
      <c r="V2231" s="22">
        <v>7</v>
      </c>
      <c r="W2231" s="73">
        <f t="shared" si="106"/>
        <v>78</v>
      </c>
      <c r="X2231" s="80">
        <f t="shared" si="107"/>
        <v>4064</v>
      </c>
      <c r="Y2231" s="82" t="s">
        <v>3584</v>
      </c>
      <c r="AA2231" s="179"/>
      <c r="AB2231" s="179"/>
      <c r="AF2231" s="11" t="s">
        <v>2945</v>
      </c>
      <c r="AG2231" s="11"/>
      <c r="AH2231" s="11"/>
      <c r="AI2231" s="11"/>
      <c r="AJ2231" s="11"/>
      <c r="AK2231" s="11"/>
    </row>
    <row r="2232" spans="1:68" ht="15.45" customHeight="1" x14ac:dyDescent="0.25">
      <c r="A2232" s="31" t="s">
        <v>4122</v>
      </c>
      <c r="B2232" s="28"/>
      <c r="C2232" s="37" t="s">
        <v>1034</v>
      </c>
      <c r="E2232" s="37" t="s">
        <v>2926</v>
      </c>
      <c r="F2232" s="24" t="s">
        <v>4554</v>
      </c>
      <c r="H2232" s="168"/>
      <c r="J2232" s="215" t="s">
        <v>5163</v>
      </c>
      <c r="K2232" s="10" t="s">
        <v>5166</v>
      </c>
      <c r="N2232" s="28" t="s">
        <v>3782</v>
      </c>
      <c r="P2232" s="37" t="s">
        <v>1781</v>
      </c>
      <c r="Q2232" s="37" t="s">
        <v>3506</v>
      </c>
      <c r="S2232" s="168" t="s">
        <v>2983</v>
      </c>
      <c r="T2232" s="168" t="s">
        <v>4558</v>
      </c>
      <c r="U2232" s="22">
        <v>200</v>
      </c>
      <c r="V2232" s="22">
        <v>200</v>
      </c>
      <c r="W2232" s="73">
        <f t="shared" si="106"/>
        <v>278</v>
      </c>
      <c r="X2232" s="80">
        <f t="shared" si="107"/>
        <v>4264</v>
      </c>
      <c r="Y2232" s="82" t="s">
        <v>3612</v>
      </c>
      <c r="AA2232" s="179"/>
      <c r="AB2232" s="179"/>
      <c r="AF2232" s="11" t="s">
        <v>2945</v>
      </c>
      <c r="AG2232" s="11"/>
      <c r="AH2232" s="11"/>
      <c r="AI2232" s="11"/>
      <c r="AJ2232" s="11"/>
      <c r="AK2232" s="11"/>
    </row>
    <row r="2233" spans="1:68" ht="15.45" customHeight="1" x14ac:dyDescent="0.25">
      <c r="A2233" s="207" t="s">
        <v>4555</v>
      </c>
      <c r="B2233" s="28" t="s">
        <v>4556</v>
      </c>
      <c r="E2233" s="37" t="s">
        <v>2926</v>
      </c>
      <c r="F2233" s="24" t="s">
        <v>4554</v>
      </c>
      <c r="H2233" s="168" t="s">
        <v>6027</v>
      </c>
      <c r="J2233" s="215">
        <v>1986</v>
      </c>
      <c r="N2233" s="28"/>
      <c r="O2233" s="37" t="s">
        <v>6028</v>
      </c>
      <c r="P2233" s="37" t="s">
        <v>4557</v>
      </c>
      <c r="Q2233" s="37" t="s">
        <v>3506</v>
      </c>
      <c r="S2233" s="168" t="s">
        <v>3412</v>
      </c>
      <c r="T2233" s="168"/>
      <c r="U2233" s="22">
        <v>4</v>
      </c>
      <c r="V2233" s="22">
        <v>4</v>
      </c>
      <c r="W2233" s="73">
        <f t="shared" si="106"/>
        <v>282</v>
      </c>
      <c r="X2233" s="80">
        <f t="shared" si="107"/>
        <v>4268</v>
      </c>
      <c r="Y2233" s="82" t="s">
        <v>3591</v>
      </c>
      <c r="Z2233" s="24" t="s">
        <v>2885</v>
      </c>
      <c r="AA2233" s="179"/>
      <c r="AB2233" s="179">
        <v>43480</v>
      </c>
      <c r="AC2233" s="84" t="s">
        <v>2885</v>
      </c>
      <c r="AF2233" s="11"/>
      <c r="AG2233" s="11"/>
      <c r="AH2233" s="11"/>
      <c r="AI2233" s="11"/>
      <c r="AJ2233" s="11"/>
      <c r="AK2233" s="11"/>
    </row>
    <row r="2234" spans="1:68" ht="15.45" customHeight="1" x14ac:dyDescent="0.25">
      <c r="A2234" s="31" t="s">
        <v>2324</v>
      </c>
      <c r="B2234" s="28"/>
      <c r="C2234" s="37" t="s">
        <v>1034</v>
      </c>
      <c r="E2234" s="37" t="s">
        <v>2926</v>
      </c>
      <c r="F2234" s="24" t="s">
        <v>4554</v>
      </c>
      <c r="H2234" s="168"/>
      <c r="S2234" s="11"/>
      <c r="T2234" s="11"/>
      <c r="U2234" s="22">
        <v>1</v>
      </c>
      <c r="V2234" s="22">
        <v>1</v>
      </c>
      <c r="W2234" s="73">
        <f t="shared" si="106"/>
        <v>283</v>
      </c>
      <c r="X2234" s="80">
        <f t="shared" si="107"/>
        <v>4269</v>
      </c>
      <c r="Y2234" s="82" t="s">
        <v>3612</v>
      </c>
      <c r="AB2234" s="177">
        <v>42819</v>
      </c>
      <c r="AC2234" s="84" t="s">
        <v>2885</v>
      </c>
      <c r="AF2234" s="11"/>
      <c r="AG2234" s="11"/>
      <c r="AH2234" s="11"/>
      <c r="AI2234" s="11"/>
      <c r="AJ2234" s="11"/>
      <c r="AK2234" s="11"/>
    </row>
    <row r="2235" spans="1:68" ht="15.45" customHeight="1" x14ac:dyDescent="0.25">
      <c r="A2235" s="66" t="s">
        <v>6440</v>
      </c>
      <c r="B2235" s="100"/>
      <c r="C2235" s="100"/>
      <c r="D2235" s="100"/>
      <c r="E2235" s="100"/>
      <c r="F2235" s="100"/>
      <c r="G2235" s="100"/>
      <c r="H2235" s="100"/>
      <c r="I2235" s="100"/>
      <c r="J2235" s="224"/>
      <c r="K2235" s="100"/>
      <c r="L2235" s="100"/>
      <c r="M2235" s="100"/>
      <c r="N2235" s="100"/>
      <c r="O2235" s="100"/>
      <c r="P2235" s="100"/>
      <c r="Q2235" s="100"/>
      <c r="R2235" s="100"/>
      <c r="S2235" s="100"/>
      <c r="T2235" s="100"/>
      <c r="U2235" s="100"/>
      <c r="V2235" s="100"/>
      <c r="W2235" s="100"/>
      <c r="X2235" s="100"/>
      <c r="Y2235" s="100"/>
      <c r="Z2235" s="100"/>
      <c r="AA2235" s="100"/>
      <c r="AB2235" s="100"/>
      <c r="AC2235" s="100"/>
      <c r="AD2235" s="100"/>
      <c r="AE2235" s="100"/>
      <c r="AF2235" s="100"/>
      <c r="AG2235" s="100"/>
      <c r="AH2235" s="100"/>
      <c r="AI2235" s="100"/>
      <c r="AJ2235" s="100"/>
      <c r="AK2235" s="100"/>
      <c r="AL2235" s="100"/>
      <c r="AM2235" s="100"/>
      <c r="AN2235" s="100"/>
      <c r="AO2235" s="100"/>
      <c r="AP2235" s="100"/>
      <c r="AQ2235" s="100"/>
      <c r="AR2235" s="100"/>
      <c r="AS2235" s="100"/>
      <c r="AT2235" s="100"/>
      <c r="AU2235" s="100"/>
      <c r="AV2235" s="100"/>
      <c r="AW2235" s="100"/>
      <c r="AX2235" s="100"/>
      <c r="AY2235" s="100"/>
      <c r="AZ2235" s="100"/>
      <c r="BA2235" s="100"/>
      <c r="BB2235" s="100"/>
      <c r="BC2235" s="100"/>
      <c r="BD2235" s="100"/>
      <c r="BE2235" s="100"/>
      <c r="BF2235" s="100"/>
      <c r="BG2235" s="100"/>
      <c r="BH2235" s="100"/>
      <c r="BI2235" s="100"/>
      <c r="BJ2235" s="100"/>
      <c r="BK2235" s="100"/>
      <c r="BL2235" s="100"/>
      <c r="BM2235" s="100"/>
      <c r="BN2235" s="100"/>
      <c r="BO2235" s="100"/>
      <c r="BP2235" s="100"/>
    </row>
    <row r="2236" spans="1:68" ht="15.45" customHeight="1" x14ac:dyDescent="0.25">
      <c r="A2236" s="31" t="s">
        <v>6376</v>
      </c>
      <c r="B2236" s="28"/>
      <c r="E2236" s="37" t="s">
        <v>2926</v>
      </c>
      <c r="F2236" s="24" t="s">
        <v>6356</v>
      </c>
      <c r="H2236" s="38" t="s">
        <v>6373</v>
      </c>
      <c r="J2236" s="215">
        <v>1969</v>
      </c>
      <c r="P2236" s="37" t="s">
        <v>1463</v>
      </c>
      <c r="Q2236" s="37" t="s">
        <v>3506</v>
      </c>
      <c r="S2236" s="168" t="s">
        <v>2983</v>
      </c>
      <c r="T2236" s="168"/>
      <c r="U2236" s="22">
        <v>1</v>
      </c>
      <c r="V2236" s="22">
        <v>30</v>
      </c>
      <c r="W2236" s="73">
        <f t="shared" ref="W2236" si="108">V2236</f>
        <v>30</v>
      </c>
      <c r="X2236" s="80">
        <f>V2236+X2234</f>
        <v>4299</v>
      </c>
      <c r="Y2236" s="82" t="s">
        <v>3591</v>
      </c>
      <c r="AB2236" s="177">
        <v>44530</v>
      </c>
      <c r="AC2236" s="84" t="s">
        <v>5308</v>
      </c>
      <c r="AF2236" s="11"/>
      <c r="AG2236" s="11"/>
      <c r="AH2236" s="11"/>
      <c r="AI2236" s="11"/>
      <c r="AJ2236" s="11"/>
      <c r="AK2236" s="11"/>
    </row>
    <row r="2237" spans="1:68" ht="15.45" customHeight="1" x14ac:dyDescent="0.25">
      <c r="A2237" s="31" t="s">
        <v>6376</v>
      </c>
      <c r="B2237" s="28"/>
      <c r="E2237" s="37" t="s">
        <v>2926</v>
      </c>
      <c r="F2237" s="24" t="s">
        <v>6356</v>
      </c>
      <c r="H2237" s="38" t="s">
        <v>6373</v>
      </c>
      <c r="J2237" s="215">
        <v>1969</v>
      </c>
      <c r="P2237" s="37" t="s">
        <v>1463</v>
      </c>
      <c r="Q2237" s="37" t="s">
        <v>3506</v>
      </c>
      <c r="S2237" s="168" t="s">
        <v>2983</v>
      </c>
      <c r="T2237" s="168"/>
      <c r="U2237" s="22">
        <v>1</v>
      </c>
      <c r="V2237" s="22">
        <v>66</v>
      </c>
      <c r="W2237" s="73">
        <f t="shared" ref="W2237:W2239" si="109">W2236+V2237</f>
        <v>96</v>
      </c>
      <c r="X2237" s="80">
        <f>V2237+X2236</f>
        <v>4365</v>
      </c>
      <c r="Y2237" s="82" t="s">
        <v>3591</v>
      </c>
      <c r="AB2237" s="177">
        <v>44531</v>
      </c>
      <c r="AC2237" s="84" t="s">
        <v>5308</v>
      </c>
      <c r="AF2237" s="11"/>
      <c r="AG2237" s="11"/>
      <c r="AH2237" s="11"/>
      <c r="AI2237" s="11"/>
      <c r="AJ2237" s="11"/>
      <c r="AK2237" s="11"/>
    </row>
    <row r="2238" spans="1:68" ht="15.45" customHeight="1" x14ac:dyDescent="0.25">
      <c r="A2238" s="31" t="s">
        <v>6359</v>
      </c>
      <c r="B2238" s="28"/>
      <c r="E2238" s="37" t="s">
        <v>2926</v>
      </c>
      <c r="F2238" s="24" t="s">
        <v>6356</v>
      </c>
      <c r="H2238" s="38" t="s">
        <v>6357</v>
      </c>
      <c r="J2238" s="215">
        <v>1980</v>
      </c>
      <c r="K2238" s="10" t="s">
        <v>5788</v>
      </c>
      <c r="N2238" s="37" t="s">
        <v>5789</v>
      </c>
      <c r="O2238" s="37" t="s">
        <v>749</v>
      </c>
      <c r="P2238" s="37" t="s">
        <v>1463</v>
      </c>
      <c r="Q2238" s="37" t="s">
        <v>3506</v>
      </c>
      <c r="S2238" s="168" t="s">
        <v>2983</v>
      </c>
      <c r="T2238" s="168" t="s">
        <v>2841</v>
      </c>
      <c r="U2238" s="22">
        <v>1</v>
      </c>
      <c r="V2238" s="22">
        <v>43</v>
      </c>
      <c r="W2238" s="73">
        <f t="shared" si="109"/>
        <v>139</v>
      </c>
      <c r="X2238" s="80">
        <f t="shared" ref="X2238:X2251" si="110">V2238+X2237</f>
        <v>4408</v>
      </c>
      <c r="Y2238" s="82" t="s">
        <v>3591</v>
      </c>
      <c r="Z2238" s="24" t="s">
        <v>5787</v>
      </c>
      <c r="AB2238" s="177">
        <v>42402</v>
      </c>
      <c r="AC2238" s="84" t="s">
        <v>5308</v>
      </c>
      <c r="AF2238" s="11"/>
      <c r="AG2238" s="11"/>
      <c r="AH2238" s="11"/>
      <c r="AI2238" s="11"/>
      <c r="AJ2238" s="11"/>
      <c r="AK2238" s="11"/>
    </row>
    <row r="2239" spans="1:68" ht="15.45" customHeight="1" x14ac:dyDescent="0.25">
      <c r="A2239" s="31" t="s">
        <v>6360</v>
      </c>
      <c r="B2239" s="28"/>
      <c r="E2239" s="37" t="s">
        <v>2926</v>
      </c>
      <c r="F2239" s="24" t="s">
        <v>6356</v>
      </c>
      <c r="H2239" s="38" t="s">
        <v>6357</v>
      </c>
      <c r="J2239" s="215">
        <v>1980</v>
      </c>
      <c r="K2239" s="10" t="s">
        <v>5788</v>
      </c>
      <c r="N2239" s="37" t="s">
        <v>5789</v>
      </c>
      <c r="O2239" s="37" t="s">
        <v>749</v>
      </c>
      <c r="P2239" s="37" t="s">
        <v>1463</v>
      </c>
      <c r="Q2239" s="37" t="s">
        <v>3506</v>
      </c>
      <c r="S2239" s="168" t="s">
        <v>2983</v>
      </c>
      <c r="T2239" s="168" t="s">
        <v>2841</v>
      </c>
      <c r="U2239" s="22">
        <v>1</v>
      </c>
      <c r="V2239" s="22">
        <v>50</v>
      </c>
      <c r="W2239" s="73">
        <f t="shared" si="109"/>
        <v>189</v>
      </c>
      <c r="X2239" s="80">
        <f t="shared" si="110"/>
        <v>4458</v>
      </c>
      <c r="Y2239" s="82" t="s">
        <v>3591</v>
      </c>
      <c r="Z2239" s="24" t="s">
        <v>5787</v>
      </c>
      <c r="AB2239" s="177">
        <v>42402</v>
      </c>
      <c r="AC2239" s="84" t="s">
        <v>5308</v>
      </c>
      <c r="AF2239" s="11"/>
      <c r="AG2239" s="11"/>
      <c r="AH2239" s="11"/>
      <c r="AI2239" s="11"/>
      <c r="AJ2239" s="11"/>
      <c r="AK2239" s="11"/>
    </row>
    <row r="2240" spans="1:68" ht="15.45" customHeight="1" x14ac:dyDescent="0.25">
      <c r="A2240" s="31" t="s">
        <v>6361</v>
      </c>
      <c r="B2240" s="28"/>
      <c r="E2240" s="37" t="s">
        <v>2926</v>
      </c>
      <c r="F2240" s="24" t="s">
        <v>6356</v>
      </c>
      <c r="H2240" s="38" t="s">
        <v>6357</v>
      </c>
      <c r="J2240" s="215">
        <v>1980</v>
      </c>
      <c r="K2240" s="10" t="s">
        <v>5788</v>
      </c>
      <c r="N2240" s="37" t="s">
        <v>5789</v>
      </c>
      <c r="O2240" s="37" t="s">
        <v>749</v>
      </c>
      <c r="P2240" s="37" t="s">
        <v>1463</v>
      </c>
      <c r="Q2240" s="37" t="s">
        <v>3506</v>
      </c>
      <c r="S2240" s="168" t="s">
        <v>2983</v>
      </c>
      <c r="T2240" s="168" t="s">
        <v>2841</v>
      </c>
      <c r="U2240" s="22">
        <v>1</v>
      </c>
      <c r="V2240" s="22">
        <v>66</v>
      </c>
      <c r="W2240" s="73">
        <f t="shared" ref="W2240:W2251" si="111">W2239+V2240</f>
        <v>255</v>
      </c>
      <c r="X2240" s="80">
        <f t="shared" si="110"/>
        <v>4524</v>
      </c>
      <c r="Y2240" s="82" t="s">
        <v>3591</v>
      </c>
      <c r="Z2240" s="24" t="s">
        <v>5787</v>
      </c>
      <c r="AB2240" s="177">
        <v>42402</v>
      </c>
      <c r="AC2240" s="84" t="s">
        <v>5308</v>
      </c>
      <c r="AF2240" s="11"/>
      <c r="AG2240" s="11"/>
      <c r="AH2240" s="11"/>
      <c r="AI2240" s="11"/>
      <c r="AJ2240" s="11"/>
      <c r="AK2240" s="11"/>
    </row>
    <row r="2241" spans="1:37" ht="15.45" customHeight="1" x14ac:dyDescent="0.25">
      <c r="A2241" s="31" t="s">
        <v>6362</v>
      </c>
      <c r="B2241" s="28"/>
      <c r="E2241" s="37" t="s">
        <v>2926</v>
      </c>
      <c r="F2241" s="24" t="s">
        <v>6356</v>
      </c>
      <c r="H2241" s="38" t="s">
        <v>6357</v>
      </c>
      <c r="J2241" s="215">
        <v>1980</v>
      </c>
      <c r="K2241" s="10" t="s">
        <v>5788</v>
      </c>
      <c r="N2241" s="37" t="s">
        <v>5789</v>
      </c>
      <c r="O2241" s="37" t="s">
        <v>749</v>
      </c>
      <c r="P2241" s="37" t="s">
        <v>1463</v>
      </c>
      <c r="Q2241" s="37" t="s">
        <v>3506</v>
      </c>
      <c r="S2241" s="168" t="s">
        <v>2983</v>
      </c>
      <c r="T2241" s="168" t="s">
        <v>2841</v>
      </c>
      <c r="U2241" s="22">
        <v>1</v>
      </c>
      <c r="V2241" s="22">
        <v>58</v>
      </c>
      <c r="W2241" s="73">
        <f t="shared" si="111"/>
        <v>313</v>
      </c>
      <c r="X2241" s="80">
        <f t="shared" si="110"/>
        <v>4582</v>
      </c>
      <c r="Y2241" s="82" t="s">
        <v>3591</v>
      </c>
      <c r="Z2241" s="24" t="s">
        <v>5787</v>
      </c>
      <c r="AB2241" s="177">
        <v>42402</v>
      </c>
      <c r="AC2241" s="84" t="s">
        <v>5308</v>
      </c>
      <c r="AF2241" s="11"/>
      <c r="AG2241" s="11"/>
      <c r="AH2241" s="11"/>
      <c r="AI2241" s="11"/>
      <c r="AJ2241" s="11"/>
      <c r="AK2241" s="11"/>
    </row>
    <row r="2242" spans="1:37" ht="15.45" customHeight="1" x14ac:dyDescent="0.25">
      <c r="A2242" s="31" t="s">
        <v>6363</v>
      </c>
      <c r="B2242" s="28"/>
      <c r="E2242" s="37" t="s">
        <v>2926</v>
      </c>
      <c r="F2242" s="24" t="s">
        <v>6356</v>
      </c>
      <c r="H2242" s="38" t="s">
        <v>6357</v>
      </c>
      <c r="J2242" s="215">
        <v>1980</v>
      </c>
      <c r="K2242" s="10" t="s">
        <v>5788</v>
      </c>
      <c r="N2242" s="37" t="s">
        <v>5789</v>
      </c>
      <c r="O2242" s="37" t="s">
        <v>749</v>
      </c>
      <c r="P2242" s="37" t="s">
        <v>1463</v>
      </c>
      <c r="Q2242" s="37" t="s">
        <v>3506</v>
      </c>
      <c r="S2242" s="168" t="s">
        <v>2983</v>
      </c>
      <c r="T2242" s="168" t="s">
        <v>2841</v>
      </c>
      <c r="U2242" s="22">
        <v>1</v>
      </c>
      <c r="V2242" s="22">
        <v>56</v>
      </c>
      <c r="W2242" s="73">
        <f t="shared" si="111"/>
        <v>369</v>
      </c>
      <c r="X2242" s="80">
        <f t="shared" si="110"/>
        <v>4638</v>
      </c>
      <c r="Y2242" s="82" t="s">
        <v>3591</v>
      </c>
      <c r="Z2242" s="24" t="s">
        <v>5787</v>
      </c>
      <c r="AB2242" s="177">
        <v>42402</v>
      </c>
      <c r="AC2242" s="84" t="s">
        <v>5308</v>
      </c>
      <c r="AF2242" s="11"/>
      <c r="AG2242" s="11"/>
      <c r="AH2242" s="11"/>
      <c r="AI2242" s="11"/>
      <c r="AJ2242" s="11"/>
      <c r="AK2242" s="11"/>
    </row>
    <row r="2243" spans="1:37" ht="15.45" customHeight="1" x14ac:dyDescent="0.25">
      <c r="A2243" s="31" t="s">
        <v>6364</v>
      </c>
      <c r="B2243" s="28"/>
      <c r="E2243" s="37" t="s">
        <v>2926</v>
      </c>
      <c r="F2243" s="24" t="s">
        <v>6356</v>
      </c>
      <c r="H2243" s="38" t="s">
        <v>6357</v>
      </c>
      <c r="J2243" s="215">
        <v>1980</v>
      </c>
      <c r="K2243" s="10" t="s">
        <v>5788</v>
      </c>
      <c r="N2243" s="37" t="s">
        <v>5789</v>
      </c>
      <c r="O2243" s="37" t="s">
        <v>6358</v>
      </c>
      <c r="P2243" s="37" t="s">
        <v>1463</v>
      </c>
      <c r="Q2243" s="37" t="s">
        <v>3506</v>
      </c>
      <c r="S2243" s="168" t="s">
        <v>2983</v>
      </c>
      <c r="T2243" s="168" t="s">
        <v>2841</v>
      </c>
      <c r="U2243" s="22">
        <v>1</v>
      </c>
      <c r="V2243" s="22">
        <v>56</v>
      </c>
      <c r="W2243" s="73">
        <f t="shared" si="111"/>
        <v>425</v>
      </c>
      <c r="X2243" s="80">
        <f t="shared" si="110"/>
        <v>4694</v>
      </c>
      <c r="Y2243" s="82" t="s">
        <v>3591</v>
      </c>
      <c r="Z2243" s="24" t="s">
        <v>5787</v>
      </c>
      <c r="AB2243" s="177">
        <v>42402</v>
      </c>
      <c r="AC2243" s="84" t="s">
        <v>5308</v>
      </c>
      <c r="AF2243" s="11"/>
      <c r="AG2243" s="11"/>
      <c r="AH2243" s="11"/>
      <c r="AI2243" s="11"/>
      <c r="AJ2243" s="11"/>
      <c r="AK2243" s="11"/>
    </row>
    <row r="2244" spans="1:37" ht="15.45" customHeight="1" x14ac:dyDescent="0.25">
      <c r="A2244" s="31" t="s">
        <v>6365</v>
      </c>
      <c r="B2244" s="28"/>
      <c r="E2244" s="37" t="s">
        <v>2926</v>
      </c>
      <c r="F2244" s="24" t="s">
        <v>6356</v>
      </c>
      <c r="H2244" s="38" t="s">
        <v>6357</v>
      </c>
      <c r="J2244" s="215">
        <v>1980</v>
      </c>
      <c r="K2244" s="10" t="s">
        <v>5788</v>
      </c>
      <c r="N2244" s="37" t="s">
        <v>5789</v>
      </c>
      <c r="O2244" s="37" t="s">
        <v>6366</v>
      </c>
      <c r="P2244" s="37" t="s">
        <v>1463</v>
      </c>
      <c r="Q2244" s="37" t="s">
        <v>3506</v>
      </c>
      <c r="S2244" s="168" t="s">
        <v>2983</v>
      </c>
      <c r="T2244" s="168" t="s">
        <v>2841</v>
      </c>
      <c r="U2244" s="22">
        <v>1</v>
      </c>
      <c r="V2244" s="22">
        <v>56</v>
      </c>
      <c r="W2244" s="73">
        <f t="shared" si="111"/>
        <v>481</v>
      </c>
      <c r="X2244" s="80">
        <f t="shared" si="110"/>
        <v>4750</v>
      </c>
      <c r="Y2244" s="82" t="s">
        <v>3591</v>
      </c>
      <c r="Z2244" s="24" t="s">
        <v>5787</v>
      </c>
      <c r="AB2244" s="177">
        <v>42402</v>
      </c>
      <c r="AC2244" s="84" t="s">
        <v>5308</v>
      </c>
      <c r="AF2244" s="11"/>
      <c r="AG2244" s="11"/>
      <c r="AH2244" s="11"/>
      <c r="AI2244" s="11"/>
      <c r="AJ2244" s="11"/>
      <c r="AK2244" s="11"/>
    </row>
    <row r="2245" spans="1:37" ht="15.45" customHeight="1" x14ac:dyDescent="0.25">
      <c r="A2245" s="31" t="s">
        <v>6367</v>
      </c>
      <c r="B2245" s="28"/>
      <c r="E2245" s="37" t="s">
        <v>2926</v>
      </c>
      <c r="F2245" s="24" t="s">
        <v>6356</v>
      </c>
      <c r="H2245" s="38" t="s">
        <v>6357</v>
      </c>
      <c r="J2245" s="215">
        <v>1980</v>
      </c>
      <c r="K2245" s="10" t="s">
        <v>5788</v>
      </c>
      <c r="N2245" s="37" t="s">
        <v>5789</v>
      </c>
      <c r="O2245" s="37" t="s">
        <v>6368</v>
      </c>
      <c r="P2245" s="37" t="s">
        <v>1463</v>
      </c>
      <c r="Q2245" s="37" t="s">
        <v>3506</v>
      </c>
      <c r="S2245" s="168" t="s">
        <v>2983</v>
      </c>
      <c r="T2245" s="168" t="s">
        <v>2841</v>
      </c>
      <c r="U2245" s="22">
        <v>1</v>
      </c>
      <c r="V2245" s="22">
        <v>76</v>
      </c>
      <c r="W2245" s="73">
        <f t="shared" si="111"/>
        <v>557</v>
      </c>
      <c r="X2245" s="80">
        <f t="shared" si="110"/>
        <v>4826</v>
      </c>
      <c r="Y2245" s="82" t="s">
        <v>3591</v>
      </c>
      <c r="Z2245" s="24" t="s">
        <v>5787</v>
      </c>
      <c r="AB2245" s="177">
        <v>42402</v>
      </c>
      <c r="AC2245" s="84" t="s">
        <v>5308</v>
      </c>
      <c r="AF2245" s="11"/>
      <c r="AG2245" s="11"/>
      <c r="AH2245" s="11"/>
      <c r="AI2245" s="11"/>
      <c r="AJ2245" s="11"/>
      <c r="AK2245" s="11"/>
    </row>
    <row r="2246" spans="1:37" ht="15.45" customHeight="1" x14ac:dyDescent="0.25">
      <c r="A2246" s="31" t="s">
        <v>6369</v>
      </c>
      <c r="B2246" s="28"/>
      <c r="E2246" s="37" t="s">
        <v>2926</v>
      </c>
      <c r="F2246" s="24" t="s">
        <v>6356</v>
      </c>
      <c r="H2246" s="38" t="s">
        <v>6357</v>
      </c>
      <c r="J2246" s="215">
        <v>1980</v>
      </c>
      <c r="K2246" s="10" t="s">
        <v>5788</v>
      </c>
      <c r="N2246" s="37" t="s">
        <v>5789</v>
      </c>
      <c r="O2246" s="37" t="s">
        <v>6368</v>
      </c>
      <c r="P2246" s="37" t="s">
        <v>1463</v>
      </c>
      <c r="Q2246" s="37" t="s">
        <v>3506</v>
      </c>
      <c r="S2246" s="168" t="s">
        <v>2983</v>
      </c>
      <c r="T2246" s="168" t="s">
        <v>2841</v>
      </c>
      <c r="U2246" s="22">
        <v>1</v>
      </c>
      <c r="V2246" s="22">
        <v>67</v>
      </c>
      <c r="W2246" s="73">
        <f t="shared" si="111"/>
        <v>624</v>
      </c>
      <c r="X2246" s="80">
        <f t="shared" si="110"/>
        <v>4893</v>
      </c>
      <c r="Y2246" s="82" t="s">
        <v>3591</v>
      </c>
      <c r="Z2246" s="24" t="s">
        <v>5787</v>
      </c>
      <c r="AB2246" s="177">
        <v>42402</v>
      </c>
      <c r="AC2246" s="84" t="s">
        <v>5308</v>
      </c>
      <c r="AF2246" s="11"/>
      <c r="AG2246" s="11"/>
      <c r="AH2246" s="11"/>
      <c r="AI2246" s="11"/>
      <c r="AJ2246" s="11"/>
      <c r="AK2246" s="11"/>
    </row>
    <row r="2247" spans="1:37" ht="15.45" customHeight="1" x14ac:dyDescent="0.25">
      <c r="A2247" s="31" t="s">
        <v>6370</v>
      </c>
      <c r="B2247" s="28"/>
      <c r="E2247" s="37" t="s">
        <v>2926</v>
      </c>
      <c r="F2247" s="24" t="s">
        <v>6356</v>
      </c>
      <c r="H2247" s="38" t="s">
        <v>6357</v>
      </c>
      <c r="J2247" s="215">
        <v>1980</v>
      </c>
      <c r="K2247" s="10" t="s">
        <v>5788</v>
      </c>
      <c r="N2247" s="37" t="s">
        <v>5789</v>
      </c>
      <c r="O2247" s="37" t="s">
        <v>6368</v>
      </c>
      <c r="P2247" s="37" t="s">
        <v>1463</v>
      </c>
      <c r="Q2247" s="37" t="s">
        <v>3506</v>
      </c>
      <c r="S2247" s="168" t="s">
        <v>2983</v>
      </c>
      <c r="T2247" s="168" t="s">
        <v>2841</v>
      </c>
      <c r="U2247" s="22">
        <v>1</v>
      </c>
      <c r="V2247" s="22">
        <v>64</v>
      </c>
      <c r="W2247" s="73">
        <f t="shared" si="111"/>
        <v>688</v>
      </c>
      <c r="X2247" s="80">
        <f t="shared" si="110"/>
        <v>4957</v>
      </c>
      <c r="Y2247" s="82" t="s">
        <v>3591</v>
      </c>
      <c r="Z2247" s="24" t="s">
        <v>5787</v>
      </c>
      <c r="AB2247" s="177">
        <v>42402</v>
      </c>
      <c r="AC2247" s="84" t="s">
        <v>5308</v>
      </c>
      <c r="AF2247" s="11"/>
      <c r="AG2247" s="11"/>
      <c r="AH2247" s="11"/>
      <c r="AI2247" s="11"/>
      <c r="AJ2247" s="11"/>
      <c r="AK2247" s="11"/>
    </row>
    <row r="2248" spans="1:37" ht="15.45" customHeight="1" x14ac:dyDescent="0.25">
      <c r="A2248" s="31" t="s">
        <v>6371</v>
      </c>
      <c r="B2248" s="28"/>
      <c r="E2248" s="37" t="s">
        <v>2926</v>
      </c>
      <c r="F2248" s="24" t="s">
        <v>6356</v>
      </c>
      <c r="H2248" s="38" t="s">
        <v>6357</v>
      </c>
      <c r="J2248" s="215">
        <v>1980</v>
      </c>
      <c r="K2248" s="10" t="s">
        <v>5788</v>
      </c>
      <c r="N2248" s="37" t="s">
        <v>5789</v>
      </c>
      <c r="O2248" s="37" t="s">
        <v>6368</v>
      </c>
      <c r="P2248" s="37" t="s">
        <v>1463</v>
      </c>
      <c r="Q2248" s="37" t="s">
        <v>3506</v>
      </c>
      <c r="S2248" s="168" t="s">
        <v>2983</v>
      </c>
      <c r="T2248" s="168" t="s">
        <v>2841</v>
      </c>
      <c r="U2248" s="22">
        <v>1</v>
      </c>
      <c r="V2248" s="22">
        <v>59</v>
      </c>
      <c r="W2248" s="73">
        <f t="shared" si="111"/>
        <v>747</v>
      </c>
      <c r="X2248" s="80">
        <f t="shared" si="110"/>
        <v>5016</v>
      </c>
      <c r="Y2248" s="82" t="s">
        <v>3591</v>
      </c>
      <c r="Z2248" s="24" t="s">
        <v>5787</v>
      </c>
      <c r="AB2248" s="177">
        <v>42402</v>
      </c>
      <c r="AC2248" s="84" t="s">
        <v>5308</v>
      </c>
      <c r="AF2248" s="11"/>
      <c r="AG2248" s="11"/>
      <c r="AH2248" s="11"/>
      <c r="AI2248" s="11"/>
      <c r="AJ2248" s="11"/>
      <c r="AK2248" s="11"/>
    </row>
    <row r="2249" spans="1:37" ht="15.45" customHeight="1" x14ac:dyDescent="0.25">
      <c r="A2249" s="31" t="s">
        <v>6372</v>
      </c>
      <c r="B2249" s="28"/>
      <c r="E2249" s="37" t="s">
        <v>2926</v>
      </c>
      <c r="F2249" s="24" t="s">
        <v>6356</v>
      </c>
      <c r="H2249" s="38" t="s">
        <v>6357</v>
      </c>
      <c r="J2249" s="215">
        <v>1980</v>
      </c>
      <c r="K2249" s="10" t="s">
        <v>5788</v>
      </c>
      <c r="N2249" s="37" t="s">
        <v>5789</v>
      </c>
      <c r="O2249" s="37" t="s">
        <v>6368</v>
      </c>
      <c r="P2249" s="37" t="s">
        <v>1463</v>
      </c>
      <c r="Q2249" s="37" t="s">
        <v>3506</v>
      </c>
      <c r="S2249" s="168" t="s">
        <v>2983</v>
      </c>
      <c r="T2249" s="168" t="s">
        <v>2841</v>
      </c>
      <c r="U2249" s="22">
        <v>1</v>
      </c>
      <c r="V2249" s="22">
        <v>58</v>
      </c>
      <c r="W2249" s="73">
        <f t="shared" si="111"/>
        <v>805</v>
      </c>
      <c r="X2249" s="80">
        <f t="shared" si="110"/>
        <v>5074</v>
      </c>
      <c r="Y2249" s="82" t="s">
        <v>3591</v>
      </c>
      <c r="Z2249" s="24" t="s">
        <v>5787</v>
      </c>
      <c r="AB2249" s="177">
        <v>42402</v>
      </c>
      <c r="AC2249" s="84" t="s">
        <v>5308</v>
      </c>
      <c r="AF2249" s="11"/>
      <c r="AG2249" s="11"/>
      <c r="AH2249" s="11"/>
      <c r="AI2249" s="11"/>
      <c r="AJ2249" s="11"/>
      <c r="AK2249" s="11"/>
    </row>
    <row r="2250" spans="1:37" ht="15.45" customHeight="1" x14ac:dyDescent="0.25">
      <c r="A2250" s="31" t="s">
        <v>6441</v>
      </c>
      <c r="B2250" s="28"/>
      <c r="E2250" s="37" t="s">
        <v>2927</v>
      </c>
      <c r="H2250" s="38" t="s">
        <v>6444</v>
      </c>
      <c r="I2250" s="111" t="s">
        <v>6442</v>
      </c>
      <c r="J2250" s="215">
        <v>1985</v>
      </c>
      <c r="N2250" s="37" t="s">
        <v>6443</v>
      </c>
      <c r="P2250" s="37" t="s">
        <v>1463</v>
      </c>
      <c r="Q2250" s="37" t="s">
        <v>3506</v>
      </c>
      <c r="S2250" s="38" t="s">
        <v>3412</v>
      </c>
      <c r="T2250" s="38"/>
      <c r="U2250" s="22">
        <v>1</v>
      </c>
      <c r="V2250" s="22">
        <v>1</v>
      </c>
      <c r="W2250" s="73">
        <f t="shared" si="111"/>
        <v>806</v>
      </c>
      <c r="X2250" s="80">
        <f t="shared" si="110"/>
        <v>5075</v>
      </c>
      <c r="Y2250" s="82" t="s">
        <v>3591</v>
      </c>
      <c r="Z2250" s="24" t="s">
        <v>2885</v>
      </c>
      <c r="AB2250" s="177">
        <v>42797</v>
      </c>
      <c r="AC2250" s="84" t="s">
        <v>5308</v>
      </c>
      <c r="AF2250" s="11"/>
      <c r="AG2250" s="11"/>
      <c r="AH2250" s="11"/>
      <c r="AI2250" s="11"/>
      <c r="AJ2250" s="11"/>
      <c r="AK2250" s="11"/>
    </row>
    <row r="2251" spans="1:37" ht="15.45" customHeight="1" x14ac:dyDescent="0.25">
      <c r="A2251" s="29" t="s">
        <v>3518</v>
      </c>
      <c r="B2251" s="24" t="s">
        <v>3520</v>
      </c>
      <c r="C2251" s="37" t="s">
        <v>2849</v>
      </c>
      <c r="E2251" s="37" t="s">
        <v>2928</v>
      </c>
      <c r="F2251" s="24" t="s">
        <v>4944</v>
      </c>
      <c r="H2251" s="38" t="s">
        <v>3517</v>
      </c>
      <c r="I2251" s="111" t="s">
        <v>3521</v>
      </c>
      <c r="J2251" s="214" t="s">
        <v>3519</v>
      </c>
      <c r="L2251" s="102">
        <v>1851</v>
      </c>
      <c r="S2251" s="10" t="s">
        <v>2850</v>
      </c>
      <c r="U2251" s="22">
        <v>1</v>
      </c>
      <c r="V2251" s="22">
        <v>1</v>
      </c>
      <c r="W2251" s="73">
        <f t="shared" si="111"/>
        <v>807</v>
      </c>
      <c r="X2251" s="80">
        <f t="shared" si="110"/>
        <v>5076</v>
      </c>
      <c r="Y2251" s="82" t="s">
        <v>3584</v>
      </c>
      <c r="AI2251" s="10" t="s">
        <v>2851</v>
      </c>
    </row>
    <row r="2252" spans="1:37" s="51" customFormat="1" ht="15.45" customHeight="1" x14ac:dyDescent="0.25">
      <c r="A2252" s="66" t="s">
        <v>2147</v>
      </c>
      <c r="B2252" s="49"/>
      <c r="C2252" s="49"/>
      <c r="D2252" s="49"/>
      <c r="E2252" s="49"/>
      <c r="F2252" s="50"/>
      <c r="G2252" s="50"/>
      <c r="H2252" s="67"/>
      <c r="I2252" s="109"/>
      <c r="J2252" s="212"/>
      <c r="K2252" s="56"/>
      <c r="L2252" s="100"/>
      <c r="M2252" s="100"/>
      <c r="N2252" s="49"/>
      <c r="O2252" s="49"/>
      <c r="P2252" s="49"/>
      <c r="Q2252" s="49"/>
      <c r="R2252" s="49"/>
      <c r="S2252" s="68"/>
      <c r="T2252" s="68"/>
      <c r="U2252" s="48"/>
      <c r="V2252" s="48"/>
      <c r="W2252" s="74"/>
      <c r="X2252" s="81"/>
      <c r="Y2252" s="132"/>
      <c r="Z2252" s="50"/>
      <c r="AA2252" s="173"/>
      <c r="AB2252" s="173"/>
      <c r="AC2252" s="137"/>
      <c r="AD2252" s="137"/>
      <c r="AE2252" s="83"/>
      <c r="AF2252" s="68"/>
      <c r="AG2252" s="68"/>
      <c r="AH2252" s="68"/>
      <c r="AI2252" s="68"/>
      <c r="AJ2252" s="68"/>
      <c r="AK2252" s="68"/>
    </row>
    <row r="2253" spans="1:37" ht="15.45" customHeight="1" x14ac:dyDescent="0.25">
      <c r="A2253" s="29" t="s">
        <v>4531</v>
      </c>
      <c r="B2253" s="28"/>
      <c r="C2253" s="37" t="s">
        <v>2219</v>
      </c>
      <c r="E2253" s="37" t="s">
        <v>2831</v>
      </c>
      <c r="F2253" s="24" t="s">
        <v>2141</v>
      </c>
      <c r="H2253" s="38" t="s">
        <v>4211</v>
      </c>
      <c r="J2253" s="215">
        <v>1875</v>
      </c>
      <c r="Q2253" s="37" t="s">
        <v>1998</v>
      </c>
      <c r="S2253" s="10" t="s">
        <v>3412</v>
      </c>
      <c r="U2253" s="21">
        <v>1</v>
      </c>
      <c r="V2253" s="21">
        <v>9</v>
      </c>
      <c r="W2253" s="73">
        <v>9</v>
      </c>
      <c r="X2253" s="80">
        <f>V2253+X2251</f>
        <v>5085</v>
      </c>
      <c r="Y2253" s="82" t="s">
        <v>3584</v>
      </c>
    </row>
    <row r="2254" spans="1:37" ht="15.45" customHeight="1" x14ac:dyDescent="0.25">
      <c r="A2254" s="29" t="s">
        <v>4132</v>
      </c>
      <c r="B2254" s="28"/>
      <c r="C2254" s="37" t="s">
        <v>2219</v>
      </c>
      <c r="E2254" s="37" t="s">
        <v>2831</v>
      </c>
      <c r="F2254" s="24" t="s">
        <v>2141</v>
      </c>
      <c r="H2254" s="38" t="s">
        <v>6766</v>
      </c>
      <c r="J2254" s="214" t="s">
        <v>4065</v>
      </c>
      <c r="K2254" s="10" t="s">
        <v>4066</v>
      </c>
      <c r="N2254" s="37" t="s">
        <v>6765</v>
      </c>
      <c r="P2254" s="37" t="s">
        <v>1918</v>
      </c>
      <c r="Q2254" s="37" t="s">
        <v>3777</v>
      </c>
      <c r="S2254" s="10" t="s">
        <v>3412</v>
      </c>
      <c r="U2254" s="21">
        <v>1</v>
      </c>
      <c r="V2254" s="21">
        <v>21</v>
      </c>
      <c r="W2254" s="73">
        <f t="shared" ref="W2254:W2286" si="112">W2253+V2254</f>
        <v>30</v>
      </c>
      <c r="X2254" s="80">
        <f t="shared" ref="X2254:X2286" si="113">V2254+X2253</f>
        <v>5106</v>
      </c>
      <c r="Y2254" s="82" t="s">
        <v>3584</v>
      </c>
    </row>
    <row r="2255" spans="1:37" ht="15.45" customHeight="1" x14ac:dyDescent="0.25">
      <c r="A2255" s="29" t="s">
        <v>4139</v>
      </c>
      <c r="B2255" s="28"/>
      <c r="C2255" s="37" t="s">
        <v>2219</v>
      </c>
      <c r="E2255" s="37" t="s">
        <v>2831</v>
      </c>
      <c r="F2255" s="24" t="s">
        <v>2141</v>
      </c>
      <c r="H2255" s="38" t="s">
        <v>7251</v>
      </c>
      <c r="J2255" s="215">
        <v>1890</v>
      </c>
      <c r="P2255" s="37" t="s">
        <v>4137</v>
      </c>
      <c r="Q2255" s="37" t="s">
        <v>1979</v>
      </c>
      <c r="S2255" s="10" t="s">
        <v>3412</v>
      </c>
      <c r="U2255" s="21">
        <v>1</v>
      </c>
      <c r="V2255" s="21">
        <v>1</v>
      </c>
      <c r="W2255" s="73">
        <f t="shared" si="112"/>
        <v>31</v>
      </c>
      <c r="X2255" s="80">
        <f t="shared" si="113"/>
        <v>5107</v>
      </c>
      <c r="Y2255" s="82" t="s">
        <v>3584</v>
      </c>
    </row>
    <row r="2256" spans="1:37" ht="15.45" customHeight="1" x14ac:dyDescent="0.25">
      <c r="A2256" s="29" t="s">
        <v>4133</v>
      </c>
      <c r="B2256" s="28"/>
      <c r="C2256" s="37" t="s">
        <v>2219</v>
      </c>
      <c r="E2256" s="37" t="s">
        <v>2831</v>
      </c>
      <c r="F2256" s="24" t="s">
        <v>2141</v>
      </c>
      <c r="H2256" s="38" t="s">
        <v>4210</v>
      </c>
      <c r="J2256" s="214" t="s">
        <v>4065</v>
      </c>
      <c r="K2256" s="10" t="s">
        <v>4066</v>
      </c>
      <c r="P2256" s="37" t="s">
        <v>1918</v>
      </c>
      <c r="Q2256" s="37" t="s">
        <v>3777</v>
      </c>
      <c r="S2256" s="10" t="s">
        <v>3412</v>
      </c>
      <c r="U2256" s="21">
        <v>1</v>
      </c>
      <c r="V2256" s="21">
        <v>3</v>
      </c>
      <c r="W2256" s="73">
        <f t="shared" si="112"/>
        <v>34</v>
      </c>
      <c r="X2256" s="80">
        <f t="shared" si="113"/>
        <v>5110</v>
      </c>
      <c r="Y2256" s="82" t="s">
        <v>3584</v>
      </c>
    </row>
    <row r="2257" spans="1:35" ht="15.45" customHeight="1" x14ac:dyDescent="0.25">
      <c r="A2257" s="29" t="s">
        <v>4134</v>
      </c>
      <c r="B2257" s="28"/>
      <c r="C2257" s="37" t="s">
        <v>2219</v>
      </c>
      <c r="E2257" s="37" t="s">
        <v>2831</v>
      </c>
      <c r="F2257" s="24" t="s">
        <v>2141</v>
      </c>
      <c r="H2257" s="38" t="s">
        <v>4209</v>
      </c>
      <c r="J2257" s="214" t="s">
        <v>4065</v>
      </c>
      <c r="K2257" s="10" t="s">
        <v>4066</v>
      </c>
      <c r="P2257" s="37" t="s">
        <v>1918</v>
      </c>
      <c r="Q2257" s="37" t="s">
        <v>3777</v>
      </c>
      <c r="S2257" s="10" t="s">
        <v>3412</v>
      </c>
      <c r="U2257" s="21">
        <v>1</v>
      </c>
      <c r="V2257" s="21">
        <v>2</v>
      </c>
      <c r="W2257" s="73">
        <f t="shared" si="112"/>
        <v>36</v>
      </c>
      <c r="X2257" s="80">
        <f t="shared" si="113"/>
        <v>5112</v>
      </c>
      <c r="Y2257" s="82" t="s">
        <v>3584</v>
      </c>
    </row>
    <row r="2258" spans="1:35" ht="15.45" customHeight="1" x14ac:dyDescent="0.25">
      <c r="A2258" s="29" t="s">
        <v>4138</v>
      </c>
      <c r="B2258" s="28"/>
      <c r="C2258" s="37" t="s">
        <v>2219</v>
      </c>
      <c r="E2258" s="37" t="s">
        <v>2831</v>
      </c>
      <c r="F2258" s="24" t="s">
        <v>2141</v>
      </c>
      <c r="H2258" s="38" t="s">
        <v>7250</v>
      </c>
      <c r="J2258" s="215">
        <v>1950</v>
      </c>
      <c r="K2258" s="10" t="s">
        <v>4135</v>
      </c>
      <c r="P2258" s="37" t="s">
        <v>4137</v>
      </c>
      <c r="Q2258" s="37" t="s">
        <v>1979</v>
      </c>
      <c r="S2258" s="10" t="s">
        <v>3412</v>
      </c>
      <c r="U2258" s="21">
        <v>1</v>
      </c>
      <c r="V2258" s="21">
        <v>1</v>
      </c>
      <c r="W2258" s="73">
        <f t="shared" si="112"/>
        <v>37</v>
      </c>
      <c r="X2258" s="80">
        <f t="shared" si="113"/>
        <v>5113</v>
      </c>
      <c r="Y2258" s="82" t="s">
        <v>3584</v>
      </c>
    </row>
    <row r="2259" spans="1:35" ht="15.45" customHeight="1" x14ac:dyDescent="0.25">
      <c r="A2259" s="29" t="s">
        <v>4136</v>
      </c>
      <c r="B2259" s="28"/>
      <c r="C2259" s="37" t="s">
        <v>2219</v>
      </c>
      <c r="E2259" s="37" t="s">
        <v>2831</v>
      </c>
      <c r="F2259" s="24" t="s">
        <v>2141</v>
      </c>
      <c r="H2259" s="38" t="s">
        <v>2498</v>
      </c>
      <c r="J2259" s="215">
        <v>1950</v>
      </c>
      <c r="K2259" s="10" t="s">
        <v>4135</v>
      </c>
      <c r="Q2259" s="37" t="s">
        <v>1979</v>
      </c>
      <c r="S2259" s="10" t="s">
        <v>3412</v>
      </c>
      <c r="U2259" s="21">
        <v>1</v>
      </c>
      <c r="V2259" s="21">
        <v>1</v>
      </c>
      <c r="W2259" s="73">
        <f t="shared" si="112"/>
        <v>38</v>
      </c>
      <c r="X2259" s="80">
        <f t="shared" si="113"/>
        <v>5114</v>
      </c>
      <c r="Y2259" s="82" t="s">
        <v>3584</v>
      </c>
      <c r="AI2259" s="10" t="s">
        <v>2499</v>
      </c>
    </row>
    <row r="2260" spans="1:35" ht="15.45" customHeight="1" x14ac:dyDescent="0.25">
      <c r="A2260" s="29" t="s">
        <v>4140</v>
      </c>
      <c r="B2260" s="28"/>
      <c r="C2260" s="37" t="s">
        <v>2219</v>
      </c>
      <c r="E2260" s="37" t="s">
        <v>2831</v>
      </c>
      <c r="F2260" s="24" t="s">
        <v>2141</v>
      </c>
      <c r="H2260" s="38" t="s">
        <v>2497</v>
      </c>
      <c r="J2260" s="215">
        <v>1950</v>
      </c>
      <c r="K2260" s="10" t="s">
        <v>4135</v>
      </c>
      <c r="P2260" s="37" t="s">
        <v>4137</v>
      </c>
      <c r="Q2260" s="37" t="s">
        <v>1979</v>
      </c>
      <c r="S2260" s="10" t="s">
        <v>3412</v>
      </c>
      <c r="U2260" s="22">
        <v>1</v>
      </c>
      <c r="V2260" s="22">
        <v>1</v>
      </c>
      <c r="W2260" s="73">
        <f t="shared" si="112"/>
        <v>39</v>
      </c>
      <c r="X2260" s="80">
        <f t="shared" si="113"/>
        <v>5115</v>
      </c>
      <c r="Y2260" s="82" t="s">
        <v>3584</v>
      </c>
    </row>
    <row r="2261" spans="1:35" ht="15.45" customHeight="1" x14ac:dyDescent="0.25">
      <c r="A2261" s="29" t="s">
        <v>4936</v>
      </c>
      <c r="B2261" s="28"/>
      <c r="C2261" s="37" t="s">
        <v>2219</v>
      </c>
      <c r="E2261" s="37" t="s">
        <v>2831</v>
      </c>
      <c r="F2261" s="24" t="s">
        <v>2141</v>
      </c>
      <c r="H2261" s="38" t="s">
        <v>2495</v>
      </c>
      <c r="J2261" s="214" t="s">
        <v>3407</v>
      </c>
      <c r="S2261" s="10" t="s">
        <v>2390</v>
      </c>
      <c r="U2261" s="21">
        <v>1</v>
      </c>
      <c r="V2261" s="21">
        <v>1</v>
      </c>
      <c r="W2261" s="73">
        <f t="shared" si="112"/>
        <v>40</v>
      </c>
      <c r="X2261" s="80">
        <f t="shared" si="113"/>
        <v>5116</v>
      </c>
      <c r="Y2261" s="82" t="s">
        <v>3584</v>
      </c>
      <c r="AB2261" s="177">
        <v>43175</v>
      </c>
      <c r="AC2261" s="84" t="s">
        <v>2885</v>
      </c>
    </row>
    <row r="2262" spans="1:35" ht="15.45" customHeight="1" x14ac:dyDescent="0.25">
      <c r="A2262" s="29" t="s">
        <v>2501</v>
      </c>
      <c r="B2262" s="28"/>
      <c r="C2262" s="37" t="s">
        <v>2219</v>
      </c>
      <c r="E2262" s="37" t="s">
        <v>2831</v>
      </c>
      <c r="F2262" s="24" t="s">
        <v>2141</v>
      </c>
      <c r="H2262" s="38" t="s">
        <v>2500</v>
      </c>
      <c r="J2262" s="214" t="s">
        <v>3407</v>
      </c>
      <c r="S2262" s="10" t="s">
        <v>2390</v>
      </c>
      <c r="U2262" s="22">
        <v>1</v>
      </c>
      <c r="V2262" s="22">
        <v>1</v>
      </c>
      <c r="W2262" s="73">
        <f t="shared" si="112"/>
        <v>41</v>
      </c>
      <c r="X2262" s="80">
        <f t="shared" si="113"/>
        <v>5117</v>
      </c>
      <c r="Y2262" s="82" t="s">
        <v>3584</v>
      </c>
      <c r="AB2262" s="177">
        <v>43175</v>
      </c>
      <c r="AC2262" s="84" t="s">
        <v>2885</v>
      </c>
    </row>
    <row r="2263" spans="1:35" ht="15.45" customHeight="1" x14ac:dyDescent="0.25">
      <c r="A2263" s="29" t="s">
        <v>2502</v>
      </c>
      <c r="B2263" s="28"/>
      <c r="C2263" s="37" t="s">
        <v>2219</v>
      </c>
      <c r="E2263" s="37" t="s">
        <v>2831</v>
      </c>
      <c r="F2263" s="24" t="s">
        <v>2141</v>
      </c>
      <c r="H2263" s="38" t="s">
        <v>2517</v>
      </c>
      <c r="J2263" s="214" t="s">
        <v>3407</v>
      </c>
      <c r="S2263" s="10" t="s">
        <v>2390</v>
      </c>
      <c r="U2263" s="22">
        <v>1</v>
      </c>
      <c r="V2263" s="22">
        <v>1</v>
      </c>
      <c r="W2263" s="73">
        <f t="shared" si="112"/>
        <v>42</v>
      </c>
      <c r="X2263" s="80">
        <f t="shared" si="113"/>
        <v>5118</v>
      </c>
      <c r="Y2263" s="82" t="s">
        <v>3584</v>
      </c>
      <c r="AB2263" s="177">
        <v>43175</v>
      </c>
      <c r="AC2263" s="84" t="s">
        <v>2885</v>
      </c>
    </row>
    <row r="2264" spans="1:35" ht="15.45" customHeight="1" x14ac:dyDescent="0.25">
      <c r="A2264" s="29" t="s">
        <v>2502</v>
      </c>
      <c r="B2264" s="28"/>
      <c r="C2264" s="37" t="s">
        <v>2219</v>
      </c>
      <c r="E2264" s="37" t="s">
        <v>2831</v>
      </c>
      <c r="F2264" s="24" t="s">
        <v>2141</v>
      </c>
      <c r="H2264" s="38" t="s">
        <v>2516</v>
      </c>
      <c r="J2264" s="214" t="s">
        <v>3407</v>
      </c>
      <c r="S2264" s="10" t="s">
        <v>2402</v>
      </c>
      <c r="U2264" s="22">
        <v>1</v>
      </c>
      <c r="V2264" s="22">
        <v>1</v>
      </c>
      <c r="W2264" s="73">
        <f t="shared" si="112"/>
        <v>43</v>
      </c>
      <c r="X2264" s="80">
        <f t="shared" si="113"/>
        <v>5119</v>
      </c>
      <c r="Y2264" s="82" t="s">
        <v>3584</v>
      </c>
      <c r="AB2264" s="177">
        <v>43175</v>
      </c>
      <c r="AC2264" s="84" t="s">
        <v>2885</v>
      </c>
    </row>
    <row r="2265" spans="1:35" ht="15.45" customHeight="1" x14ac:dyDescent="0.25">
      <c r="A2265" s="29" t="s">
        <v>2502</v>
      </c>
      <c r="B2265" s="28"/>
      <c r="C2265" s="37" t="s">
        <v>2219</v>
      </c>
      <c r="E2265" s="37" t="s">
        <v>2831</v>
      </c>
      <c r="F2265" s="24" t="s">
        <v>2503</v>
      </c>
      <c r="H2265" s="38" t="s">
        <v>2504</v>
      </c>
      <c r="J2265" s="214" t="s">
        <v>3407</v>
      </c>
      <c r="S2265" s="10" t="s">
        <v>2505</v>
      </c>
      <c r="U2265" s="22">
        <v>4</v>
      </c>
      <c r="V2265" s="22">
        <v>4</v>
      </c>
      <c r="W2265" s="73">
        <f t="shared" si="112"/>
        <v>47</v>
      </c>
      <c r="X2265" s="80">
        <f t="shared" si="113"/>
        <v>5123</v>
      </c>
      <c r="Y2265" s="82" t="s">
        <v>3584</v>
      </c>
      <c r="AB2265" s="177">
        <v>43175</v>
      </c>
      <c r="AC2265" s="84" t="s">
        <v>2885</v>
      </c>
    </row>
    <row r="2266" spans="1:35" ht="15.45" customHeight="1" x14ac:dyDescent="0.25">
      <c r="A2266" s="29" t="s">
        <v>2518</v>
      </c>
      <c r="B2266" s="28"/>
      <c r="C2266" s="37" t="s">
        <v>2219</v>
      </c>
      <c r="E2266" s="37" t="s">
        <v>2831</v>
      </c>
      <c r="F2266" s="24" t="s">
        <v>2141</v>
      </c>
      <c r="H2266" s="38" t="s">
        <v>2519</v>
      </c>
      <c r="J2266" s="214" t="s">
        <v>3407</v>
      </c>
      <c r="S2266" s="10" t="s">
        <v>2384</v>
      </c>
      <c r="U2266" s="22">
        <v>1</v>
      </c>
      <c r="V2266" s="22">
        <v>1</v>
      </c>
      <c r="W2266" s="73">
        <f t="shared" si="112"/>
        <v>48</v>
      </c>
      <c r="X2266" s="80">
        <f t="shared" si="113"/>
        <v>5124</v>
      </c>
      <c r="Y2266" s="82" t="s">
        <v>3584</v>
      </c>
      <c r="AB2266" s="177">
        <v>43175</v>
      </c>
      <c r="AC2266" s="84" t="s">
        <v>2885</v>
      </c>
    </row>
    <row r="2267" spans="1:35" ht="15.45" customHeight="1" x14ac:dyDescent="0.25">
      <c r="A2267" s="29" t="s">
        <v>2518</v>
      </c>
      <c r="B2267" s="28"/>
      <c r="C2267" s="37" t="s">
        <v>2219</v>
      </c>
      <c r="E2267" s="37" t="s">
        <v>2829</v>
      </c>
      <c r="F2267" s="24" t="s">
        <v>2520</v>
      </c>
      <c r="H2267" s="38" t="s">
        <v>2521</v>
      </c>
      <c r="J2267" s="214" t="s">
        <v>3407</v>
      </c>
      <c r="S2267" s="10" t="s">
        <v>2384</v>
      </c>
      <c r="U2267" s="22">
        <v>4</v>
      </c>
      <c r="V2267" s="22">
        <v>4</v>
      </c>
      <c r="W2267" s="73">
        <f t="shared" si="112"/>
        <v>52</v>
      </c>
      <c r="X2267" s="80">
        <f t="shared" si="113"/>
        <v>5128</v>
      </c>
      <c r="Y2267" s="82" t="s">
        <v>3584</v>
      </c>
      <c r="AB2267" s="177">
        <v>43175</v>
      </c>
      <c r="AC2267" s="84" t="s">
        <v>2885</v>
      </c>
    </row>
    <row r="2268" spans="1:35" ht="15.45" customHeight="1" x14ac:dyDescent="0.25">
      <c r="A2268" s="29" t="s">
        <v>2518</v>
      </c>
      <c r="B2268" s="28"/>
      <c r="C2268" s="37" t="s">
        <v>2219</v>
      </c>
      <c r="E2268" s="37" t="s">
        <v>2829</v>
      </c>
      <c r="F2268" s="24" t="s">
        <v>2523</v>
      </c>
      <c r="H2268" s="38" t="s">
        <v>2522</v>
      </c>
      <c r="J2268" s="214" t="s">
        <v>3407</v>
      </c>
      <c r="S2268" s="10" t="s">
        <v>2384</v>
      </c>
      <c r="U2268" s="22">
        <v>1</v>
      </c>
      <c r="V2268" s="22">
        <v>1</v>
      </c>
      <c r="W2268" s="73">
        <f t="shared" si="112"/>
        <v>53</v>
      </c>
      <c r="X2268" s="80">
        <f t="shared" si="113"/>
        <v>5129</v>
      </c>
      <c r="Y2268" s="82" t="s">
        <v>3584</v>
      </c>
      <c r="AB2268" s="177">
        <v>43175</v>
      </c>
      <c r="AC2268" s="84" t="s">
        <v>2885</v>
      </c>
    </row>
    <row r="2269" spans="1:35" ht="15.45" customHeight="1" x14ac:dyDescent="0.25">
      <c r="A2269" s="29" t="s">
        <v>2506</v>
      </c>
      <c r="B2269" s="28"/>
      <c r="C2269" s="37" t="s">
        <v>2219</v>
      </c>
      <c r="E2269" s="37" t="s">
        <v>2831</v>
      </c>
      <c r="F2269" s="24" t="s">
        <v>2141</v>
      </c>
      <c r="H2269" s="38" t="s">
        <v>2508</v>
      </c>
      <c r="J2269" s="214" t="s">
        <v>3407</v>
      </c>
      <c r="S2269" s="10" t="s">
        <v>2390</v>
      </c>
      <c r="U2269" s="22">
        <v>1</v>
      </c>
      <c r="V2269" s="22">
        <v>1</v>
      </c>
      <c r="W2269" s="73">
        <f t="shared" si="112"/>
        <v>54</v>
      </c>
      <c r="X2269" s="80">
        <f t="shared" si="113"/>
        <v>5130</v>
      </c>
      <c r="Y2269" s="82" t="s">
        <v>3584</v>
      </c>
      <c r="AB2269" s="177">
        <v>43175</v>
      </c>
      <c r="AC2269" s="84" t="s">
        <v>2885</v>
      </c>
    </row>
    <row r="2270" spans="1:35" ht="15.45" customHeight="1" x14ac:dyDescent="0.25">
      <c r="A2270" s="29" t="s">
        <v>2506</v>
      </c>
      <c r="B2270" s="28"/>
      <c r="C2270" s="37" t="s">
        <v>2219</v>
      </c>
      <c r="E2270" s="37" t="s">
        <v>2831</v>
      </c>
      <c r="F2270" s="24" t="s">
        <v>2503</v>
      </c>
      <c r="H2270" s="38" t="s">
        <v>2509</v>
      </c>
      <c r="J2270" s="214" t="s">
        <v>3407</v>
      </c>
      <c r="S2270" s="10" t="s">
        <v>2390</v>
      </c>
      <c r="U2270" s="22">
        <v>2</v>
      </c>
      <c r="V2270" s="22">
        <v>2</v>
      </c>
      <c r="W2270" s="73">
        <f t="shared" si="112"/>
        <v>56</v>
      </c>
      <c r="X2270" s="80">
        <f t="shared" si="113"/>
        <v>5132</v>
      </c>
      <c r="Y2270" s="82" t="s">
        <v>3584</v>
      </c>
      <c r="AB2270" s="177">
        <v>43175</v>
      </c>
      <c r="AC2270" s="84" t="s">
        <v>2885</v>
      </c>
    </row>
    <row r="2271" spans="1:35" ht="15.45" customHeight="1" x14ac:dyDescent="0.25">
      <c r="A2271" s="29" t="s">
        <v>2507</v>
      </c>
      <c r="B2271" s="28"/>
      <c r="C2271" s="37" t="s">
        <v>2219</v>
      </c>
      <c r="E2271" s="37" t="s">
        <v>2831</v>
      </c>
      <c r="F2271" s="24" t="s">
        <v>2141</v>
      </c>
      <c r="H2271" s="38" t="s">
        <v>2510</v>
      </c>
      <c r="J2271" s="214" t="s">
        <v>3407</v>
      </c>
      <c r="S2271" s="10" t="s">
        <v>2384</v>
      </c>
      <c r="U2271" s="22">
        <v>1</v>
      </c>
      <c r="V2271" s="22">
        <v>1</v>
      </c>
      <c r="W2271" s="73">
        <f t="shared" si="112"/>
        <v>57</v>
      </c>
      <c r="X2271" s="80">
        <f t="shared" si="113"/>
        <v>5133</v>
      </c>
      <c r="Y2271" s="82" t="s">
        <v>3584</v>
      </c>
      <c r="AB2271" s="177">
        <v>43175</v>
      </c>
      <c r="AC2271" s="84" t="s">
        <v>2885</v>
      </c>
    </row>
    <row r="2272" spans="1:35" ht="15.45" customHeight="1" x14ac:dyDescent="0.25">
      <c r="A2272" s="29" t="s">
        <v>2507</v>
      </c>
      <c r="B2272" s="28"/>
      <c r="C2272" s="37" t="s">
        <v>2219</v>
      </c>
      <c r="E2272" s="37" t="s">
        <v>2831</v>
      </c>
      <c r="F2272" s="24" t="s">
        <v>2503</v>
      </c>
      <c r="H2272" s="38" t="s">
        <v>2511</v>
      </c>
      <c r="J2272" s="214" t="s">
        <v>3407</v>
      </c>
      <c r="S2272" s="10" t="s">
        <v>2512</v>
      </c>
      <c r="U2272" s="22">
        <v>10</v>
      </c>
      <c r="V2272" s="22">
        <v>10</v>
      </c>
      <c r="W2272" s="73">
        <f t="shared" si="112"/>
        <v>67</v>
      </c>
      <c r="X2272" s="80">
        <f t="shared" si="113"/>
        <v>5143</v>
      </c>
      <c r="Y2272" s="82" t="s">
        <v>3584</v>
      </c>
      <c r="AB2272" s="177">
        <v>43175</v>
      </c>
      <c r="AC2272" s="84" t="s">
        <v>2885</v>
      </c>
    </row>
    <row r="2273" spans="1:35" ht="15.45" customHeight="1" x14ac:dyDescent="0.25">
      <c r="A2273" s="29" t="s">
        <v>2514</v>
      </c>
      <c r="B2273" s="28"/>
      <c r="C2273" s="37" t="s">
        <v>2219</v>
      </c>
      <c r="E2273" s="37" t="s">
        <v>2831</v>
      </c>
      <c r="F2273" s="24" t="s">
        <v>2141</v>
      </c>
      <c r="H2273" s="38" t="s">
        <v>2513</v>
      </c>
      <c r="J2273" s="214" t="s">
        <v>3407</v>
      </c>
      <c r="S2273" s="10" t="s">
        <v>2390</v>
      </c>
      <c r="U2273" s="22">
        <v>1</v>
      </c>
      <c r="V2273" s="22">
        <v>1</v>
      </c>
      <c r="W2273" s="73">
        <f t="shared" si="112"/>
        <v>68</v>
      </c>
      <c r="X2273" s="80">
        <f t="shared" si="113"/>
        <v>5144</v>
      </c>
      <c r="Y2273" s="82" t="s">
        <v>3584</v>
      </c>
      <c r="AB2273" s="177">
        <v>43175</v>
      </c>
      <c r="AC2273" s="84" t="s">
        <v>2885</v>
      </c>
    </row>
    <row r="2274" spans="1:35" ht="15.45" customHeight="1" x14ac:dyDescent="0.25">
      <c r="A2274" s="29" t="s">
        <v>2514</v>
      </c>
      <c r="B2274" s="28"/>
      <c r="C2274" s="37" t="s">
        <v>2219</v>
      </c>
      <c r="E2274" s="37" t="s">
        <v>2831</v>
      </c>
      <c r="F2274" s="24" t="s">
        <v>2503</v>
      </c>
      <c r="H2274" s="38" t="s">
        <v>2513</v>
      </c>
      <c r="J2274" s="214" t="s">
        <v>3407</v>
      </c>
      <c r="S2274" s="10" t="s">
        <v>2390</v>
      </c>
      <c r="U2274" s="22">
        <v>1</v>
      </c>
      <c r="V2274" s="22">
        <v>1</v>
      </c>
      <c r="W2274" s="73">
        <f t="shared" si="112"/>
        <v>69</v>
      </c>
      <c r="X2274" s="80">
        <f t="shared" si="113"/>
        <v>5145</v>
      </c>
      <c r="Y2274" s="82" t="s">
        <v>3584</v>
      </c>
      <c r="AB2274" s="177">
        <v>43175</v>
      </c>
      <c r="AC2274" s="84" t="s">
        <v>2885</v>
      </c>
    </row>
    <row r="2275" spans="1:35" ht="15.45" customHeight="1" x14ac:dyDescent="0.25">
      <c r="A2275" s="29" t="s">
        <v>2536</v>
      </c>
      <c r="B2275" s="28"/>
      <c r="C2275" s="37" t="s">
        <v>2219</v>
      </c>
      <c r="E2275" s="37" t="s">
        <v>2831</v>
      </c>
      <c r="F2275" s="24" t="s">
        <v>2141</v>
      </c>
      <c r="H2275" s="38" t="s">
        <v>2537</v>
      </c>
      <c r="J2275" s="214" t="s">
        <v>3407</v>
      </c>
      <c r="S2275" s="10" t="s">
        <v>2390</v>
      </c>
      <c r="U2275" s="22">
        <v>1</v>
      </c>
      <c r="V2275" s="22">
        <v>1</v>
      </c>
      <c r="W2275" s="73">
        <f t="shared" si="112"/>
        <v>70</v>
      </c>
      <c r="X2275" s="80">
        <f t="shared" si="113"/>
        <v>5146</v>
      </c>
      <c r="Y2275" s="82" t="s">
        <v>4114</v>
      </c>
      <c r="Z2275" s="24" t="s">
        <v>2524</v>
      </c>
      <c r="AB2275" s="177">
        <v>43175</v>
      </c>
      <c r="AC2275" s="84" t="s">
        <v>2885</v>
      </c>
    </row>
    <row r="2276" spans="1:35" ht="15.45" customHeight="1" x14ac:dyDescent="0.25">
      <c r="A2276" s="29" t="s">
        <v>2536</v>
      </c>
      <c r="B2276" s="28"/>
      <c r="C2276" s="37" t="s">
        <v>2219</v>
      </c>
      <c r="E2276" s="37" t="s">
        <v>2831</v>
      </c>
      <c r="F2276" s="24" t="s">
        <v>2503</v>
      </c>
      <c r="H2276" s="38" t="s">
        <v>2525</v>
      </c>
      <c r="J2276" s="214" t="s">
        <v>3407</v>
      </c>
      <c r="S2276" s="10" t="s">
        <v>2390</v>
      </c>
      <c r="U2276" s="22">
        <v>1</v>
      </c>
      <c r="V2276" s="22">
        <v>1</v>
      </c>
      <c r="W2276" s="73">
        <f t="shared" si="112"/>
        <v>71</v>
      </c>
      <c r="X2276" s="80">
        <f t="shared" si="113"/>
        <v>5147</v>
      </c>
      <c r="Y2276" s="82" t="s">
        <v>4114</v>
      </c>
      <c r="Z2276" s="24" t="s">
        <v>2524</v>
      </c>
      <c r="AB2276" s="177">
        <v>43175</v>
      </c>
      <c r="AC2276" s="84" t="s">
        <v>2885</v>
      </c>
    </row>
    <row r="2277" spans="1:35" ht="15.45" customHeight="1" x14ac:dyDescent="0.25">
      <c r="A2277" s="29" t="s">
        <v>2527</v>
      </c>
      <c r="B2277" s="28"/>
      <c r="C2277" s="37" t="s">
        <v>2219</v>
      </c>
      <c r="E2277" s="37" t="s">
        <v>2831</v>
      </c>
      <c r="F2277" s="24" t="s">
        <v>2141</v>
      </c>
      <c r="H2277" s="38" t="s">
        <v>2530</v>
      </c>
      <c r="J2277" s="214" t="s">
        <v>3407</v>
      </c>
      <c r="S2277" s="10" t="s">
        <v>2384</v>
      </c>
      <c r="U2277" s="22">
        <v>1</v>
      </c>
      <c r="V2277" s="22">
        <v>1</v>
      </c>
      <c r="W2277" s="73">
        <f t="shared" si="112"/>
        <v>72</v>
      </c>
      <c r="X2277" s="80">
        <f t="shared" si="113"/>
        <v>5148</v>
      </c>
      <c r="Y2277" s="82" t="s">
        <v>3584</v>
      </c>
      <c r="AB2277" s="177">
        <v>43175</v>
      </c>
      <c r="AC2277" s="84" t="s">
        <v>2885</v>
      </c>
    </row>
    <row r="2278" spans="1:35" ht="15.45" customHeight="1" x14ac:dyDescent="0.25">
      <c r="A2278" s="29" t="s">
        <v>2526</v>
      </c>
      <c r="B2278" s="28"/>
      <c r="C2278" s="37" t="s">
        <v>2219</v>
      </c>
      <c r="E2278" s="37" t="s">
        <v>2831</v>
      </c>
      <c r="F2278" s="24" t="s">
        <v>2141</v>
      </c>
      <c r="H2278" s="38" t="s">
        <v>2531</v>
      </c>
      <c r="J2278" s="214" t="s">
        <v>3407</v>
      </c>
      <c r="S2278" s="10" t="s">
        <v>2384</v>
      </c>
      <c r="U2278" s="22">
        <v>1</v>
      </c>
      <c r="V2278" s="22">
        <v>1</v>
      </c>
      <c r="W2278" s="73">
        <f t="shared" si="112"/>
        <v>73</v>
      </c>
      <c r="X2278" s="80">
        <f t="shared" si="113"/>
        <v>5149</v>
      </c>
      <c r="Y2278" s="82" t="s">
        <v>3584</v>
      </c>
      <c r="AB2278" s="177">
        <v>43175</v>
      </c>
      <c r="AC2278" s="84" t="s">
        <v>2885</v>
      </c>
    </row>
    <row r="2279" spans="1:35" ht="15.45" customHeight="1" x14ac:dyDescent="0.25">
      <c r="A2279" s="29" t="s">
        <v>2526</v>
      </c>
      <c r="B2279" s="28"/>
      <c r="C2279" s="37" t="s">
        <v>2219</v>
      </c>
      <c r="E2279" s="37" t="s">
        <v>5301</v>
      </c>
      <c r="F2279" s="24" t="s">
        <v>6087</v>
      </c>
      <c r="H2279" s="38" t="s">
        <v>2531</v>
      </c>
      <c r="J2279" s="214" t="s">
        <v>3407</v>
      </c>
      <c r="S2279" s="10" t="s">
        <v>2384</v>
      </c>
      <c r="U2279" s="22">
        <v>1</v>
      </c>
      <c r="V2279" s="22">
        <v>1</v>
      </c>
      <c r="W2279" s="73">
        <f t="shared" ref="W2279:W2281" si="114">W2278+V2279</f>
        <v>74</v>
      </c>
      <c r="X2279" s="80">
        <f t="shared" ref="X2279:X2282" si="115">V2279+X2278</f>
        <v>5150</v>
      </c>
      <c r="Y2279" s="82" t="s">
        <v>3584</v>
      </c>
      <c r="AB2279" s="177">
        <v>43175</v>
      </c>
      <c r="AC2279" s="84" t="s">
        <v>2885</v>
      </c>
    </row>
    <row r="2280" spans="1:35" ht="15.45" customHeight="1" x14ac:dyDescent="0.25">
      <c r="A2280" s="29" t="s">
        <v>2526</v>
      </c>
      <c r="B2280" s="28"/>
      <c r="C2280" s="37" t="s">
        <v>2219</v>
      </c>
      <c r="E2280" s="37" t="s">
        <v>2829</v>
      </c>
      <c r="F2280" s="24" t="s">
        <v>2520</v>
      </c>
      <c r="H2280" s="38" t="s">
        <v>2532</v>
      </c>
      <c r="J2280" s="214" t="s">
        <v>3407</v>
      </c>
      <c r="S2280" s="10" t="s">
        <v>2384</v>
      </c>
      <c r="U2280" s="22">
        <v>7</v>
      </c>
      <c r="V2280" s="22">
        <v>7</v>
      </c>
      <c r="W2280" s="73">
        <f t="shared" si="114"/>
        <v>81</v>
      </c>
      <c r="X2280" s="80">
        <f t="shared" si="115"/>
        <v>5157</v>
      </c>
      <c r="Y2280" s="82" t="s">
        <v>3584</v>
      </c>
      <c r="AB2280" s="177">
        <v>43175</v>
      </c>
      <c r="AC2280" s="84" t="s">
        <v>2885</v>
      </c>
    </row>
    <row r="2281" spans="1:35" ht="15.45" customHeight="1" x14ac:dyDescent="0.25">
      <c r="A2281" s="29" t="s">
        <v>2529</v>
      </c>
      <c r="B2281" s="28"/>
      <c r="C2281" s="37" t="s">
        <v>2219</v>
      </c>
      <c r="E2281" s="37" t="s">
        <v>2831</v>
      </c>
      <c r="F2281" s="24" t="s">
        <v>2141</v>
      </c>
      <c r="H2281" s="38" t="s">
        <v>2528</v>
      </c>
      <c r="J2281" s="214" t="s">
        <v>3407</v>
      </c>
      <c r="S2281" s="10" t="s">
        <v>2384</v>
      </c>
      <c r="U2281" s="22">
        <v>1</v>
      </c>
      <c r="V2281" s="22">
        <v>1</v>
      </c>
      <c r="W2281" s="73">
        <f t="shared" si="114"/>
        <v>82</v>
      </c>
      <c r="X2281" s="80">
        <f t="shared" si="115"/>
        <v>5158</v>
      </c>
      <c r="Y2281" s="82" t="s">
        <v>3584</v>
      </c>
      <c r="AB2281" s="177">
        <v>43175</v>
      </c>
      <c r="AC2281" s="84" t="s">
        <v>2885</v>
      </c>
    </row>
    <row r="2282" spans="1:35" ht="15.45" customHeight="1" x14ac:dyDescent="0.25">
      <c r="A2282" s="29" t="s">
        <v>2529</v>
      </c>
      <c r="B2282" s="28"/>
      <c r="C2282" s="37" t="s">
        <v>2219</v>
      </c>
      <c r="E2282" s="37" t="s">
        <v>2829</v>
      </c>
      <c r="F2282" s="24" t="s">
        <v>2520</v>
      </c>
      <c r="H2282" s="38" t="s">
        <v>2528</v>
      </c>
      <c r="J2282" s="214" t="s">
        <v>3407</v>
      </c>
      <c r="S2282" s="10" t="s">
        <v>2384</v>
      </c>
      <c r="U2282" s="22">
        <v>3</v>
      </c>
      <c r="V2282" s="22">
        <v>3</v>
      </c>
      <c r="W2282" s="73">
        <f t="shared" si="112"/>
        <v>85</v>
      </c>
      <c r="X2282" s="80">
        <f t="shared" si="115"/>
        <v>5161</v>
      </c>
      <c r="Y2282" s="82" t="s">
        <v>3584</v>
      </c>
      <c r="AB2282" s="177">
        <v>43175</v>
      </c>
      <c r="AC2282" s="84" t="s">
        <v>2885</v>
      </c>
    </row>
    <row r="2283" spans="1:35" ht="15.45" customHeight="1" x14ac:dyDescent="0.25">
      <c r="A2283" s="29" t="s">
        <v>2534</v>
      </c>
      <c r="B2283" s="28"/>
      <c r="C2283" s="37" t="s">
        <v>2219</v>
      </c>
      <c r="E2283" s="37" t="s">
        <v>2831</v>
      </c>
      <c r="F2283" s="24" t="s">
        <v>2141</v>
      </c>
      <c r="H2283" s="38" t="s">
        <v>2535</v>
      </c>
      <c r="J2283" s="214" t="s">
        <v>3407</v>
      </c>
      <c r="S2283" s="10" t="s">
        <v>2533</v>
      </c>
      <c r="U2283" s="22">
        <v>1</v>
      </c>
      <c r="V2283" s="22">
        <v>1</v>
      </c>
      <c r="W2283" s="73">
        <f t="shared" si="112"/>
        <v>86</v>
      </c>
      <c r="X2283" s="80">
        <f t="shared" si="113"/>
        <v>5162</v>
      </c>
      <c r="Y2283" s="82" t="s">
        <v>3584</v>
      </c>
      <c r="AB2283" s="177">
        <v>43175</v>
      </c>
      <c r="AC2283" s="84" t="s">
        <v>2885</v>
      </c>
    </row>
    <row r="2284" spans="1:35" ht="15.45" customHeight="1" x14ac:dyDescent="0.25">
      <c r="A2284" s="29" t="s">
        <v>2538</v>
      </c>
      <c r="B2284" s="28"/>
      <c r="C2284" s="37" t="s">
        <v>2219</v>
      </c>
      <c r="E2284" s="37" t="s">
        <v>2831</v>
      </c>
      <c r="F2284" s="24" t="s">
        <v>2250</v>
      </c>
      <c r="H2284" s="38" t="s">
        <v>4792</v>
      </c>
      <c r="I2284" s="111" t="s">
        <v>4791</v>
      </c>
      <c r="J2284" s="214" t="s">
        <v>3406</v>
      </c>
      <c r="S2284" s="10" t="s">
        <v>2433</v>
      </c>
      <c r="U2284" s="22">
        <v>1</v>
      </c>
      <c r="V2284" s="22">
        <v>1</v>
      </c>
      <c r="W2284" s="73">
        <f t="shared" si="112"/>
        <v>87</v>
      </c>
      <c r="X2284" s="80">
        <f t="shared" si="113"/>
        <v>5163</v>
      </c>
      <c r="Y2284" s="82" t="s">
        <v>4059</v>
      </c>
      <c r="AB2284" s="177">
        <v>43175</v>
      </c>
      <c r="AC2284" s="84" t="s">
        <v>2885</v>
      </c>
    </row>
    <row r="2285" spans="1:35" ht="15.45" customHeight="1" x14ac:dyDescent="0.25">
      <c r="A2285" s="29" t="s">
        <v>2538</v>
      </c>
      <c r="B2285" s="28"/>
      <c r="C2285" s="37" t="s">
        <v>2219</v>
      </c>
      <c r="E2285" s="37" t="s">
        <v>2829</v>
      </c>
      <c r="F2285" s="24" t="s">
        <v>2520</v>
      </c>
      <c r="H2285" s="38" t="s">
        <v>4792</v>
      </c>
      <c r="I2285" s="111" t="s">
        <v>4791</v>
      </c>
      <c r="J2285" s="214" t="s">
        <v>3406</v>
      </c>
      <c r="S2285" s="10" t="s">
        <v>2433</v>
      </c>
      <c r="U2285" s="22">
        <v>2</v>
      </c>
      <c r="V2285" s="22">
        <v>2</v>
      </c>
      <c r="W2285" s="73">
        <f t="shared" si="112"/>
        <v>89</v>
      </c>
      <c r="X2285" s="80">
        <f t="shared" si="113"/>
        <v>5165</v>
      </c>
      <c r="Y2285" s="82" t="s">
        <v>4059</v>
      </c>
      <c r="AB2285" s="177">
        <v>42167</v>
      </c>
      <c r="AC2285" s="84" t="s">
        <v>2885</v>
      </c>
    </row>
    <row r="2286" spans="1:35" ht="15.45" customHeight="1" x14ac:dyDescent="0.25">
      <c r="A2286" s="29" t="s">
        <v>2437</v>
      </c>
      <c r="B2286" s="28"/>
      <c r="C2286" s="37" t="s">
        <v>2219</v>
      </c>
      <c r="E2286" s="37" t="s">
        <v>2831</v>
      </c>
      <c r="F2286" s="24" t="s">
        <v>2515</v>
      </c>
      <c r="H2286" s="38" t="s">
        <v>2438</v>
      </c>
      <c r="J2286" s="214" t="s">
        <v>4070</v>
      </c>
      <c r="K2286" s="10" t="s">
        <v>4071</v>
      </c>
      <c r="S2286" s="10" t="s">
        <v>2384</v>
      </c>
      <c r="U2286" s="22">
        <v>1</v>
      </c>
      <c r="V2286" s="22">
        <v>1</v>
      </c>
      <c r="W2286" s="73">
        <f t="shared" si="112"/>
        <v>90</v>
      </c>
      <c r="X2286" s="80">
        <f t="shared" si="113"/>
        <v>5166</v>
      </c>
      <c r="Y2286" s="82" t="s">
        <v>3584</v>
      </c>
      <c r="AI2286" s="10" t="s">
        <v>2439</v>
      </c>
    </row>
    <row r="2287" spans="1:35" ht="15.45" customHeight="1" x14ac:dyDescent="0.25">
      <c r="A2287" s="29" t="s">
        <v>2375</v>
      </c>
      <c r="B2287" s="28"/>
      <c r="C2287" s="37" t="s">
        <v>2219</v>
      </c>
      <c r="E2287" s="37" t="s">
        <v>2831</v>
      </c>
      <c r="F2287" s="24" t="s">
        <v>2515</v>
      </c>
      <c r="H2287" s="38" t="s">
        <v>6977</v>
      </c>
      <c r="J2287" s="214" t="s">
        <v>3406</v>
      </c>
      <c r="N2287" s="37" t="s">
        <v>2179</v>
      </c>
      <c r="S2287" s="10" t="s">
        <v>2373</v>
      </c>
      <c r="U2287" s="22">
        <v>1</v>
      </c>
      <c r="V2287" s="22">
        <v>1</v>
      </c>
      <c r="W2287" s="73">
        <f t="shared" ref="W2287:W2310" si="116">W2286+V2287</f>
        <v>91</v>
      </c>
      <c r="X2287" s="80">
        <f t="shared" ref="X2287:X2310" si="117">V2287+X2286</f>
        <v>5167</v>
      </c>
      <c r="Y2287" s="82" t="s">
        <v>4059</v>
      </c>
      <c r="Z2287" s="24" t="s">
        <v>2180</v>
      </c>
      <c r="AA2287" s="178"/>
      <c r="AB2287" s="177">
        <v>43175</v>
      </c>
      <c r="AC2287" s="84" t="s">
        <v>2885</v>
      </c>
    </row>
    <row r="2288" spans="1:35" ht="15.45" customHeight="1" x14ac:dyDescent="0.25">
      <c r="A2288" s="29" t="s">
        <v>2739</v>
      </c>
      <c r="B2288" s="28"/>
      <c r="C2288" s="37" t="s">
        <v>2219</v>
      </c>
      <c r="E2288" s="37" t="s">
        <v>2831</v>
      </c>
      <c r="F2288" s="24" t="s">
        <v>2515</v>
      </c>
      <c r="H2288" s="38" t="s">
        <v>2740</v>
      </c>
      <c r="J2288" s="214" t="s">
        <v>3406</v>
      </c>
      <c r="N2288" s="37" t="s">
        <v>2496</v>
      </c>
      <c r="S2288" s="10" t="s">
        <v>2433</v>
      </c>
      <c r="U2288" s="22">
        <v>1</v>
      </c>
      <c r="V2288" s="22">
        <v>1</v>
      </c>
      <c r="W2288" s="73">
        <f t="shared" si="116"/>
        <v>92</v>
      </c>
      <c r="X2288" s="80">
        <f t="shared" si="117"/>
        <v>5168</v>
      </c>
      <c r="Y2288" s="82" t="s">
        <v>3591</v>
      </c>
      <c r="Z2288" s="24" t="s">
        <v>2553</v>
      </c>
      <c r="AA2288" s="178"/>
      <c r="AB2288" s="178">
        <v>42917</v>
      </c>
      <c r="AC2288" s="84" t="s">
        <v>2885</v>
      </c>
    </row>
    <row r="2289" spans="1:37" ht="15.45" customHeight="1" x14ac:dyDescent="0.25">
      <c r="A2289" s="29" t="s">
        <v>2374</v>
      </c>
      <c r="B2289" s="28"/>
      <c r="C2289" s="37" t="s">
        <v>2219</v>
      </c>
      <c r="E2289" s="37" t="s">
        <v>2831</v>
      </c>
      <c r="F2289" s="24" t="s">
        <v>2515</v>
      </c>
      <c r="H2289" s="38" t="s">
        <v>2741</v>
      </c>
      <c r="J2289" s="214" t="s">
        <v>3406</v>
      </c>
      <c r="N2289" s="37" t="s">
        <v>2181</v>
      </c>
      <c r="Q2289" s="37" t="s">
        <v>3506</v>
      </c>
      <c r="S2289" s="10" t="s">
        <v>2373</v>
      </c>
      <c r="U2289" s="22">
        <v>1</v>
      </c>
      <c r="V2289" s="22">
        <v>1</v>
      </c>
      <c r="W2289" s="73">
        <f t="shared" si="116"/>
        <v>93</v>
      </c>
      <c r="X2289" s="80">
        <f t="shared" si="117"/>
        <v>5169</v>
      </c>
      <c r="Y2289" s="82" t="s">
        <v>4059</v>
      </c>
      <c r="Z2289" s="24" t="s">
        <v>2180</v>
      </c>
      <c r="AA2289" s="178"/>
      <c r="AB2289" s="177">
        <v>43175</v>
      </c>
      <c r="AC2289" s="84" t="s">
        <v>2885</v>
      </c>
    </row>
    <row r="2290" spans="1:37" ht="15.45" customHeight="1" x14ac:dyDescent="0.25">
      <c r="A2290" s="29" t="s">
        <v>4350</v>
      </c>
      <c r="B2290" s="28"/>
      <c r="C2290" s="37" t="s">
        <v>2219</v>
      </c>
      <c r="E2290" s="37" t="s">
        <v>2927</v>
      </c>
      <c r="F2290" s="24" t="s">
        <v>2515</v>
      </c>
      <c r="H2290" s="38" t="s">
        <v>4351</v>
      </c>
      <c r="I2290" s="111" t="s">
        <v>4352</v>
      </c>
      <c r="J2290" s="214" t="s">
        <v>4353</v>
      </c>
      <c r="N2290" s="37" t="s">
        <v>4354</v>
      </c>
      <c r="Q2290" s="37" t="s">
        <v>1979</v>
      </c>
      <c r="S2290" s="10" t="s">
        <v>2983</v>
      </c>
      <c r="T2290" s="10" t="s">
        <v>4355</v>
      </c>
      <c r="U2290" s="22">
        <v>1</v>
      </c>
      <c r="V2290" s="22">
        <v>1</v>
      </c>
      <c r="W2290" s="73">
        <f t="shared" si="116"/>
        <v>94</v>
      </c>
      <c r="X2290" s="80">
        <f t="shared" si="117"/>
        <v>5170</v>
      </c>
      <c r="Y2290" s="82" t="s">
        <v>3591</v>
      </c>
      <c r="Z2290" s="24" t="s">
        <v>2885</v>
      </c>
      <c r="AA2290" s="178"/>
      <c r="AB2290" s="178">
        <v>43410</v>
      </c>
      <c r="AC2290" s="84" t="s">
        <v>2885</v>
      </c>
    </row>
    <row r="2291" spans="1:37" ht="15.45" customHeight="1" x14ac:dyDescent="0.25">
      <c r="A2291" s="29" t="s">
        <v>7000</v>
      </c>
      <c r="B2291" s="28"/>
      <c r="C2291" s="37" t="s">
        <v>2219</v>
      </c>
      <c r="E2291" s="37" t="s">
        <v>2927</v>
      </c>
      <c r="F2291" s="24" t="s">
        <v>2515</v>
      </c>
      <c r="H2291" s="38" t="s">
        <v>7001</v>
      </c>
      <c r="J2291" s="214" t="s">
        <v>3406</v>
      </c>
      <c r="N2291" s="37" t="s">
        <v>7002</v>
      </c>
      <c r="P2291" s="37" t="s">
        <v>1781</v>
      </c>
      <c r="Q2291" s="37" t="s">
        <v>3506</v>
      </c>
      <c r="S2291" s="10" t="s">
        <v>3412</v>
      </c>
      <c r="U2291" s="22">
        <v>1</v>
      </c>
      <c r="V2291" s="22">
        <v>1</v>
      </c>
      <c r="W2291" s="73">
        <f t="shared" si="116"/>
        <v>95</v>
      </c>
      <c r="X2291" s="80">
        <f t="shared" si="117"/>
        <v>5171</v>
      </c>
      <c r="Y2291" s="82" t="s">
        <v>4059</v>
      </c>
      <c r="AA2291" s="178"/>
      <c r="AB2291" s="178">
        <v>44718</v>
      </c>
      <c r="AC2291" s="84" t="s">
        <v>2885</v>
      </c>
    </row>
    <row r="2292" spans="1:37" ht="15.45" customHeight="1" x14ac:dyDescent="0.25">
      <c r="A2292" s="29" t="s">
        <v>6346</v>
      </c>
      <c r="B2292" s="28"/>
      <c r="C2292" s="37" t="s">
        <v>2219</v>
      </c>
      <c r="E2292" s="37" t="s">
        <v>2831</v>
      </c>
      <c r="F2292" s="24" t="s">
        <v>2515</v>
      </c>
      <c r="H2292" s="38" t="s">
        <v>2856</v>
      </c>
      <c r="J2292" s="214" t="s">
        <v>5739</v>
      </c>
      <c r="U2292" s="22">
        <v>1</v>
      </c>
      <c r="V2292" s="22">
        <v>1</v>
      </c>
      <c r="W2292" s="73">
        <f t="shared" si="116"/>
        <v>96</v>
      </c>
      <c r="X2292" s="80">
        <f t="shared" si="117"/>
        <v>5172</v>
      </c>
      <c r="Y2292" s="82" t="s">
        <v>3584</v>
      </c>
      <c r="AA2292" s="178"/>
      <c r="AB2292" s="178">
        <v>42095</v>
      </c>
      <c r="AC2292" s="84" t="s">
        <v>2885</v>
      </c>
    </row>
    <row r="2293" spans="1:37" ht="15.45" customHeight="1" x14ac:dyDescent="0.25">
      <c r="A2293" s="29" t="s">
        <v>2376</v>
      </c>
      <c r="B2293" s="28"/>
      <c r="C2293" s="37" t="s">
        <v>2853</v>
      </c>
      <c r="E2293" s="37" t="s">
        <v>2831</v>
      </c>
      <c r="F2293" s="24" t="s">
        <v>2515</v>
      </c>
      <c r="H2293" s="38" t="s">
        <v>2377</v>
      </c>
      <c r="J2293" s="214" t="s">
        <v>3406</v>
      </c>
      <c r="S2293" s="10" t="s">
        <v>3436</v>
      </c>
      <c r="U2293" s="22">
        <v>1</v>
      </c>
      <c r="V2293" s="22">
        <v>48</v>
      </c>
      <c r="W2293" s="73">
        <f t="shared" si="116"/>
        <v>144</v>
      </c>
      <c r="X2293" s="80">
        <f t="shared" si="117"/>
        <v>5220</v>
      </c>
      <c r="Y2293" s="82" t="s">
        <v>4059</v>
      </c>
      <c r="Z2293" s="24" t="s">
        <v>2539</v>
      </c>
      <c r="AA2293" s="178"/>
      <c r="AB2293" s="177">
        <v>43175</v>
      </c>
      <c r="AC2293" s="84" t="s">
        <v>2885</v>
      </c>
    </row>
    <row r="2294" spans="1:37" ht="15.45" customHeight="1" x14ac:dyDescent="0.25">
      <c r="A2294" s="31" t="s">
        <v>2378</v>
      </c>
      <c r="B2294" s="28"/>
      <c r="C2294" s="37" t="s">
        <v>2219</v>
      </c>
      <c r="E2294" s="37" t="s">
        <v>2831</v>
      </c>
      <c r="F2294" s="24" t="s">
        <v>2515</v>
      </c>
      <c r="H2294" s="39" t="s">
        <v>2379</v>
      </c>
      <c r="J2294" s="214" t="s">
        <v>6351</v>
      </c>
      <c r="S2294" s="11" t="s">
        <v>3436</v>
      </c>
      <c r="T2294" s="11"/>
      <c r="U2294" s="21">
        <v>1</v>
      </c>
      <c r="V2294" s="21">
        <v>45</v>
      </c>
      <c r="W2294" s="73">
        <f t="shared" si="116"/>
        <v>189</v>
      </c>
      <c r="X2294" s="80">
        <f t="shared" si="117"/>
        <v>5265</v>
      </c>
      <c r="Y2294" s="82" t="s">
        <v>3584</v>
      </c>
      <c r="AB2294" s="177">
        <v>43175</v>
      </c>
      <c r="AC2294" s="84" t="s">
        <v>2885</v>
      </c>
      <c r="AF2294" s="11"/>
      <c r="AG2294" s="11"/>
      <c r="AH2294" s="11"/>
      <c r="AI2294" s="11" t="s">
        <v>2380</v>
      </c>
      <c r="AJ2294" s="11"/>
      <c r="AK2294" s="11"/>
    </row>
    <row r="2295" spans="1:37" ht="15.45" customHeight="1" x14ac:dyDescent="0.25">
      <c r="A2295" s="31" t="s">
        <v>4553</v>
      </c>
      <c r="B2295" s="28"/>
      <c r="C2295" s="37" t="s">
        <v>2219</v>
      </c>
      <c r="E2295" s="37" t="s">
        <v>2831</v>
      </c>
      <c r="F2295" s="24" t="s">
        <v>2515</v>
      </c>
      <c r="H2295" s="171" t="s">
        <v>3647</v>
      </c>
      <c r="I2295" s="111" t="s">
        <v>3649</v>
      </c>
      <c r="J2295" s="214" t="s">
        <v>6351</v>
      </c>
      <c r="S2295" s="11" t="s">
        <v>2983</v>
      </c>
      <c r="T2295" s="11"/>
      <c r="U2295" s="21">
        <v>1</v>
      </c>
      <c r="V2295" s="21">
        <v>2</v>
      </c>
      <c r="W2295" s="73">
        <f t="shared" si="116"/>
        <v>191</v>
      </c>
      <c r="X2295" s="80">
        <f t="shared" si="117"/>
        <v>5267</v>
      </c>
      <c r="Y2295" s="82" t="s">
        <v>3584</v>
      </c>
      <c r="AB2295" s="177">
        <v>43175</v>
      </c>
      <c r="AC2295" s="84" t="s">
        <v>2885</v>
      </c>
      <c r="AF2295" s="11"/>
      <c r="AG2295" s="11"/>
      <c r="AH2295" s="11"/>
      <c r="AI2295" s="11"/>
      <c r="AJ2295" s="11"/>
      <c r="AK2295" s="11"/>
    </row>
    <row r="2296" spans="1:37" ht="15.45" customHeight="1" x14ac:dyDescent="0.25">
      <c r="A2296" s="31" t="s">
        <v>3650</v>
      </c>
      <c r="B2296" s="28"/>
      <c r="C2296" s="37" t="s">
        <v>2219</v>
      </c>
      <c r="E2296" s="37" t="s">
        <v>2927</v>
      </c>
      <c r="F2296" s="24" t="s">
        <v>2515</v>
      </c>
      <c r="H2296" s="171" t="s">
        <v>3648</v>
      </c>
      <c r="I2296" s="111" t="s">
        <v>3649</v>
      </c>
      <c r="J2296" s="214" t="s">
        <v>6352</v>
      </c>
      <c r="S2296" s="11" t="s">
        <v>3412</v>
      </c>
      <c r="T2296" s="11"/>
      <c r="U2296" s="21">
        <v>1</v>
      </c>
      <c r="V2296" s="21">
        <v>1</v>
      </c>
      <c r="W2296" s="73">
        <f t="shared" si="116"/>
        <v>192</v>
      </c>
      <c r="X2296" s="80">
        <f t="shared" si="117"/>
        <v>5268</v>
      </c>
      <c r="Y2296" s="82" t="s">
        <v>3584</v>
      </c>
      <c r="AB2296" s="177">
        <v>43175</v>
      </c>
      <c r="AC2296" s="84" t="s">
        <v>2885</v>
      </c>
      <c r="AF2296" s="11"/>
      <c r="AG2296" s="11"/>
      <c r="AH2296" s="11"/>
      <c r="AI2296" s="11"/>
      <c r="AJ2296" s="11"/>
      <c r="AK2296" s="11"/>
    </row>
    <row r="2297" spans="1:37" ht="15.45" customHeight="1" x14ac:dyDescent="0.25">
      <c r="A2297" s="31" t="s">
        <v>2746</v>
      </c>
      <c r="B2297" s="28"/>
      <c r="C2297" s="37" t="s">
        <v>2220</v>
      </c>
      <c r="E2297" s="37" t="s">
        <v>2831</v>
      </c>
      <c r="F2297" s="24" t="s">
        <v>2515</v>
      </c>
      <c r="H2297" s="171" t="s">
        <v>6350</v>
      </c>
      <c r="J2297" s="214" t="s">
        <v>6351</v>
      </c>
      <c r="S2297" s="11"/>
      <c r="T2297" s="11"/>
      <c r="U2297" s="21">
        <v>1</v>
      </c>
      <c r="V2297" s="21">
        <v>1</v>
      </c>
      <c r="W2297" s="73">
        <f t="shared" si="116"/>
        <v>193</v>
      </c>
      <c r="X2297" s="80">
        <f t="shared" si="117"/>
        <v>5269</v>
      </c>
      <c r="Y2297" s="82" t="s">
        <v>3584</v>
      </c>
      <c r="AB2297" s="177">
        <v>43175</v>
      </c>
      <c r="AC2297" s="84" t="s">
        <v>2885</v>
      </c>
      <c r="AF2297" s="11"/>
      <c r="AG2297" s="11"/>
      <c r="AH2297" s="11"/>
      <c r="AI2297" s="11"/>
      <c r="AJ2297" s="11"/>
      <c r="AK2297" s="11"/>
    </row>
    <row r="2298" spans="1:37" ht="15.45" customHeight="1" x14ac:dyDescent="0.25">
      <c r="A2298" s="31" t="s">
        <v>2747</v>
      </c>
      <c r="B2298" s="28"/>
      <c r="C2298" s="37" t="s">
        <v>2220</v>
      </c>
      <c r="E2298" s="37" t="s">
        <v>2831</v>
      </c>
      <c r="F2298" s="24" t="s">
        <v>2515</v>
      </c>
      <c r="H2298" s="171" t="s">
        <v>2762</v>
      </c>
      <c r="J2298" s="214" t="s">
        <v>6351</v>
      </c>
      <c r="K2298" s="10" t="s">
        <v>4552</v>
      </c>
      <c r="N2298" s="37" t="s">
        <v>4551</v>
      </c>
      <c r="P2298" s="37" t="s">
        <v>1463</v>
      </c>
      <c r="S2298" s="11"/>
      <c r="T2298" s="11"/>
      <c r="U2298" s="21">
        <v>1</v>
      </c>
      <c r="V2298" s="21">
        <v>1</v>
      </c>
      <c r="W2298" s="73">
        <f t="shared" si="116"/>
        <v>194</v>
      </c>
      <c r="X2298" s="80">
        <f t="shared" si="117"/>
        <v>5270</v>
      </c>
      <c r="Y2298" s="82" t="s">
        <v>3584</v>
      </c>
      <c r="AB2298" s="177">
        <v>43175</v>
      </c>
      <c r="AC2298" s="84" t="s">
        <v>2885</v>
      </c>
      <c r="AF2298" s="11"/>
      <c r="AG2298" s="11"/>
      <c r="AH2298" s="11"/>
      <c r="AI2298" s="11"/>
      <c r="AJ2298" s="11"/>
      <c r="AK2298" s="11"/>
    </row>
    <row r="2299" spans="1:37" ht="15.45" customHeight="1" x14ac:dyDescent="0.25">
      <c r="A2299" s="31" t="s">
        <v>2745</v>
      </c>
      <c r="B2299" s="28"/>
      <c r="C2299" s="37" t="s">
        <v>2220</v>
      </c>
      <c r="E2299" s="37" t="s">
        <v>2831</v>
      </c>
      <c r="F2299" s="24" t="s">
        <v>2515</v>
      </c>
      <c r="H2299" s="171" t="s">
        <v>4550</v>
      </c>
      <c r="J2299" s="214" t="s">
        <v>6351</v>
      </c>
      <c r="S2299" s="11"/>
      <c r="T2299" s="11"/>
      <c r="U2299" s="21">
        <v>1</v>
      </c>
      <c r="V2299" s="21">
        <v>1</v>
      </c>
      <c r="W2299" s="73">
        <f t="shared" si="116"/>
        <v>195</v>
      </c>
      <c r="X2299" s="80">
        <f t="shared" si="117"/>
        <v>5271</v>
      </c>
      <c r="Y2299" s="82" t="s">
        <v>3584</v>
      </c>
      <c r="AB2299" s="177">
        <v>43132</v>
      </c>
      <c r="AC2299" s="84" t="s">
        <v>2885</v>
      </c>
      <c r="AF2299" s="11"/>
      <c r="AG2299" s="11"/>
      <c r="AH2299" s="11"/>
      <c r="AI2299" s="11"/>
      <c r="AJ2299" s="11"/>
      <c r="AK2299" s="11"/>
    </row>
    <row r="2300" spans="1:37" ht="15.45" customHeight="1" x14ac:dyDescent="0.25">
      <c r="A2300" s="31" t="s">
        <v>4549</v>
      </c>
      <c r="B2300" s="28"/>
      <c r="C2300" s="37" t="s">
        <v>2220</v>
      </c>
      <c r="E2300" s="37" t="s">
        <v>2831</v>
      </c>
      <c r="F2300" s="24" t="s">
        <v>2515</v>
      </c>
      <c r="H2300" s="171" t="s">
        <v>2761</v>
      </c>
      <c r="J2300" s="214" t="s">
        <v>6347</v>
      </c>
      <c r="S2300" s="11"/>
      <c r="T2300" s="11"/>
      <c r="U2300" s="21">
        <v>1</v>
      </c>
      <c r="V2300" s="21">
        <v>1</v>
      </c>
      <c r="W2300" s="73">
        <f t="shared" si="116"/>
        <v>196</v>
      </c>
      <c r="X2300" s="80">
        <f t="shared" si="117"/>
        <v>5272</v>
      </c>
      <c r="Y2300" s="82" t="s">
        <v>3584</v>
      </c>
      <c r="AB2300" s="177">
        <v>43132</v>
      </c>
      <c r="AC2300" s="84" t="s">
        <v>2885</v>
      </c>
      <c r="AF2300" s="11"/>
      <c r="AG2300" s="11"/>
      <c r="AH2300" s="11"/>
      <c r="AI2300" s="11"/>
      <c r="AJ2300" s="11"/>
      <c r="AK2300" s="11"/>
    </row>
    <row r="2301" spans="1:37" ht="15.45" customHeight="1" x14ac:dyDescent="0.25">
      <c r="A2301" s="31" t="s">
        <v>2763</v>
      </c>
      <c r="B2301" s="28"/>
      <c r="C2301" s="37" t="s">
        <v>2220</v>
      </c>
      <c r="E2301" s="37" t="s">
        <v>2831</v>
      </c>
      <c r="F2301" s="24" t="s">
        <v>2515</v>
      </c>
      <c r="H2301" s="171" t="s">
        <v>2764</v>
      </c>
      <c r="J2301" s="214" t="s">
        <v>4465</v>
      </c>
      <c r="S2301" s="11"/>
      <c r="T2301" s="11"/>
      <c r="U2301" s="21">
        <v>1</v>
      </c>
      <c r="V2301" s="21">
        <v>1</v>
      </c>
      <c r="W2301" s="73">
        <f t="shared" si="116"/>
        <v>197</v>
      </c>
      <c r="X2301" s="80">
        <f t="shared" si="117"/>
        <v>5273</v>
      </c>
      <c r="Y2301" s="82" t="s">
        <v>3584</v>
      </c>
      <c r="AB2301" s="177">
        <v>43132</v>
      </c>
      <c r="AC2301" s="84" t="s">
        <v>2885</v>
      </c>
      <c r="AF2301" s="11"/>
      <c r="AG2301" s="11"/>
      <c r="AH2301" s="11"/>
      <c r="AI2301" s="11"/>
      <c r="AJ2301" s="11"/>
      <c r="AK2301" s="11"/>
    </row>
    <row r="2302" spans="1:37" ht="15.45" customHeight="1" x14ac:dyDescent="0.25">
      <c r="A2302" s="31" t="s">
        <v>2768</v>
      </c>
      <c r="B2302" s="28"/>
      <c r="C2302" s="37" t="s">
        <v>2220</v>
      </c>
      <c r="E2302" s="37" t="s">
        <v>2831</v>
      </c>
      <c r="F2302" s="24" t="s">
        <v>2515</v>
      </c>
      <c r="H2302" s="171" t="s">
        <v>2769</v>
      </c>
      <c r="J2302" s="214" t="s">
        <v>3407</v>
      </c>
      <c r="S2302" s="11"/>
      <c r="T2302" s="11"/>
      <c r="U2302" s="21">
        <v>1</v>
      </c>
      <c r="V2302" s="21">
        <v>1</v>
      </c>
      <c r="W2302" s="73">
        <f t="shared" si="116"/>
        <v>198</v>
      </c>
      <c r="X2302" s="80">
        <f t="shared" si="117"/>
        <v>5274</v>
      </c>
      <c r="Y2302" s="82" t="s">
        <v>3584</v>
      </c>
      <c r="AB2302" s="177">
        <v>43132</v>
      </c>
      <c r="AC2302" s="84" t="s">
        <v>2885</v>
      </c>
      <c r="AF2302" s="11"/>
      <c r="AG2302" s="11"/>
      <c r="AH2302" s="11"/>
      <c r="AI2302" s="11"/>
      <c r="AJ2302" s="11"/>
      <c r="AK2302" s="11"/>
    </row>
    <row r="2303" spans="1:37" ht="15.45" customHeight="1" x14ac:dyDescent="0.25">
      <c r="A2303" s="31" t="s">
        <v>2765</v>
      </c>
      <c r="B2303" s="28"/>
      <c r="C2303" s="37" t="s">
        <v>2220</v>
      </c>
      <c r="E2303" s="37" t="s">
        <v>2831</v>
      </c>
      <c r="F2303" s="24" t="s">
        <v>2515</v>
      </c>
      <c r="H2303" s="171" t="s">
        <v>6348</v>
      </c>
      <c r="J2303" s="214" t="s">
        <v>6349</v>
      </c>
      <c r="S2303" s="11"/>
      <c r="T2303" s="11"/>
      <c r="U2303" s="21">
        <v>1</v>
      </c>
      <c r="V2303" s="21">
        <v>1</v>
      </c>
      <c r="W2303" s="73">
        <f t="shared" si="116"/>
        <v>199</v>
      </c>
      <c r="X2303" s="80">
        <f t="shared" si="117"/>
        <v>5275</v>
      </c>
      <c r="Y2303" s="82" t="s">
        <v>3584</v>
      </c>
      <c r="AB2303" s="177">
        <v>43132</v>
      </c>
      <c r="AC2303" s="84" t="s">
        <v>2885</v>
      </c>
      <c r="AF2303" s="11"/>
      <c r="AG2303" s="11"/>
      <c r="AH2303" s="11"/>
      <c r="AI2303" s="11"/>
      <c r="AJ2303" s="11"/>
      <c r="AK2303" s="11"/>
    </row>
    <row r="2304" spans="1:37" ht="15.45" customHeight="1" x14ac:dyDescent="0.25">
      <c r="A2304" s="31" t="s">
        <v>2343</v>
      </c>
      <c r="B2304" s="28"/>
      <c r="C2304" s="37" t="s">
        <v>2223</v>
      </c>
      <c r="E2304" s="37" t="s">
        <v>2831</v>
      </c>
      <c r="F2304" s="24" t="s">
        <v>2515</v>
      </c>
      <c r="H2304" s="171" t="s">
        <v>2344</v>
      </c>
      <c r="J2304" s="214" t="s">
        <v>6349</v>
      </c>
      <c r="S2304" s="11"/>
      <c r="T2304" s="11"/>
      <c r="U2304" s="21">
        <v>1</v>
      </c>
      <c r="V2304" s="21">
        <v>1</v>
      </c>
      <c r="W2304" s="73">
        <f t="shared" si="116"/>
        <v>200</v>
      </c>
      <c r="X2304" s="80">
        <f t="shared" si="117"/>
        <v>5276</v>
      </c>
      <c r="Y2304" s="82" t="s">
        <v>3584</v>
      </c>
      <c r="AB2304" s="177">
        <v>43132</v>
      </c>
      <c r="AC2304" s="84" t="s">
        <v>2885</v>
      </c>
      <c r="AF2304" s="11"/>
      <c r="AG2304" s="11"/>
      <c r="AH2304" s="11"/>
      <c r="AI2304" s="11"/>
      <c r="AJ2304" s="11"/>
      <c r="AK2304" s="11"/>
    </row>
    <row r="2305" spans="1:37" ht="15.45" customHeight="1" x14ac:dyDescent="0.25">
      <c r="A2305" s="31" t="s">
        <v>2717</v>
      </c>
      <c r="B2305" s="28"/>
      <c r="C2305" s="37" t="s">
        <v>2719</v>
      </c>
      <c r="E2305" s="37" t="s">
        <v>2831</v>
      </c>
      <c r="F2305" s="24" t="s">
        <v>2515</v>
      </c>
      <c r="H2305" s="171" t="s">
        <v>4546</v>
      </c>
      <c r="J2305" s="214" t="s">
        <v>6349</v>
      </c>
      <c r="S2305" s="11" t="s">
        <v>2767</v>
      </c>
      <c r="T2305" s="11"/>
      <c r="U2305" s="21">
        <v>1</v>
      </c>
      <c r="V2305" s="21">
        <v>1</v>
      </c>
      <c r="W2305" s="73">
        <f t="shared" si="116"/>
        <v>201</v>
      </c>
      <c r="X2305" s="80">
        <f t="shared" si="117"/>
        <v>5277</v>
      </c>
      <c r="Y2305" s="82" t="s">
        <v>3584</v>
      </c>
      <c r="AB2305" s="177">
        <v>43132</v>
      </c>
      <c r="AC2305" s="84" t="s">
        <v>2885</v>
      </c>
      <c r="AF2305" s="11"/>
      <c r="AG2305" s="11"/>
      <c r="AH2305" s="11"/>
      <c r="AI2305" s="11"/>
      <c r="AJ2305" s="11"/>
      <c r="AK2305" s="11"/>
    </row>
    <row r="2306" spans="1:37" ht="15.45" customHeight="1" x14ac:dyDescent="0.25">
      <c r="A2306" s="31" t="s">
        <v>2717</v>
      </c>
      <c r="B2306" s="28"/>
      <c r="C2306" s="37" t="s">
        <v>2198</v>
      </c>
      <c r="E2306" s="37" t="s">
        <v>2831</v>
      </c>
      <c r="F2306" s="24" t="s">
        <v>2515</v>
      </c>
      <c r="H2306" s="171" t="s">
        <v>2766</v>
      </c>
      <c r="J2306" s="214" t="s">
        <v>6349</v>
      </c>
      <c r="S2306" s="11"/>
      <c r="T2306" s="11"/>
      <c r="U2306" s="21">
        <v>3</v>
      </c>
      <c r="V2306" s="21">
        <v>3</v>
      </c>
      <c r="W2306" s="73">
        <f t="shared" si="116"/>
        <v>204</v>
      </c>
      <c r="X2306" s="80">
        <f t="shared" si="117"/>
        <v>5280</v>
      </c>
      <c r="Y2306" s="82" t="s">
        <v>3584</v>
      </c>
      <c r="AB2306" s="177">
        <v>43132</v>
      </c>
      <c r="AC2306" s="84" t="s">
        <v>2885</v>
      </c>
      <c r="AF2306" s="11"/>
      <c r="AG2306" s="11"/>
      <c r="AH2306" s="11"/>
      <c r="AI2306" s="11"/>
      <c r="AJ2306" s="11"/>
      <c r="AK2306" s="11"/>
    </row>
    <row r="2307" spans="1:37" ht="15.45" customHeight="1" x14ac:dyDescent="0.25">
      <c r="A2307" s="31" t="s">
        <v>2718</v>
      </c>
      <c r="B2307" s="28"/>
      <c r="C2307" s="37" t="s">
        <v>2198</v>
      </c>
      <c r="E2307" s="37" t="s">
        <v>2831</v>
      </c>
      <c r="F2307" s="24" t="s">
        <v>2515</v>
      </c>
      <c r="H2307" s="171" t="s">
        <v>2766</v>
      </c>
      <c r="J2307" s="214" t="s">
        <v>6349</v>
      </c>
      <c r="S2307" s="11"/>
      <c r="T2307" s="11"/>
      <c r="U2307" s="21">
        <v>1</v>
      </c>
      <c r="V2307" s="21">
        <v>1</v>
      </c>
      <c r="W2307" s="73">
        <f t="shared" si="116"/>
        <v>205</v>
      </c>
      <c r="X2307" s="80">
        <f t="shared" si="117"/>
        <v>5281</v>
      </c>
      <c r="Y2307" s="82" t="s">
        <v>3584</v>
      </c>
      <c r="AB2307" s="177">
        <v>43132</v>
      </c>
      <c r="AC2307" s="84" t="s">
        <v>2885</v>
      </c>
      <c r="AF2307" s="11"/>
      <c r="AG2307" s="11"/>
      <c r="AH2307" s="11"/>
      <c r="AI2307" s="11"/>
      <c r="AJ2307" s="11"/>
      <c r="AK2307" s="11"/>
    </row>
    <row r="2308" spans="1:37" ht="15.45" customHeight="1" x14ac:dyDescent="0.25">
      <c r="A2308" s="31" t="s">
        <v>4541</v>
      </c>
      <c r="B2308" s="28"/>
      <c r="C2308" s="37" t="s">
        <v>2198</v>
      </c>
      <c r="E2308" s="37" t="s">
        <v>2927</v>
      </c>
      <c r="F2308" s="24" t="s">
        <v>2515</v>
      </c>
      <c r="H2308" s="171" t="s">
        <v>4547</v>
      </c>
      <c r="J2308" s="214" t="s">
        <v>4536</v>
      </c>
      <c r="K2308" s="162" t="s">
        <v>4537</v>
      </c>
      <c r="N2308" s="37" t="s">
        <v>4538</v>
      </c>
      <c r="P2308" s="37" t="s">
        <v>4539</v>
      </c>
      <c r="Q2308" s="37" t="s">
        <v>1955</v>
      </c>
      <c r="S2308" s="11" t="s">
        <v>3436</v>
      </c>
      <c r="T2308" s="11" t="s">
        <v>4540</v>
      </c>
      <c r="U2308" s="21">
        <v>6</v>
      </c>
      <c r="V2308" s="21">
        <v>6</v>
      </c>
      <c r="W2308" s="73">
        <f t="shared" si="116"/>
        <v>211</v>
      </c>
      <c r="X2308" s="80">
        <f t="shared" si="117"/>
        <v>5287</v>
      </c>
      <c r="Y2308" s="82" t="s">
        <v>3584</v>
      </c>
      <c r="AB2308" s="177">
        <v>43475</v>
      </c>
      <c r="AC2308" s="84" t="s">
        <v>2885</v>
      </c>
      <c r="AF2308" s="11"/>
      <c r="AG2308" s="11"/>
      <c r="AH2308" s="11"/>
      <c r="AI2308" s="11"/>
      <c r="AJ2308" s="11"/>
      <c r="AK2308" s="11"/>
    </row>
    <row r="2309" spans="1:37" ht="15.45" customHeight="1" x14ac:dyDescent="0.25">
      <c r="A2309" s="31" t="s">
        <v>4542</v>
      </c>
      <c r="B2309" s="28"/>
      <c r="C2309" s="37" t="s">
        <v>4847</v>
      </c>
      <c r="E2309" s="37" t="s">
        <v>2927</v>
      </c>
      <c r="F2309" s="24" t="s">
        <v>2515</v>
      </c>
      <c r="H2309" s="171" t="s">
        <v>4545</v>
      </c>
      <c r="I2309" s="155" t="s">
        <v>4544</v>
      </c>
      <c r="J2309" s="214" t="s">
        <v>4536</v>
      </c>
      <c r="K2309" s="162" t="s">
        <v>4537</v>
      </c>
      <c r="N2309" s="37" t="s">
        <v>4538</v>
      </c>
      <c r="P2309" s="37" t="s">
        <v>4539</v>
      </c>
      <c r="Q2309" s="37" t="s">
        <v>1955</v>
      </c>
      <c r="S2309" s="11"/>
      <c r="T2309" s="11" t="s">
        <v>4543</v>
      </c>
      <c r="U2309" s="21">
        <v>1</v>
      </c>
      <c r="V2309" s="21">
        <v>1</v>
      </c>
      <c r="W2309" s="73">
        <f t="shared" si="116"/>
        <v>212</v>
      </c>
      <c r="X2309" s="80">
        <f t="shared" si="117"/>
        <v>5288</v>
      </c>
      <c r="Y2309" s="82" t="s">
        <v>3584</v>
      </c>
      <c r="AB2309" s="177">
        <v>43475</v>
      </c>
      <c r="AC2309" s="84" t="s">
        <v>2885</v>
      </c>
      <c r="AF2309" s="11"/>
      <c r="AG2309" s="11"/>
      <c r="AH2309" s="11"/>
      <c r="AI2309" s="11"/>
      <c r="AJ2309" s="11"/>
      <c r="AK2309" s="11"/>
    </row>
    <row r="2310" spans="1:37" ht="15.45" customHeight="1" x14ac:dyDescent="0.25">
      <c r="A2310" s="31" t="s">
        <v>4548</v>
      </c>
      <c r="B2310" s="28"/>
      <c r="C2310" s="37" t="s">
        <v>2223</v>
      </c>
      <c r="E2310" s="37" t="s">
        <v>2831</v>
      </c>
      <c r="F2310" s="24" t="s">
        <v>2515</v>
      </c>
      <c r="H2310" s="171" t="s">
        <v>2341</v>
      </c>
      <c r="J2310" s="214" t="s">
        <v>4536</v>
      </c>
      <c r="K2310" s="162"/>
      <c r="S2310" s="11" t="s">
        <v>2983</v>
      </c>
      <c r="T2310" s="11"/>
      <c r="U2310" s="21">
        <v>1</v>
      </c>
      <c r="V2310" s="21">
        <v>1</v>
      </c>
      <c r="W2310" s="73">
        <f t="shared" si="116"/>
        <v>213</v>
      </c>
      <c r="X2310" s="80">
        <f t="shared" si="117"/>
        <v>5289</v>
      </c>
      <c r="Y2310" s="82" t="s">
        <v>3584</v>
      </c>
      <c r="AB2310" s="177">
        <v>43132</v>
      </c>
      <c r="AC2310" s="84" t="s">
        <v>2885</v>
      </c>
      <c r="AF2310" s="11"/>
      <c r="AG2310" s="11"/>
      <c r="AH2310" s="11"/>
      <c r="AI2310" s="11"/>
      <c r="AJ2310" s="11"/>
      <c r="AK2310" s="11"/>
    </row>
    <row r="2311" spans="1:37" s="51" customFormat="1" ht="15.45" customHeight="1" x14ac:dyDescent="0.25">
      <c r="A2311" s="45" t="s">
        <v>2770</v>
      </c>
      <c r="B2311" s="28"/>
      <c r="C2311" s="49"/>
      <c r="D2311" s="49"/>
      <c r="E2311" s="49"/>
      <c r="F2311" s="50"/>
      <c r="G2311" s="50"/>
      <c r="H2311" s="46"/>
      <c r="I2311" s="109"/>
      <c r="J2311" s="212"/>
      <c r="K2311" s="56"/>
      <c r="L2311" s="100"/>
      <c r="M2311" s="100"/>
      <c r="N2311" s="49"/>
      <c r="O2311" s="49"/>
      <c r="P2311" s="49"/>
      <c r="Q2311" s="49"/>
      <c r="R2311" s="49"/>
      <c r="S2311" s="47"/>
      <c r="T2311" s="47"/>
      <c r="U2311" s="53"/>
      <c r="V2311" s="53"/>
      <c r="W2311" s="74"/>
      <c r="X2311" s="81"/>
      <c r="Y2311" s="132"/>
      <c r="Z2311" s="50"/>
      <c r="AA2311" s="173"/>
      <c r="AB2311" s="173"/>
      <c r="AC2311" s="137"/>
      <c r="AD2311" s="137"/>
      <c r="AE2311" s="83"/>
      <c r="AF2311" s="47"/>
      <c r="AG2311" s="47"/>
      <c r="AH2311" s="47"/>
      <c r="AI2311" s="47"/>
      <c r="AJ2311" s="47"/>
      <c r="AK2311" s="47"/>
    </row>
    <row r="2312" spans="1:37" ht="15.45" customHeight="1" x14ac:dyDescent="0.25">
      <c r="A2312" s="165" t="s">
        <v>4187</v>
      </c>
      <c r="B2312" s="28"/>
      <c r="C2312" s="37" t="s">
        <v>2339</v>
      </c>
      <c r="E2312" s="37" t="s">
        <v>2831</v>
      </c>
      <c r="F2312" s="24" t="s">
        <v>2515</v>
      </c>
      <c r="H2312" s="38" t="s">
        <v>2381</v>
      </c>
      <c r="N2312" s="37" t="s">
        <v>4188</v>
      </c>
      <c r="P2312" s="37" t="s">
        <v>1482</v>
      </c>
      <c r="Q2312" s="37" t="s">
        <v>1998</v>
      </c>
      <c r="S2312" s="10" t="s">
        <v>2412</v>
      </c>
      <c r="U2312" s="21">
        <v>1</v>
      </c>
      <c r="V2312" s="21">
        <v>1</v>
      </c>
      <c r="W2312" s="73">
        <f t="shared" ref="W2312:W2338" si="118">W2311+V2312</f>
        <v>1</v>
      </c>
      <c r="X2312" s="80">
        <f>V2312+X2310</f>
        <v>5290</v>
      </c>
      <c r="Y2312" s="82" t="s">
        <v>3584</v>
      </c>
    </row>
    <row r="2313" spans="1:37" ht="15.45" customHeight="1" x14ac:dyDescent="0.25">
      <c r="A2313" s="165" t="s">
        <v>2405</v>
      </c>
      <c r="B2313" s="28"/>
      <c r="C2313" s="37" t="s">
        <v>2372</v>
      </c>
      <c r="E2313" s="37" t="s">
        <v>2831</v>
      </c>
      <c r="F2313" s="24" t="s">
        <v>2515</v>
      </c>
      <c r="H2313" s="38" t="s">
        <v>4156</v>
      </c>
      <c r="N2313" s="37" t="s">
        <v>4157</v>
      </c>
      <c r="P2313" s="37" t="s">
        <v>4158</v>
      </c>
      <c r="Q2313" s="37" t="s">
        <v>3506</v>
      </c>
      <c r="S2313" s="10" t="s">
        <v>2382</v>
      </c>
      <c r="U2313" s="21">
        <v>1</v>
      </c>
      <c r="V2313" s="21">
        <v>18</v>
      </c>
      <c r="W2313" s="73">
        <f t="shared" si="118"/>
        <v>19</v>
      </c>
      <c r="X2313" s="80">
        <f t="shared" ref="X2313:X2338" si="119">V2313+X2312</f>
        <v>5308</v>
      </c>
      <c r="Y2313" s="82" t="s">
        <v>3584</v>
      </c>
      <c r="AI2313" s="10" t="s">
        <v>2406</v>
      </c>
    </row>
    <row r="2314" spans="1:37" ht="15.45" customHeight="1" x14ac:dyDescent="0.25">
      <c r="A2314" s="165" t="s">
        <v>4212</v>
      </c>
      <c r="B2314" s="28"/>
      <c r="C2314" s="37" t="s">
        <v>2219</v>
      </c>
      <c r="E2314" s="37" t="s">
        <v>2927</v>
      </c>
      <c r="F2314" s="24" t="s">
        <v>2515</v>
      </c>
      <c r="H2314" s="38" t="s">
        <v>4215</v>
      </c>
      <c r="N2314" s="37" t="s">
        <v>4213</v>
      </c>
      <c r="P2314" s="37" t="s">
        <v>4214</v>
      </c>
      <c r="Q2314" s="37" t="s">
        <v>1998</v>
      </c>
      <c r="S2314" s="10" t="s">
        <v>3412</v>
      </c>
      <c r="U2314" s="21">
        <v>1</v>
      </c>
      <c r="V2314" s="21">
        <v>6</v>
      </c>
      <c r="W2314" s="73">
        <f t="shared" si="118"/>
        <v>25</v>
      </c>
      <c r="X2314" s="80">
        <f t="shared" si="119"/>
        <v>5314</v>
      </c>
      <c r="Y2314" s="82" t="s">
        <v>3584</v>
      </c>
      <c r="AB2314" s="177">
        <v>43213</v>
      </c>
      <c r="AC2314" s="84" t="s">
        <v>2885</v>
      </c>
    </row>
    <row r="2315" spans="1:37" ht="15.45" customHeight="1" x14ac:dyDescent="0.25">
      <c r="A2315" s="165" t="s">
        <v>4217</v>
      </c>
      <c r="B2315" s="28"/>
      <c r="C2315" s="37" t="s">
        <v>2219</v>
      </c>
      <c r="E2315" s="37" t="s">
        <v>2927</v>
      </c>
      <c r="F2315" s="24" t="s">
        <v>3458</v>
      </c>
      <c r="H2315" s="38" t="s">
        <v>4216</v>
      </c>
      <c r="N2315" s="37" t="s">
        <v>4213</v>
      </c>
      <c r="P2315" s="37" t="s">
        <v>4214</v>
      </c>
      <c r="Q2315" s="37" t="s">
        <v>1998</v>
      </c>
      <c r="S2315" s="10" t="s">
        <v>3412</v>
      </c>
      <c r="U2315" s="21">
        <v>1</v>
      </c>
      <c r="V2315" s="21">
        <v>7</v>
      </c>
      <c r="W2315" s="73">
        <f t="shared" si="118"/>
        <v>32</v>
      </c>
      <c r="X2315" s="80">
        <f t="shared" si="119"/>
        <v>5321</v>
      </c>
      <c r="Y2315" s="82" t="s">
        <v>3584</v>
      </c>
      <c r="AB2315" s="177">
        <v>43214</v>
      </c>
      <c r="AC2315" s="84" t="s">
        <v>2885</v>
      </c>
    </row>
    <row r="2316" spans="1:37" ht="15.45" customHeight="1" x14ac:dyDescent="0.25">
      <c r="A2316" s="165" t="s">
        <v>6978</v>
      </c>
      <c r="B2316" s="28"/>
      <c r="C2316" s="37" t="s">
        <v>2339</v>
      </c>
      <c r="E2316" s="37" t="s">
        <v>2831</v>
      </c>
      <c r="F2316" s="24" t="s">
        <v>2515</v>
      </c>
      <c r="H2316" s="38" t="s">
        <v>4159</v>
      </c>
      <c r="S2316" s="10" t="s">
        <v>2390</v>
      </c>
      <c r="U2316" s="21">
        <v>1</v>
      </c>
      <c r="V2316" s="21">
        <v>13</v>
      </c>
      <c r="W2316" s="73">
        <f t="shared" si="118"/>
        <v>45</v>
      </c>
      <c r="X2316" s="80">
        <f t="shared" si="119"/>
        <v>5334</v>
      </c>
      <c r="Y2316" s="82" t="s">
        <v>3584</v>
      </c>
      <c r="AB2316" s="177">
        <v>43214</v>
      </c>
      <c r="AC2316" s="84" t="s">
        <v>2885</v>
      </c>
    </row>
    <row r="2317" spans="1:37" ht="15.45" customHeight="1" x14ac:dyDescent="0.25">
      <c r="A2317" s="165" t="s">
        <v>6979</v>
      </c>
      <c r="B2317" s="28"/>
      <c r="C2317" s="37" t="s">
        <v>2372</v>
      </c>
      <c r="E2317" s="37" t="s">
        <v>2831</v>
      </c>
      <c r="F2317" s="24" t="s">
        <v>2515</v>
      </c>
      <c r="H2317" s="38" t="s">
        <v>4190</v>
      </c>
      <c r="J2317" s="214" t="s">
        <v>4191</v>
      </c>
      <c r="N2317" s="37" t="s">
        <v>4189</v>
      </c>
      <c r="S2317" s="10" t="s">
        <v>2419</v>
      </c>
      <c r="U2317" s="21">
        <v>1</v>
      </c>
      <c r="V2317" s="21">
        <v>10</v>
      </c>
      <c r="W2317" s="73">
        <f t="shared" si="118"/>
        <v>55</v>
      </c>
      <c r="X2317" s="80">
        <f t="shared" si="119"/>
        <v>5344</v>
      </c>
      <c r="Y2317" s="82" t="s">
        <v>3584</v>
      </c>
      <c r="AB2317" s="177">
        <v>43214</v>
      </c>
      <c r="AC2317" s="84" t="s">
        <v>2885</v>
      </c>
      <c r="AI2317" s="10" t="s">
        <v>2420</v>
      </c>
    </row>
    <row r="2318" spans="1:37" ht="15.45" customHeight="1" x14ac:dyDescent="0.25">
      <c r="A2318" s="165" t="s">
        <v>6980</v>
      </c>
      <c r="B2318" s="28"/>
      <c r="C2318" s="37" t="s">
        <v>2339</v>
      </c>
      <c r="E2318" s="37" t="s">
        <v>2831</v>
      </c>
      <c r="F2318" s="24" t="s">
        <v>2427</v>
      </c>
      <c r="H2318" s="38" t="s">
        <v>2424</v>
      </c>
      <c r="S2318" s="10" t="s">
        <v>2425</v>
      </c>
      <c r="U2318" s="21">
        <v>1</v>
      </c>
      <c r="V2318" s="21">
        <v>9</v>
      </c>
      <c r="W2318" s="73">
        <f t="shared" si="118"/>
        <v>64</v>
      </c>
      <c r="X2318" s="80">
        <f t="shared" si="119"/>
        <v>5353</v>
      </c>
      <c r="Y2318" s="82" t="s">
        <v>3584</v>
      </c>
      <c r="AB2318" s="177">
        <v>43214</v>
      </c>
      <c r="AC2318" s="84" t="s">
        <v>2885</v>
      </c>
      <c r="AI2318" s="10" t="s">
        <v>2426</v>
      </c>
    </row>
    <row r="2319" spans="1:37" ht="15.45" customHeight="1" x14ac:dyDescent="0.25">
      <c r="A2319" s="165" t="s">
        <v>6981</v>
      </c>
      <c r="B2319" s="28"/>
      <c r="C2319" s="37" t="s">
        <v>2339</v>
      </c>
      <c r="E2319" s="37" t="s">
        <v>2831</v>
      </c>
      <c r="F2319" s="24" t="s">
        <v>2515</v>
      </c>
      <c r="H2319" s="38" t="s">
        <v>2421</v>
      </c>
      <c r="S2319" s="10" t="s">
        <v>2407</v>
      </c>
      <c r="U2319" s="21">
        <v>1</v>
      </c>
      <c r="V2319" s="21">
        <v>7</v>
      </c>
      <c r="W2319" s="73">
        <f t="shared" si="118"/>
        <v>71</v>
      </c>
      <c r="X2319" s="80">
        <f t="shared" si="119"/>
        <v>5360</v>
      </c>
      <c r="Y2319" s="82" t="s">
        <v>3584</v>
      </c>
      <c r="AB2319" s="177">
        <v>43214</v>
      </c>
      <c r="AC2319" s="84" t="s">
        <v>2885</v>
      </c>
    </row>
    <row r="2320" spans="1:37" ht="16.05" customHeight="1" x14ac:dyDescent="0.25">
      <c r="A2320" s="165" t="s">
        <v>6982</v>
      </c>
      <c r="B2320" s="28"/>
      <c r="C2320" s="37" t="s">
        <v>2339</v>
      </c>
      <c r="E2320" s="37" t="s">
        <v>2831</v>
      </c>
      <c r="F2320" s="24" t="s">
        <v>2515</v>
      </c>
      <c r="H2320" s="171" t="s">
        <v>4160</v>
      </c>
      <c r="N2320" s="37" t="s">
        <v>4161</v>
      </c>
      <c r="P2320" s="37" t="s">
        <v>4162</v>
      </c>
      <c r="Q2320" s="37" t="s">
        <v>1979</v>
      </c>
      <c r="S2320" s="10" t="s">
        <v>2386</v>
      </c>
      <c r="T2320" s="11"/>
      <c r="U2320" s="21">
        <v>1</v>
      </c>
      <c r="V2320" s="21">
        <v>19</v>
      </c>
      <c r="W2320" s="73">
        <f t="shared" si="118"/>
        <v>90</v>
      </c>
      <c r="X2320" s="80">
        <f t="shared" si="119"/>
        <v>5379</v>
      </c>
      <c r="Y2320" s="82" t="s">
        <v>3584</v>
      </c>
      <c r="AF2320" s="11"/>
      <c r="AG2320" s="11"/>
      <c r="AH2320" s="11"/>
      <c r="AI2320" s="11" t="s">
        <v>2387</v>
      </c>
      <c r="AJ2320" s="11"/>
      <c r="AK2320" s="11"/>
    </row>
    <row r="2321" spans="1:37" ht="15.45" customHeight="1" x14ac:dyDescent="0.25">
      <c r="A2321" s="165" t="s">
        <v>6983</v>
      </c>
      <c r="B2321" s="28"/>
      <c r="C2321" s="37" t="s">
        <v>2372</v>
      </c>
      <c r="E2321" s="37" t="s">
        <v>2831</v>
      </c>
      <c r="F2321" s="24" t="s">
        <v>2515</v>
      </c>
      <c r="G2321" s="25"/>
      <c r="H2321" s="171" t="s">
        <v>4167</v>
      </c>
      <c r="J2321" s="214" t="s">
        <v>4168</v>
      </c>
      <c r="K2321" s="10" t="s">
        <v>4169</v>
      </c>
      <c r="S2321" s="10" t="s">
        <v>2390</v>
      </c>
      <c r="T2321" s="11"/>
      <c r="U2321" s="21">
        <v>1</v>
      </c>
      <c r="V2321" s="21">
        <v>21</v>
      </c>
      <c r="W2321" s="73">
        <f t="shared" si="118"/>
        <v>111</v>
      </c>
      <c r="X2321" s="80">
        <f t="shared" si="119"/>
        <v>5400</v>
      </c>
      <c r="Y2321" s="82" t="s">
        <v>3584</v>
      </c>
      <c r="AB2321" s="177">
        <v>43214</v>
      </c>
      <c r="AC2321" s="84" t="s">
        <v>2885</v>
      </c>
      <c r="AF2321" s="11"/>
      <c r="AG2321" s="11"/>
      <c r="AH2321" s="11"/>
      <c r="AI2321" s="11" t="s">
        <v>2422</v>
      </c>
      <c r="AJ2321" s="11"/>
      <c r="AK2321" s="11"/>
    </row>
    <row r="2322" spans="1:37" ht="15.45" customHeight="1" x14ac:dyDescent="0.25">
      <c r="A2322" s="165" t="s">
        <v>6984</v>
      </c>
      <c r="B2322" s="28"/>
      <c r="C2322" s="37" t="s">
        <v>2372</v>
      </c>
      <c r="E2322" s="37" t="s">
        <v>2831</v>
      </c>
      <c r="F2322" s="24" t="s">
        <v>2515</v>
      </c>
      <c r="G2322" s="25"/>
      <c r="H2322" s="171" t="s">
        <v>4170</v>
      </c>
      <c r="N2322" s="37" t="s">
        <v>4171</v>
      </c>
      <c r="S2322" s="10" t="s">
        <v>2390</v>
      </c>
      <c r="T2322" s="11"/>
      <c r="U2322" s="21">
        <v>1</v>
      </c>
      <c r="V2322" s="21">
        <v>5</v>
      </c>
      <c r="W2322" s="73">
        <f t="shared" si="118"/>
        <v>116</v>
      </c>
      <c r="X2322" s="80">
        <f t="shared" si="119"/>
        <v>5405</v>
      </c>
      <c r="Y2322" s="82" t="s">
        <v>3584</v>
      </c>
      <c r="AB2322" s="177">
        <v>43214</v>
      </c>
      <c r="AC2322" s="84" t="s">
        <v>2885</v>
      </c>
      <c r="AF2322" s="11"/>
      <c r="AG2322" s="11"/>
      <c r="AH2322" s="11"/>
      <c r="AI2322" s="11"/>
      <c r="AJ2322" s="11"/>
      <c r="AK2322" s="11"/>
    </row>
    <row r="2323" spans="1:37" ht="15.45" customHeight="1" x14ac:dyDescent="0.25">
      <c r="A2323" s="165" t="s">
        <v>6985</v>
      </c>
      <c r="B2323" s="28"/>
      <c r="C2323" s="37" t="s">
        <v>2372</v>
      </c>
      <c r="E2323" s="37" t="s">
        <v>2831</v>
      </c>
      <c r="F2323" s="24" t="s">
        <v>2427</v>
      </c>
      <c r="G2323" s="25"/>
      <c r="H2323" s="171" t="s">
        <v>4172</v>
      </c>
      <c r="N2323" s="37" t="s">
        <v>4173</v>
      </c>
      <c r="S2323" s="10" t="s">
        <v>2429</v>
      </c>
      <c r="T2323" s="11"/>
      <c r="U2323" s="21">
        <v>1</v>
      </c>
      <c r="V2323" s="21">
        <v>10</v>
      </c>
      <c r="W2323" s="73">
        <f t="shared" si="118"/>
        <v>126</v>
      </c>
      <c r="X2323" s="80">
        <f t="shared" si="119"/>
        <v>5415</v>
      </c>
      <c r="Y2323" s="82" t="s">
        <v>3584</v>
      </c>
      <c r="AB2323" s="177">
        <v>43214</v>
      </c>
      <c r="AC2323" s="84" t="s">
        <v>2885</v>
      </c>
      <c r="AF2323" s="11"/>
      <c r="AG2323" s="11"/>
      <c r="AH2323" s="11"/>
      <c r="AI2323" s="11"/>
      <c r="AJ2323" s="11"/>
      <c r="AK2323" s="11"/>
    </row>
    <row r="2324" spans="1:37" ht="15.45" customHeight="1" x14ac:dyDescent="0.25">
      <c r="A2324" s="165" t="s">
        <v>6986</v>
      </c>
      <c r="B2324" s="28"/>
      <c r="C2324" s="37" t="s">
        <v>2372</v>
      </c>
      <c r="E2324" s="37" t="s">
        <v>2831</v>
      </c>
      <c r="F2324" s="24" t="s">
        <v>2515</v>
      </c>
      <c r="G2324" s="25"/>
      <c r="H2324" s="171" t="s">
        <v>4174</v>
      </c>
      <c r="N2324" s="37" t="s">
        <v>4175</v>
      </c>
      <c r="S2324" s="10" t="s">
        <v>2428</v>
      </c>
      <c r="T2324" s="11"/>
      <c r="U2324" s="21">
        <v>1</v>
      </c>
      <c r="V2324" s="21">
        <v>20</v>
      </c>
      <c r="W2324" s="73">
        <f t="shared" si="118"/>
        <v>146</v>
      </c>
      <c r="X2324" s="80">
        <f t="shared" si="119"/>
        <v>5435</v>
      </c>
      <c r="Y2324" s="82" t="s">
        <v>3584</v>
      </c>
      <c r="AB2324" s="177">
        <v>43214</v>
      </c>
      <c r="AC2324" s="84" t="s">
        <v>2885</v>
      </c>
      <c r="AF2324" s="11"/>
      <c r="AG2324" s="11"/>
      <c r="AH2324" s="11"/>
      <c r="AI2324" s="11"/>
      <c r="AJ2324" s="11"/>
      <c r="AK2324" s="11"/>
    </row>
    <row r="2325" spans="1:37" ht="15.45" customHeight="1" x14ac:dyDescent="0.25">
      <c r="A2325" s="165" t="s">
        <v>6987</v>
      </c>
      <c r="B2325" s="28"/>
      <c r="C2325" s="37" t="s">
        <v>2339</v>
      </c>
      <c r="E2325" s="37" t="s">
        <v>2831</v>
      </c>
      <c r="F2325" s="24" t="s">
        <v>2515</v>
      </c>
      <c r="H2325" s="171" t="s">
        <v>4155</v>
      </c>
      <c r="S2325" s="10" t="s">
        <v>2402</v>
      </c>
      <c r="U2325" s="21">
        <v>1</v>
      </c>
      <c r="V2325" s="21">
        <v>11</v>
      </c>
      <c r="W2325" s="73">
        <f t="shared" si="118"/>
        <v>157</v>
      </c>
      <c r="X2325" s="80">
        <f t="shared" si="119"/>
        <v>5446</v>
      </c>
      <c r="Y2325" s="82" t="s">
        <v>3584</v>
      </c>
      <c r="AI2325" s="10" t="s">
        <v>2854</v>
      </c>
    </row>
    <row r="2326" spans="1:37" ht="15.45" customHeight="1" x14ac:dyDescent="0.25">
      <c r="A2326" s="165" t="s">
        <v>6988</v>
      </c>
      <c r="B2326" s="28"/>
      <c r="C2326" s="37" t="s">
        <v>2339</v>
      </c>
      <c r="E2326" s="37" t="s">
        <v>2831</v>
      </c>
      <c r="F2326" s="24" t="s">
        <v>2515</v>
      </c>
      <c r="H2326" s="171" t="s">
        <v>2430</v>
      </c>
      <c r="S2326" s="10" t="s">
        <v>2390</v>
      </c>
      <c r="T2326" s="11"/>
      <c r="U2326" s="21">
        <v>1</v>
      </c>
      <c r="V2326" s="21">
        <v>12</v>
      </c>
      <c r="W2326" s="73">
        <f t="shared" si="118"/>
        <v>169</v>
      </c>
      <c r="X2326" s="80">
        <f t="shared" si="119"/>
        <v>5458</v>
      </c>
      <c r="Y2326" s="82" t="s">
        <v>3584</v>
      </c>
      <c r="AF2326" s="11"/>
      <c r="AG2326" s="11"/>
      <c r="AH2326" s="11"/>
      <c r="AI2326" s="11" t="s">
        <v>2854</v>
      </c>
      <c r="AJ2326" s="11"/>
      <c r="AK2326" s="11"/>
    </row>
    <row r="2327" spans="1:37" ht="15.45" customHeight="1" x14ac:dyDescent="0.25">
      <c r="A2327" s="165" t="s">
        <v>6989</v>
      </c>
      <c r="B2327" s="28"/>
      <c r="C2327" s="37" t="s">
        <v>2339</v>
      </c>
      <c r="E2327" s="37" t="s">
        <v>2831</v>
      </c>
      <c r="F2327" s="24" t="s">
        <v>2515</v>
      </c>
      <c r="H2327" s="171" t="s">
        <v>2403</v>
      </c>
      <c r="S2327" s="10" t="s">
        <v>2404</v>
      </c>
      <c r="T2327" s="11"/>
      <c r="U2327" s="21">
        <v>1</v>
      </c>
      <c r="V2327" s="21">
        <v>6</v>
      </c>
      <c r="W2327" s="73">
        <f t="shared" si="118"/>
        <v>175</v>
      </c>
      <c r="X2327" s="80">
        <f t="shared" si="119"/>
        <v>5464</v>
      </c>
      <c r="Y2327" s="82" t="s">
        <v>3584</v>
      </c>
      <c r="AF2327" s="11"/>
      <c r="AG2327" s="11"/>
      <c r="AH2327" s="11"/>
      <c r="AI2327" s="11"/>
      <c r="AJ2327" s="11"/>
      <c r="AK2327" s="11"/>
    </row>
    <row r="2328" spans="1:37" ht="15.45" customHeight="1" x14ac:dyDescent="0.25">
      <c r="A2328" s="165" t="s">
        <v>6990</v>
      </c>
      <c r="B2328" s="28"/>
      <c r="C2328" s="37" t="s">
        <v>2339</v>
      </c>
      <c r="E2328" s="37" t="s">
        <v>2831</v>
      </c>
      <c r="F2328" s="24" t="s">
        <v>2515</v>
      </c>
      <c r="H2328" s="171" t="s">
        <v>4201</v>
      </c>
      <c r="J2328" s="214" t="s">
        <v>4065</v>
      </c>
      <c r="K2328" s="10" t="s">
        <v>4066</v>
      </c>
      <c r="N2328" s="37" t="s">
        <v>4069</v>
      </c>
      <c r="P2328" s="37" t="s">
        <v>4067</v>
      </c>
      <c r="Q2328" s="37" t="s">
        <v>4068</v>
      </c>
      <c r="S2328" s="10" t="s">
        <v>2389</v>
      </c>
      <c r="T2328" s="11"/>
      <c r="U2328" s="21">
        <v>1</v>
      </c>
      <c r="V2328" s="21">
        <v>24</v>
      </c>
      <c r="W2328" s="73">
        <f t="shared" si="118"/>
        <v>199</v>
      </c>
      <c r="X2328" s="80">
        <f t="shared" si="119"/>
        <v>5488</v>
      </c>
      <c r="Y2328" s="82" t="s">
        <v>3584</v>
      </c>
      <c r="AF2328" s="11"/>
      <c r="AG2328" s="11"/>
      <c r="AH2328" s="11"/>
      <c r="AI2328" s="11" t="s">
        <v>2388</v>
      </c>
      <c r="AJ2328" s="11"/>
      <c r="AK2328" s="11"/>
    </row>
    <row r="2329" spans="1:37" ht="15.45" customHeight="1" x14ac:dyDescent="0.25">
      <c r="A2329" s="165" t="s">
        <v>6991</v>
      </c>
      <c r="B2329" s="28"/>
      <c r="C2329" s="37" t="s">
        <v>2372</v>
      </c>
      <c r="E2329" s="37" t="s">
        <v>2831</v>
      </c>
      <c r="F2329" s="24" t="s">
        <v>2515</v>
      </c>
      <c r="H2329" s="171" t="s">
        <v>4176</v>
      </c>
      <c r="N2329" s="37" t="s">
        <v>4177</v>
      </c>
      <c r="Q2329" s="37" t="s">
        <v>3506</v>
      </c>
      <c r="S2329" s="10" t="s">
        <v>2390</v>
      </c>
      <c r="T2329" s="11"/>
      <c r="U2329" s="21">
        <v>1</v>
      </c>
      <c r="V2329" s="21">
        <v>1</v>
      </c>
      <c r="W2329" s="73">
        <f t="shared" si="118"/>
        <v>200</v>
      </c>
      <c r="X2329" s="80">
        <f t="shared" si="119"/>
        <v>5489</v>
      </c>
      <c r="Y2329" s="82" t="s">
        <v>3584</v>
      </c>
      <c r="AB2329" s="177">
        <v>43214</v>
      </c>
      <c r="AC2329" s="84" t="s">
        <v>2885</v>
      </c>
      <c r="AF2329" s="11"/>
      <c r="AG2329" s="11"/>
      <c r="AH2329" s="11"/>
      <c r="AI2329" s="11" t="s">
        <v>2408</v>
      </c>
      <c r="AJ2329" s="11"/>
      <c r="AK2329" s="11"/>
    </row>
    <row r="2330" spans="1:37" ht="15.45" customHeight="1" x14ac:dyDescent="0.25">
      <c r="A2330" s="165" t="s">
        <v>6992</v>
      </c>
      <c r="B2330" s="28"/>
      <c r="C2330" s="37" t="s">
        <v>2372</v>
      </c>
      <c r="E2330" s="37" t="s">
        <v>2831</v>
      </c>
      <c r="F2330" s="24" t="s">
        <v>2515</v>
      </c>
      <c r="H2330" s="171" t="s">
        <v>4178</v>
      </c>
      <c r="N2330" s="37" t="s">
        <v>4179</v>
      </c>
      <c r="P2330" s="37" t="s">
        <v>1781</v>
      </c>
      <c r="Q2330" s="37" t="s">
        <v>3506</v>
      </c>
      <c r="S2330" s="10" t="s">
        <v>2411</v>
      </c>
      <c r="T2330" s="11"/>
      <c r="U2330" s="21">
        <v>1</v>
      </c>
      <c r="V2330" s="21">
        <v>30</v>
      </c>
      <c r="W2330" s="73">
        <f t="shared" si="118"/>
        <v>230</v>
      </c>
      <c r="X2330" s="80">
        <f t="shared" si="119"/>
        <v>5519</v>
      </c>
      <c r="Y2330" s="82" t="s">
        <v>3584</v>
      </c>
      <c r="AB2330" s="177">
        <v>43214</v>
      </c>
      <c r="AC2330" s="84" t="s">
        <v>2885</v>
      </c>
      <c r="AF2330" s="11"/>
      <c r="AG2330" s="11"/>
      <c r="AH2330" s="11"/>
      <c r="AI2330" s="11" t="s">
        <v>2410</v>
      </c>
      <c r="AJ2330" s="11"/>
      <c r="AK2330" s="11"/>
    </row>
    <row r="2331" spans="1:37" ht="15.45" customHeight="1" x14ac:dyDescent="0.25">
      <c r="A2331" s="165" t="s">
        <v>6993</v>
      </c>
      <c r="B2331" s="28"/>
      <c r="C2331" s="37" t="s">
        <v>2372</v>
      </c>
      <c r="E2331" s="37" t="s">
        <v>2831</v>
      </c>
      <c r="F2331" s="24" t="s">
        <v>2515</v>
      </c>
      <c r="H2331" s="171" t="s">
        <v>4180</v>
      </c>
      <c r="N2331" s="37" t="s">
        <v>4181</v>
      </c>
      <c r="P2331" s="37" t="s">
        <v>1781</v>
      </c>
      <c r="Q2331" s="37" t="s">
        <v>3506</v>
      </c>
      <c r="S2331" s="10" t="s">
        <v>2415</v>
      </c>
      <c r="T2331" s="11"/>
      <c r="U2331" s="21">
        <v>1</v>
      </c>
      <c r="V2331" s="21">
        <v>15</v>
      </c>
      <c r="W2331" s="73">
        <f t="shared" si="118"/>
        <v>245</v>
      </c>
      <c r="X2331" s="80">
        <f t="shared" si="119"/>
        <v>5534</v>
      </c>
      <c r="Y2331" s="82" t="s">
        <v>3584</v>
      </c>
      <c r="AB2331" s="177">
        <v>43214</v>
      </c>
      <c r="AC2331" s="84" t="s">
        <v>2885</v>
      </c>
      <c r="AF2331" s="11"/>
      <c r="AG2331" s="11"/>
      <c r="AH2331" s="11"/>
      <c r="AI2331" s="11" t="s">
        <v>2416</v>
      </c>
      <c r="AJ2331" s="11"/>
      <c r="AK2331" s="11"/>
    </row>
    <row r="2332" spans="1:37" ht="15.45" customHeight="1" x14ac:dyDescent="0.25">
      <c r="A2332" s="165" t="s">
        <v>6994</v>
      </c>
      <c r="B2332" s="28"/>
      <c r="C2332" s="37" t="s">
        <v>2372</v>
      </c>
      <c r="E2332" s="37" t="s">
        <v>2831</v>
      </c>
      <c r="F2332" s="24" t="s">
        <v>2515</v>
      </c>
      <c r="H2332" s="171" t="s">
        <v>4180</v>
      </c>
      <c r="N2332" s="37" t="s">
        <v>4181</v>
      </c>
      <c r="P2332" s="37" t="s">
        <v>1781</v>
      </c>
      <c r="Q2332" s="37" t="s">
        <v>3506</v>
      </c>
      <c r="S2332" s="10" t="s">
        <v>2417</v>
      </c>
      <c r="T2332" s="11"/>
      <c r="U2332" s="21">
        <v>1</v>
      </c>
      <c r="V2332" s="21">
        <v>18</v>
      </c>
      <c r="W2332" s="73">
        <f t="shared" si="118"/>
        <v>263</v>
      </c>
      <c r="X2332" s="80">
        <f t="shared" si="119"/>
        <v>5552</v>
      </c>
      <c r="Y2332" s="82" t="s">
        <v>3584</v>
      </c>
      <c r="AB2332" s="177">
        <v>43214</v>
      </c>
      <c r="AC2332" s="84" t="s">
        <v>2885</v>
      </c>
      <c r="AF2332" s="11"/>
      <c r="AG2332" s="11"/>
      <c r="AH2332" s="11"/>
      <c r="AI2332" s="11" t="s">
        <v>2418</v>
      </c>
      <c r="AJ2332" s="11"/>
      <c r="AK2332" s="11"/>
    </row>
    <row r="2333" spans="1:37" ht="15.45" customHeight="1" x14ac:dyDescent="0.25">
      <c r="A2333" s="165" t="s">
        <v>6995</v>
      </c>
      <c r="B2333" s="28"/>
      <c r="C2333" s="37" t="s">
        <v>2372</v>
      </c>
      <c r="E2333" s="37" t="s">
        <v>2831</v>
      </c>
      <c r="F2333" s="24" t="s">
        <v>2515</v>
      </c>
      <c r="H2333" s="171" t="s">
        <v>4182</v>
      </c>
      <c r="Q2333" s="37" t="s">
        <v>4183</v>
      </c>
      <c r="S2333" s="10" t="s">
        <v>2413</v>
      </c>
      <c r="T2333" s="11"/>
      <c r="U2333" s="21">
        <v>1</v>
      </c>
      <c r="V2333" s="21">
        <v>8</v>
      </c>
      <c r="W2333" s="73">
        <f t="shared" si="118"/>
        <v>271</v>
      </c>
      <c r="X2333" s="80">
        <f t="shared" si="119"/>
        <v>5560</v>
      </c>
      <c r="Y2333" s="82" t="s">
        <v>3584</v>
      </c>
      <c r="AB2333" s="177">
        <v>43214</v>
      </c>
      <c r="AC2333" s="84" t="s">
        <v>2885</v>
      </c>
      <c r="AF2333" s="11"/>
      <c r="AG2333" s="11"/>
      <c r="AH2333" s="11"/>
      <c r="AI2333" s="11" t="s">
        <v>2410</v>
      </c>
      <c r="AJ2333" s="11"/>
      <c r="AK2333" s="11"/>
    </row>
    <row r="2334" spans="1:37" ht="15.45" customHeight="1" x14ac:dyDescent="0.25">
      <c r="A2334" s="165" t="s">
        <v>6996</v>
      </c>
      <c r="B2334" s="28"/>
      <c r="C2334" s="37" t="s">
        <v>2372</v>
      </c>
      <c r="E2334" s="37" t="s">
        <v>2831</v>
      </c>
      <c r="F2334" s="24" t="s">
        <v>2515</v>
      </c>
      <c r="H2334" s="171" t="s">
        <v>4182</v>
      </c>
      <c r="Q2334" s="37" t="s">
        <v>4183</v>
      </c>
      <c r="S2334" s="10" t="s">
        <v>2423</v>
      </c>
      <c r="T2334" s="11"/>
      <c r="U2334" s="21">
        <v>1</v>
      </c>
      <c r="V2334" s="21">
        <v>12</v>
      </c>
      <c r="W2334" s="73">
        <f t="shared" si="118"/>
        <v>283</v>
      </c>
      <c r="X2334" s="80">
        <f t="shared" si="119"/>
        <v>5572</v>
      </c>
      <c r="Y2334" s="82" t="s">
        <v>3584</v>
      </c>
      <c r="AB2334" s="177">
        <v>43214</v>
      </c>
      <c r="AC2334" s="84" t="s">
        <v>2885</v>
      </c>
      <c r="AF2334" s="11"/>
      <c r="AG2334" s="11"/>
      <c r="AH2334" s="11"/>
      <c r="AI2334" s="11" t="s">
        <v>2410</v>
      </c>
      <c r="AJ2334" s="11"/>
      <c r="AK2334" s="11"/>
    </row>
    <row r="2335" spans="1:37" ht="15.45" customHeight="1" x14ac:dyDescent="0.25">
      <c r="A2335" s="165" t="s">
        <v>6997</v>
      </c>
      <c r="B2335" s="28"/>
      <c r="C2335" s="37" t="s">
        <v>2372</v>
      </c>
      <c r="E2335" s="37" t="s">
        <v>2831</v>
      </c>
      <c r="F2335" s="24" t="s">
        <v>2515</v>
      </c>
      <c r="H2335" s="171" t="s">
        <v>4182</v>
      </c>
      <c r="Q2335" s="37" t="s">
        <v>4183</v>
      </c>
      <c r="S2335" s="10" t="s">
        <v>2409</v>
      </c>
      <c r="T2335" s="11"/>
      <c r="U2335" s="21">
        <v>1</v>
      </c>
      <c r="V2335" s="21">
        <v>9</v>
      </c>
      <c r="W2335" s="73">
        <f t="shared" si="118"/>
        <v>292</v>
      </c>
      <c r="X2335" s="80">
        <f t="shared" si="119"/>
        <v>5581</v>
      </c>
      <c r="Y2335" s="82" t="s">
        <v>3584</v>
      </c>
      <c r="AB2335" s="177">
        <v>43214</v>
      </c>
      <c r="AC2335" s="84" t="s">
        <v>2885</v>
      </c>
      <c r="AF2335" s="11"/>
      <c r="AG2335" s="11"/>
      <c r="AH2335" s="11"/>
      <c r="AI2335" s="11" t="s">
        <v>2414</v>
      </c>
      <c r="AJ2335" s="11"/>
      <c r="AK2335" s="11"/>
    </row>
    <row r="2336" spans="1:37" ht="15.45" customHeight="1" x14ac:dyDescent="0.25">
      <c r="A2336" s="165" t="s">
        <v>6998</v>
      </c>
      <c r="B2336" s="28"/>
      <c r="C2336" s="37" t="s">
        <v>2372</v>
      </c>
      <c r="E2336" s="37" t="s">
        <v>2831</v>
      </c>
      <c r="F2336" s="24" t="s">
        <v>2515</v>
      </c>
      <c r="H2336" s="171" t="s">
        <v>2431</v>
      </c>
      <c r="S2336" s="11"/>
      <c r="T2336" s="11"/>
      <c r="U2336" s="21">
        <v>1</v>
      </c>
      <c r="V2336" s="21">
        <v>2</v>
      </c>
      <c r="W2336" s="73">
        <f t="shared" si="118"/>
        <v>294</v>
      </c>
      <c r="X2336" s="80">
        <f t="shared" si="119"/>
        <v>5583</v>
      </c>
      <c r="Y2336" s="82" t="s">
        <v>3584</v>
      </c>
      <c r="AB2336" s="177">
        <v>43214</v>
      </c>
      <c r="AC2336" s="84" t="s">
        <v>2885</v>
      </c>
      <c r="AF2336" s="11"/>
      <c r="AG2336" s="11"/>
      <c r="AH2336" s="11"/>
      <c r="AI2336" s="11"/>
      <c r="AJ2336" s="11"/>
      <c r="AK2336" s="11"/>
    </row>
    <row r="2337" spans="1:37" ht="15.45" customHeight="1" x14ac:dyDescent="0.25">
      <c r="A2337" s="165" t="s">
        <v>6999</v>
      </c>
      <c r="B2337" s="28"/>
      <c r="C2337" s="37" t="s">
        <v>2339</v>
      </c>
      <c r="E2337" s="37" t="s">
        <v>2831</v>
      </c>
      <c r="F2337" s="24" t="s">
        <v>2515</v>
      </c>
      <c r="H2337" s="38" t="s">
        <v>4184</v>
      </c>
      <c r="N2337" s="37" t="s">
        <v>4185</v>
      </c>
      <c r="P2337" s="37" t="s">
        <v>4186</v>
      </c>
      <c r="Q2337" s="37" t="s">
        <v>1979</v>
      </c>
      <c r="S2337" s="10" t="s">
        <v>3436</v>
      </c>
      <c r="U2337" s="21">
        <v>1</v>
      </c>
      <c r="V2337" s="21">
        <v>12</v>
      </c>
      <c r="W2337" s="73">
        <f t="shared" si="118"/>
        <v>306</v>
      </c>
      <c r="X2337" s="80">
        <f t="shared" si="119"/>
        <v>5595</v>
      </c>
      <c r="Y2337" s="82" t="s">
        <v>3584</v>
      </c>
      <c r="AB2337" s="177">
        <v>43214</v>
      </c>
      <c r="AC2337" s="84" t="s">
        <v>2885</v>
      </c>
    </row>
    <row r="2338" spans="1:37" ht="15.45" customHeight="1" x14ac:dyDescent="0.25">
      <c r="A2338" s="165" t="s">
        <v>7003</v>
      </c>
      <c r="B2338" s="28"/>
      <c r="C2338" s="37" t="s">
        <v>2339</v>
      </c>
      <c r="E2338" s="37" t="s">
        <v>2831</v>
      </c>
      <c r="F2338" s="24" t="s">
        <v>2515</v>
      </c>
      <c r="H2338" s="38" t="s">
        <v>7004</v>
      </c>
      <c r="J2338" s="214" t="s">
        <v>4404</v>
      </c>
      <c r="N2338" s="37" t="s">
        <v>7005</v>
      </c>
      <c r="O2338" s="37" t="s">
        <v>7007</v>
      </c>
      <c r="P2338" s="37" t="s">
        <v>7006</v>
      </c>
      <c r="Q2338" s="37" t="s">
        <v>3506</v>
      </c>
      <c r="S2338" s="10" t="s">
        <v>3412</v>
      </c>
      <c r="U2338" s="21">
        <v>1</v>
      </c>
      <c r="V2338" s="21">
        <v>16</v>
      </c>
      <c r="W2338" s="73">
        <f t="shared" si="118"/>
        <v>322</v>
      </c>
      <c r="X2338" s="80">
        <f t="shared" si="119"/>
        <v>5611</v>
      </c>
      <c r="Y2338" s="82" t="s">
        <v>3584</v>
      </c>
      <c r="AB2338" s="177">
        <v>44718</v>
      </c>
      <c r="AC2338" s="84" t="s">
        <v>2885</v>
      </c>
    </row>
    <row r="2339" spans="1:37" s="51" customFormat="1" ht="15.45" customHeight="1" x14ac:dyDescent="0.25">
      <c r="A2339" s="153" t="s">
        <v>2342</v>
      </c>
      <c r="B2339" s="49"/>
      <c r="C2339" s="49"/>
      <c r="D2339" s="49"/>
      <c r="E2339" s="49"/>
      <c r="F2339" s="50"/>
      <c r="G2339" s="50"/>
      <c r="H2339" s="46"/>
      <c r="I2339" s="109"/>
      <c r="J2339" s="212"/>
      <c r="K2339" s="56"/>
      <c r="L2339" s="100"/>
      <c r="M2339" s="100"/>
      <c r="N2339" s="49"/>
      <c r="O2339" s="49"/>
      <c r="P2339" s="49"/>
      <c r="Q2339" s="49"/>
      <c r="R2339" s="49"/>
      <c r="S2339" s="47"/>
      <c r="T2339" s="47"/>
      <c r="U2339" s="53"/>
      <c r="V2339" s="53"/>
      <c r="W2339" s="74"/>
      <c r="X2339" s="81"/>
      <c r="Y2339" s="132"/>
      <c r="Z2339" s="50"/>
      <c r="AA2339" s="173"/>
      <c r="AB2339" s="173"/>
      <c r="AC2339" s="137"/>
      <c r="AD2339" s="137"/>
      <c r="AE2339" s="83"/>
      <c r="AF2339" s="47"/>
      <c r="AG2339" s="47"/>
      <c r="AH2339" s="47"/>
      <c r="AI2339" s="47"/>
      <c r="AJ2339" s="47"/>
      <c r="AK2339" s="47"/>
    </row>
    <row r="2340" spans="1:37" ht="15.45" customHeight="1" x14ac:dyDescent="0.25">
      <c r="A2340" s="165" t="s">
        <v>2855</v>
      </c>
      <c r="B2340" s="28"/>
      <c r="C2340" s="37" t="s">
        <v>2222</v>
      </c>
      <c r="E2340" s="37" t="s">
        <v>2831</v>
      </c>
      <c r="F2340" s="24" t="s">
        <v>2515</v>
      </c>
      <c r="H2340" s="38" t="s">
        <v>2345</v>
      </c>
      <c r="U2340" s="21">
        <v>2</v>
      </c>
      <c r="V2340" s="21">
        <v>2</v>
      </c>
      <c r="W2340" s="73">
        <f t="shared" ref="W2340:W2350" si="120">W2339+V2340</f>
        <v>2</v>
      </c>
      <c r="X2340" s="80">
        <f>V2340+X2338</f>
        <v>5613</v>
      </c>
      <c r="Y2340" s="82" t="s">
        <v>3584</v>
      </c>
      <c r="AB2340" s="177">
        <v>43141</v>
      </c>
      <c r="AC2340" s="84" t="s">
        <v>2885</v>
      </c>
    </row>
    <row r="2341" spans="1:37" ht="15.45" customHeight="1" x14ac:dyDescent="0.25">
      <c r="A2341" s="165" t="s">
        <v>2742</v>
      </c>
      <c r="B2341" s="28"/>
      <c r="C2341" s="37" t="s">
        <v>2222</v>
      </c>
      <c r="E2341" s="37" t="s">
        <v>2831</v>
      </c>
      <c r="F2341" s="24" t="s">
        <v>2515</v>
      </c>
      <c r="H2341" s="38" t="s">
        <v>2743</v>
      </c>
      <c r="U2341" s="21">
        <v>3</v>
      </c>
      <c r="V2341" s="21">
        <v>3</v>
      </c>
      <c r="W2341" s="73">
        <f t="shared" si="120"/>
        <v>5</v>
      </c>
      <c r="X2341" s="80">
        <f t="shared" ref="X2341:X2350" si="121">V2341+X2340</f>
        <v>5616</v>
      </c>
      <c r="Y2341" s="82" t="s">
        <v>3584</v>
      </c>
      <c r="AB2341" s="177">
        <v>43141</v>
      </c>
      <c r="AC2341" s="84" t="s">
        <v>2885</v>
      </c>
    </row>
    <row r="2342" spans="1:37" ht="15.45" customHeight="1" x14ac:dyDescent="0.25">
      <c r="A2342" s="165" t="s">
        <v>2346</v>
      </c>
      <c r="B2342" s="28"/>
      <c r="C2342" s="37" t="s">
        <v>2222</v>
      </c>
      <c r="E2342" s="37" t="s">
        <v>2831</v>
      </c>
      <c r="F2342" s="24" t="s">
        <v>2515</v>
      </c>
      <c r="H2342" s="38" t="s">
        <v>2347</v>
      </c>
      <c r="U2342" s="21">
        <v>1</v>
      </c>
      <c r="V2342" s="21">
        <v>1</v>
      </c>
      <c r="W2342" s="73">
        <f t="shared" si="120"/>
        <v>6</v>
      </c>
      <c r="X2342" s="80">
        <f t="shared" si="121"/>
        <v>5617</v>
      </c>
      <c r="Y2342" s="82" t="s">
        <v>3584</v>
      </c>
      <c r="AB2342" s="177">
        <v>43141</v>
      </c>
      <c r="AC2342" s="84" t="s">
        <v>2885</v>
      </c>
    </row>
    <row r="2343" spans="1:37" ht="15.45" customHeight="1" x14ac:dyDescent="0.25">
      <c r="A2343" s="165" t="s">
        <v>2346</v>
      </c>
      <c r="B2343" s="28"/>
      <c r="C2343" s="37" t="s">
        <v>2222</v>
      </c>
      <c r="E2343" s="37" t="s">
        <v>2831</v>
      </c>
      <c r="F2343" s="24" t="s">
        <v>2515</v>
      </c>
      <c r="H2343" s="38" t="s">
        <v>2348</v>
      </c>
      <c r="U2343" s="21">
        <v>1</v>
      </c>
      <c r="V2343" s="21">
        <v>1</v>
      </c>
      <c r="W2343" s="73">
        <f t="shared" si="120"/>
        <v>7</v>
      </c>
      <c r="X2343" s="80">
        <f t="shared" si="121"/>
        <v>5618</v>
      </c>
      <c r="Y2343" s="82" t="s">
        <v>3584</v>
      </c>
      <c r="AB2343" s="177">
        <v>43141</v>
      </c>
      <c r="AC2343" s="84" t="s">
        <v>2885</v>
      </c>
    </row>
    <row r="2344" spans="1:37" ht="15.45" customHeight="1" x14ac:dyDescent="0.25">
      <c r="A2344" s="165" t="s">
        <v>2349</v>
      </c>
      <c r="B2344" s="28"/>
      <c r="C2344" s="37" t="s">
        <v>2222</v>
      </c>
      <c r="E2344" s="37" t="s">
        <v>2831</v>
      </c>
      <c r="F2344" s="24" t="s">
        <v>2515</v>
      </c>
      <c r="H2344" s="38" t="s">
        <v>2347</v>
      </c>
      <c r="U2344" s="21">
        <v>2</v>
      </c>
      <c r="V2344" s="21">
        <v>2</v>
      </c>
      <c r="W2344" s="73">
        <f t="shared" si="120"/>
        <v>9</v>
      </c>
      <c r="X2344" s="80">
        <f t="shared" si="121"/>
        <v>5620</v>
      </c>
      <c r="Y2344" s="82" t="s">
        <v>3584</v>
      </c>
      <c r="AB2344" s="177">
        <v>43141</v>
      </c>
      <c r="AC2344" s="84" t="s">
        <v>2885</v>
      </c>
    </row>
    <row r="2345" spans="1:37" ht="15.45" customHeight="1" x14ac:dyDescent="0.25">
      <c r="A2345" s="165" t="s">
        <v>2350</v>
      </c>
      <c r="B2345" s="28"/>
      <c r="C2345" s="37" t="s">
        <v>2222</v>
      </c>
      <c r="E2345" s="37" t="s">
        <v>2831</v>
      </c>
      <c r="F2345" s="24" t="s">
        <v>2515</v>
      </c>
      <c r="H2345" s="38" t="s">
        <v>2347</v>
      </c>
      <c r="U2345" s="21">
        <v>1</v>
      </c>
      <c r="V2345" s="21">
        <v>1</v>
      </c>
      <c r="W2345" s="73">
        <f t="shared" si="120"/>
        <v>10</v>
      </c>
      <c r="X2345" s="80">
        <f t="shared" si="121"/>
        <v>5621</v>
      </c>
      <c r="Y2345" s="82" t="s">
        <v>3584</v>
      </c>
      <c r="AB2345" s="177">
        <v>43141</v>
      </c>
      <c r="AC2345" s="84" t="s">
        <v>2885</v>
      </c>
    </row>
    <row r="2346" spans="1:37" ht="15.45" customHeight="1" x14ac:dyDescent="0.25">
      <c r="A2346" s="165" t="s">
        <v>2351</v>
      </c>
      <c r="B2346" s="28"/>
      <c r="C2346" s="37" t="s">
        <v>2222</v>
      </c>
      <c r="E2346" s="37" t="s">
        <v>2831</v>
      </c>
      <c r="F2346" s="24" t="s">
        <v>2515</v>
      </c>
      <c r="H2346" s="38" t="s">
        <v>2352</v>
      </c>
      <c r="U2346" s="21">
        <v>1</v>
      </c>
      <c r="V2346" s="21">
        <v>1</v>
      </c>
      <c r="W2346" s="73">
        <f t="shared" si="120"/>
        <v>11</v>
      </c>
      <c r="X2346" s="80">
        <f t="shared" si="121"/>
        <v>5622</v>
      </c>
      <c r="Y2346" s="82" t="s">
        <v>3584</v>
      </c>
      <c r="AB2346" s="177">
        <v>43141</v>
      </c>
      <c r="AC2346" s="84" t="s">
        <v>2885</v>
      </c>
    </row>
    <row r="2347" spans="1:37" ht="15.45" customHeight="1" x14ac:dyDescent="0.25">
      <c r="A2347" s="165" t="s">
        <v>2221</v>
      </c>
      <c r="B2347" s="28"/>
      <c r="C2347" s="37" t="s">
        <v>2222</v>
      </c>
      <c r="E2347" s="37" t="s">
        <v>2831</v>
      </c>
      <c r="F2347" s="24" t="s">
        <v>2515</v>
      </c>
      <c r="U2347" s="21">
        <v>1</v>
      </c>
      <c r="V2347" s="21">
        <v>1</v>
      </c>
      <c r="W2347" s="73">
        <f t="shared" si="120"/>
        <v>12</v>
      </c>
      <c r="X2347" s="80">
        <f t="shared" si="121"/>
        <v>5623</v>
      </c>
      <c r="Y2347" s="82" t="s">
        <v>3584</v>
      </c>
      <c r="AB2347" s="177">
        <v>43141</v>
      </c>
      <c r="AC2347" s="84" t="s">
        <v>2885</v>
      </c>
    </row>
    <row r="2348" spans="1:37" ht="15.45" customHeight="1" x14ac:dyDescent="0.25">
      <c r="A2348" s="165" t="s">
        <v>2353</v>
      </c>
      <c r="B2348" s="28"/>
      <c r="C2348" s="37" t="s">
        <v>2222</v>
      </c>
      <c r="E2348" s="37" t="s">
        <v>2831</v>
      </c>
      <c r="F2348" s="24" t="s">
        <v>2515</v>
      </c>
      <c r="S2348" s="10" t="s">
        <v>2354</v>
      </c>
      <c r="U2348" s="21">
        <v>1</v>
      </c>
      <c r="V2348" s="21">
        <v>1</v>
      </c>
      <c r="W2348" s="73">
        <f t="shared" si="120"/>
        <v>13</v>
      </c>
      <c r="X2348" s="80">
        <f t="shared" si="121"/>
        <v>5624</v>
      </c>
      <c r="Y2348" s="82" t="s">
        <v>3584</v>
      </c>
      <c r="AB2348" s="177">
        <v>43141</v>
      </c>
      <c r="AC2348" s="84" t="s">
        <v>2885</v>
      </c>
    </row>
    <row r="2349" spans="1:37" ht="15.45" customHeight="1" x14ac:dyDescent="0.25">
      <c r="A2349" s="165" t="s">
        <v>2355</v>
      </c>
      <c r="B2349" s="28"/>
      <c r="C2349" s="37" t="s">
        <v>2222</v>
      </c>
      <c r="E2349" s="37" t="s">
        <v>2831</v>
      </c>
      <c r="F2349" s="24" t="s">
        <v>2515</v>
      </c>
      <c r="S2349" s="10" t="s">
        <v>2356</v>
      </c>
      <c r="U2349" s="21">
        <v>1</v>
      </c>
      <c r="V2349" s="21">
        <v>1</v>
      </c>
      <c r="W2349" s="73">
        <f t="shared" si="120"/>
        <v>14</v>
      </c>
      <c r="X2349" s="80">
        <f t="shared" si="121"/>
        <v>5625</v>
      </c>
      <c r="Y2349" s="82" t="s">
        <v>3584</v>
      </c>
      <c r="AB2349" s="177">
        <v>43141</v>
      </c>
      <c r="AC2349" s="84" t="s">
        <v>2885</v>
      </c>
    </row>
    <row r="2350" spans="1:37" ht="15.45" customHeight="1" x14ac:dyDescent="0.25">
      <c r="A2350" s="165" t="s">
        <v>2357</v>
      </c>
      <c r="B2350" s="28"/>
      <c r="C2350" s="37" t="s">
        <v>2222</v>
      </c>
      <c r="E2350" s="37" t="s">
        <v>2831</v>
      </c>
      <c r="F2350" s="24" t="s">
        <v>2515</v>
      </c>
      <c r="S2350" s="10" t="s">
        <v>2358</v>
      </c>
      <c r="U2350" s="21">
        <v>1</v>
      </c>
      <c r="V2350" s="21">
        <v>1</v>
      </c>
      <c r="W2350" s="73">
        <f t="shared" si="120"/>
        <v>15</v>
      </c>
      <c r="X2350" s="80">
        <f t="shared" si="121"/>
        <v>5626</v>
      </c>
      <c r="Y2350" s="82" t="s">
        <v>3584</v>
      </c>
      <c r="AB2350" s="177">
        <v>43141</v>
      </c>
      <c r="AC2350" s="84" t="s">
        <v>2885</v>
      </c>
    </row>
    <row r="2351" spans="1:37" s="51" customFormat="1" ht="15.45" customHeight="1" x14ac:dyDescent="0.25">
      <c r="A2351" s="153" t="s">
        <v>2189</v>
      </c>
      <c r="B2351" s="49"/>
      <c r="C2351" s="49"/>
      <c r="D2351" s="49"/>
      <c r="E2351" s="49"/>
      <c r="F2351" s="50"/>
      <c r="G2351" s="50"/>
      <c r="H2351" s="46"/>
      <c r="I2351" s="109"/>
      <c r="J2351" s="212"/>
      <c r="K2351" s="56"/>
      <c r="L2351" s="100"/>
      <c r="M2351" s="100"/>
      <c r="N2351" s="49"/>
      <c r="O2351" s="49"/>
      <c r="P2351" s="49"/>
      <c r="Q2351" s="49"/>
      <c r="R2351" s="49"/>
      <c r="S2351" s="47"/>
      <c r="T2351" s="47"/>
      <c r="U2351" s="53"/>
      <c r="V2351" s="53"/>
      <c r="W2351" s="74"/>
      <c r="X2351" s="81"/>
      <c r="Y2351" s="132"/>
      <c r="Z2351" s="50"/>
      <c r="AA2351" s="173"/>
      <c r="AB2351" s="173"/>
      <c r="AC2351" s="137"/>
      <c r="AD2351" s="137"/>
      <c r="AE2351" s="83"/>
      <c r="AF2351" s="47"/>
      <c r="AG2351" s="47"/>
      <c r="AH2351" s="47"/>
      <c r="AI2351" s="47"/>
      <c r="AJ2351" s="47"/>
      <c r="AK2351" s="47"/>
    </row>
    <row r="2352" spans="1:37" ht="15.45" customHeight="1" x14ac:dyDescent="0.25">
      <c r="A2352" s="165" t="s">
        <v>2241</v>
      </c>
      <c r="B2352" s="28"/>
      <c r="C2352" s="37" t="s">
        <v>2190</v>
      </c>
      <c r="E2352" s="37" t="s">
        <v>2831</v>
      </c>
      <c r="F2352" s="24" t="s">
        <v>2515</v>
      </c>
      <c r="U2352" s="21">
        <v>1</v>
      </c>
      <c r="V2352" s="21">
        <v>1</v>
      </c>
      <c r="W2352" s="73">
        <f t="shared" ref="W2352:W2366" si="122">W2351+V2352</f>
        <v>1</v>
      </c>
      <c r="X2352" s="80">
        <f>V2352+X2350</f>
        <v>5627</v>
      </c>
      <c r="Y2352" s="82" t="s">
        <v>3584</v>
      </c>
      <c r="AB2352" s="178">
        <v>44897</v>
      </c>
      <c r="AC2352" s="84" t="s">
        <v>2885</v>
      </c>
    </row>
    <row r="2353" spans="1:37" ht="15.45" customHeight="1" x14ac:dyDescent="0.25">
      <c r="A2353" s="165" t="s">
        <v>2360</v>
      </c>
      <c r="B2353" s="28"/>
      <c r="C2353" s="37" t="s">
        <v>2190</v>
      </c>
      <c r="E2353" s="37" t="s">
        <v>2831</v>
      </c>
      <c r="F2353" s="24" t="s">
        <v>2515</v>
      </c>
      <c r="N2353" s="37" t="s">
        <v>2361</v>
      </c>
      <c r="S2353" s="10" t="s">
        <v>2359</v>
      </c>
      <c r="U2353" s="21">
        <v>1</v>
      </c>
      <c r="V2353" s="21">
        <v>1</v>
      </c>
      <c r="W2353" s="73">
        <f t="shared" si="122"/>
        <v>2</v>
      </c>
      <c r="X2353" s="80">
        <f t="shared" ref="X2353:X2366" si="123">V2353+X2352</f>
        <v>5628</v>
      </c>
      <c r="Y2353" s="82" t="s">
        <v>3584</v>
      </c>
      <c r="AB2353" s="178">
        <v>44897</v>
      </c>
      <c r="AC2353" s="84" t="s">
        <v>2885</v>
      </c>
    </row>
    <row r="2354" spans="1:37" ht="15.45" customHeight="1" x14ac:dyDescent="0.25">
      <c r="A2354" s="165" t="s">
        <v>2240</v>
      </c>
      <c r="B2354" s="28"/>
      <c r="C2354" s="37" t="s">
        <v>2190</v>
      </c>
      <c r="E2354" s="37" t="s">
        <v>2831</v>
      </c>
      <c r="F2354" s="24" t="s">
        <v>2110</v>
      </c>
      <c r="U2354" s="21">
        <v>1</v>
      </c>
      <c r="V2354" s="21">
        <v>1</v>
      </c>
      <c r="W2354" s="73">
        <f t="shared" si="122"/>
        <v>3</v>
      </c>
      <c r="X2354" s="80">
        <f t="shared" si="123"/>
        <v>5629</v>
      </c>
      <c r="Y2354" s="82" t="s">
        <v>3591</v>
      </c>
      <c r="Z2354" s="24" t="s">
        <v>2602</v>
      </c>
      <c r="AB2354" s="178">
        <v>44897</v>
      </c>
      <c r="AC2354" s="84" t="s">
        <v>2885</v>
      </c>
    </row>
    <row r="2355" spans="1:37" ht="15.45" customHeight="1" x14ac:dyDescent="0.25">
      <c r="A2355" s="165" t="s">
        <v>2442</v>
      </c>
      <c r="B2355" s="28"/>
      <c r="C2355" s="37" t="s">
        <v>2190</v>
      </c>
      <c r="E2355" s="37" t="s">
        <v>2831</v>
      </c>
      <c r="F2355" s="24" t="s">
        <v>2515</v>
      </c>
      <c r="H2355" s="38" t="s">
        <v>2441</v>
      </c>
      <c r="J2355" s="214" t="s">
        <v>7140</v>
      </c>
      <c r="P2355" s="37" t="s">
        <v>2191</v>
      </c>
      <c r="S2355" s="10" t="s">
        <v>2384</v>
      </c>
      <c r="U2355" s="21">
        <v>1</v>
      </c>
      <c r="V2355" s="21">
        <v>1</v>
      </c>
      <c r="W2355" s="73">
        <f t="shared" si="122"/>
        <v>4</v>
      </c>
      <c r="X2355" s="80">
        <f t="shared" si="123"/>
        <v>5630</v>
      </c>
      <c r="Y2355" s="82" t="s">
        <v>3584</v>
      </c>
      <c r="AA2355" s="178"/>
      <c r="AB2355" s="178">
        <v>44897</v>
      </c>
      <c r="AC2355" s="84" t="s">
        <v>2885</v>
      </c>
    </row>
    <row r="2356" spans="1:37" ht="15.45" customHeight="1" x14ac:dyDescent="0.25">
      <c r="A2356" s="165" t="s">
        <v>7143</v>
      </c>
      <c r="B2356" s="28" t="s">
        <v>7146</v>
      </c>
      <c r="C2356" s="37" t="s">
        <v>2190</v>
      </c>
      <c r="E2356" s="37" t="s">
        <v>2831</v>
      </c>
      <c r="F2356" s="24" t="s">
        <v>2515</v>
      </c>
      <c r="H2356" s="38" t="s">
        <v>7147</v>
      </c>
      <c r="J2356" s="214" t="s">
        <v>7145</v>
      </c>
      <c r="N2356" s="37" t="s">
        <v>7144</v>
      </c>
      <c r="Q2356" s="37" t="s">
        <v>1979</v>
      </c>
      <c r="S2356" s="10" t="s">
        <v>3412</v>
      </c>
      <c r="U2356" s="21">
        <v>1</v>
      </c>
      <c r="V2356" s="21">
        <v>11</v>
      </c>
      <c r="W2356" s="73">
        <f t="shared" si="122"/>
        <v>15</v>
      </c>
      <c r="X2356" s="80">
        <f t="shared" si="123"/>
        <v>5641</v>
      </c>
      <c r="Y2356" s="82" t="s">
        <v>3591</v>
      </c>
      <c r="Z2356" s="24" t="s">
        <v>7138</v>
      </c>
      <c r="AA2356" s="178">
        <v>44700</v>
      </c>
      <c r="AB2356" s="178">
        <v>44897</v>
      </c>
      <c r="AC2356" s="84" t="s">
        <v>2885</v>
      </c>
    </row>
    <row r="2357" spans="1:37" ht="15.45" customHeight="1" x14ac:dyDescent="0.25">
      <c r="A2357" s="165" t="s">
        <v>2682</v>
      </c>
      <c r="B2357" s="28"/>
      <c r="C2357" s="37" t="s">
        <v>2190</v>
      </c>
      <c r="E2357" s="37" t="s">
        <v>2831</v>
      </c>
      <c r="F2357" s="24" t="s">
        <v>2515</v>
      </c>
      <c r="H2357" s="38" t="s">
        <v>2440</v>
      </c>
      <c r="P2357" s="37" t="s">
        <v>2192</v>
      </c>
      <c r="U2357" s="21">
        <v>1</v>
      </c>
      <c r="V2357" s="21">
        <v>1</v>
      </c>
      <c r="W2357" s="73">
        <f t="shared" si="122"/>
        <v>16</v>
      </c>
      <c r="X2357" s="80">
        <f t="shared" si="123"/>
        <v>5642</v>
      </c>
      <c r="Y2357" s="82" t="s">
        <v>3584</v>
      </c>
      <c r="AA2357" s="178"/>
      <c r="AB2357" s="178">
        <v>44897</v>
      </c>
      <c r="AC2357" s="84" t="s">
        <v>2885</v>
      </c>
    </row>
    <row r="2358" spans="1:37" ht="15.45" customHeight="1" x14ac:dyDescent="0.25">
      <c r="A2358" s="165" t="s">
        <v>4519</v>
      </c>
      <c r="B2358" s="28" t="s">
        <v>4518</v>
      </c>
      <c r="C2358" s="37" t="s">
        <v>2190</v>
      </c>
      <c r="E2358" s="37" t="s">
        <v>2927</v>
      </c>
      <c r="F2358" s="24" t="s">
        <v>2515</v>
      </c>
      <c r="H2358" s="38" t="s">
        <v>4522</v>
      </c>
      <c r="J2358" s="214" t="s">
        <v>3669</v>
      </c>
      <c r="K2358" s="10" t="s">
        <v>4521</v>
      </c>
      <c r="N2358" s="37" t="s">
        <v>4529</v>
      </c>
      <c r="P2358" s="37" t="s">
        <v>4214</v>
      </c>
      <c r="Q2358" s="37" t="s">
        <v>1998</v>
      </c>
      <c r="S2358" s="10" t="s">
        <v>2983</v>
      </c>
      <c r="T2358" s="10" t="s">
        <v>4520</v>
      </c>
      <c r="U2358" s="21">
        <v>1</v>
      </c>
      <c r="V2358" s="21">
        <v>1</v>
      </c>
      <c r="W2358" s="73">
        <f t="shared" si="122"/>
        <v>17</v>
      </c>
      <c r="X2358" s="80">
        <f t="shared" si="123"/>
        <v>5643</v>
      </c>
      <c r="Y2358" s="82" t="s">
        <v>3584</v>
      </c>
      <c r="AA2358" s="178"/>
      <c r="AB2358" s="178">
        <v>43455</v>
      </c>
      <c r="AC2358" s="84" t="s">
        <v>2885</v>
      </c>
    </row>
    <row r="2359" spans="1:37" ht="15.45" customHeight="1" x14ac:dyDescent="0.25">
      <c r="A2359" s="165" t="s">
        <v>4794</v>
      </c>
      <c r="B2359" s="28"/>
      <c r="C2359" s="37" t="s">
        <v>2190</v>
      </c>
      <c r="E2359" s="37" t="s">
        <v>2927</v>
      </c>
      <c r="F2359" s="24" t="s">
        <v>2515</v>
      </c>
      <c r="H2359" s="38" t="s">
        <v>4795</v>
      </c>
      <c r="J2359" s="214" t="s">
        <v>3669</v>
      </c>
      <c r="K2359" s="10" t="s">
        <v>4797</v>
      </c>
      <c r="P2359" s="37" t="s">
        <v>1463</v>
      </c>
      <c r="S2359" s="10" t="s">
        <v>2980</v>
      </c>
      <c r="T2359" s="10" t="s">
        <v>4796</v>
      </c>
      <c r="U2359" s="21">
        <v>1</v>
      </c>
      <c r="V2359" s="21">
        <v>1</v>
      </c>
      <c r="W2359" s="73">
        <f t="shared" si="122"/>
        <v>18</v>
      </c>
      <c r="X2359" s="80">
        <f t="shared" si="123"/>
        <v>5644</v>
      </c>
      <c r="Y2359" s="82" t="s">
        <v>3584</v>
      </c>
      <c r="AA2359" s="178"/>
      <c r="AB2359" s="178">
        <v>43592</v>
      </c>
      <c r="AC2359" s="84" t="s">
        <v>2885</v>
      </c>
    </row>
    <row r="2360" spans="1:37" ht="15.45" customHeight="1" x14ac:dyDescent="0.25">
      <c r="A2360" s="165" t="s">
        <v>2880</v>
      </c>
      <c r="B2360" s="28"/>
      <c r="C2360" s="37" t="s">
        <v>2190</v>
      </c>
      <c r="E2360" s="37" t="s">
        <v>2927</v>
      </c>
      <c r="F2360" s="24" t="s">
        <v>3458</v>
      </c>
      <c r="H2360" s="38" t="s">
        <v>2881</v>
      </c>
      <c r="S2360" s="10" t="s">
        <v>2433</v>
      </c>
      <c r="U2360" s="21">
        <v>1</v>
      </c>
      <c r="V2360" s="21">
        <v>1</v>
      </c>
      <c r="W2360" s="73">
        <f t="shared" si="122"/>
        <v>19</v>
      </c>
      <c r="X2360" s="80">
        <f t="shared" si="123"/>
        <v>5645</v>
      </c>
      <c r="Y2360" s="82" t="s">
        <v>3584</v>
      </c>
      <c r="AA2360" s="178"/>
      <c r="AB2360" s="178">
        <v>43592</v>
      </c>
      <c r="AC2360" s="84" t="s">
        <v>2885</v>
      </c>
    </row>
    <row r="2361" spans="1:37" ht="15.45" customHeight="1" x14ac:dyDescent="0.25">
      <c r="A2361" s="165" t="s">
        <v>4778</v>
      </c>
      <c r="B2361" s="28"/>
      <c r="C2361" s="37" t="s">
        <v>2190</v>
      </c>
      <c r="E2361" s="37" t="s">
        <v>2926</v>
      </c>
      <c r="F2361" s="24" t="s">
        <v>2117</v>
      </c>
      <c r="H2361" s="38" t="s">
        <v>4779</v>
      </c>
      <c r="S2361" s="10" t="s">
        <v>2193</v>
      </c>
      <c r="U2361" s="21">
        <v>1</v>
      </c>
      <c r="V2361" s="21">
        <v>1</v>
      </c>
      <c r="W2361" s="73">
        <f t="shared" si="122"/>
        <v>20</v>
      </c>
      <c r="X2361" s="80">
        <f t="shared" si="123"/>
        <v>5646</v>
      </c>
      <c r="Y2361" s="82" t="s">
        <v>3584</v>
      </c>
      <c r="AA2361" s="178"/>
      <c r="AB2361" s="178">
        <v>43592</v>
      </c>
      <c r="AC2361" s="84" t="s">
        <v>2885</v>
      </c>
      <c r="AI2361" s="10" t="s">
        <v>2439</v>
      </c>
    </row>
    <row r="2362" spans="1:37" ht="15.45" customHeight="1" x14ac:dyDescent="0.25">
      <c r="A2362" s="165" t="s">
        <v>2364</v>
      </c>
      <c r="B2362" s="28"/>
      <c r="C2362" s="37" t="s">
        <v>2190</v>
      </c>
      <c r="E2362" s="37" t="s">
        <v>2831</v>
      </c>
      <c r="F2362" s="24" t="s">
        <v>2515</v>
      </c>
      <c r="H2362" s="38" t="s">
        <v>2365</v>
      </c>
      <c r="U2362" s="21">
        <v>3</v>
      </c>
      <c r="V2362" s="21">
        <v>3</v>
      </c>
      <c r="W2362" s="73">
        <f t="shared" si="122"/>
        <v>23</v>
      </c>
      <c r="X2362" s="80">
        <f t="shared" si="123"/>
        <v>5649</v>
      </c>
      <c r="Y2362" s="82" t="s">
        <v>3584</v>
      </c>
      <c r="AB2362" s="178">
        <v>43592</v>
      </c>
      <c r="AC2362" s="84" t="s">
        <v>2885</v>
      </c>
    </row>
    <row r="2363" spans="1:37" ht="15.45" customHeight="1" x14ac:dyDescent="0.25">
      <c r="A2363" s="165" t="s">
        <v>2607</v>
      </c>
      <c r="B2363" s="28"/>
      <c r="C2363" s="37" t="s">
        <v>2190</v>
      </c>
      <c r="E2363" s="37" t="s">
        <v>2831</v>
      </c>
      <c r="F2363" s="24" t="s">
        <v>2515</v>
      </c>
      <c r="H2363" s="38" t="s">
        <v>2362</v>
      </c>
      <c r="U2363" s="21">
        <v>2</v>
      </c>
      <c r="V2363" s="21">
        <v>2</v>
      </c>
      <c r="W2363" s="73">
        <f t="shared" si="122"/>
        <v>25</v>
      </c>
      <c r="X2363" s="80">
        <f t="shared" si="123"/>
        <v>5651</v>
      </c>
      <c r="Y2363" s="82" t="s">
        <v>3584</v>
      </c>
      <c r="AB2363" s="178">
        <v>43592</v>
      </c>
      <c r="AC2363" s="84" t="s">
        <v>2885</v>
      </c>
    </row>
    <row r="2364" spans="1:37" ht="15.45" customHeight="1" x14ac:dyDescent="0.25">
      <c r="A2364" s="165" t="s">
        <v>2243</v>
      </c>
      <c r="B2364" s="28"/>
      <c r="C2364" s="37" t="s">
        <v>2190</v>
      </c>
      <c r="E2364" s="37" t="s">
        <v>2831</v>
      </c>
      <c r="F2364" s="24" t="s">
        <v>2515</v>
      </c>
      <c r="U2364" s="21">
        <v>2</v>
      </c>
      <c r="V2364" s="21">
        <v>2</v>
      </c>
      <c r="W2364" s="73">
        <f t="shared" si="122"/>
        <v>27</v>
      </c>
      <c r="X2364" s="80">
        <f t="shared" si="123"/>
        <v>5653</v>
      </c>
      <c r="Y2364" s="82" t="s">
        <v>3591</v>
      </c>
      <c r="Z2364" s="24" t="s">
        <v>2602</v>
      </c>
      <c r="AB2364" s="178">
        <v>43592</v>
      </c>
      <c r="AC2364" s="84" t="s">
        <v>2885</v>
      </c>
    </row>
    <row r="2365" spans="1:37" ht="15.45" customHeight="1" x14ac:dyDescent="0.25">
      <c r="A2365" s="165" t="s">
        <v>2242</v>
      </c>
      <c r="B2365" s="28"/>
      <c r="C2365" s="37" t="s">
        <v>2190</v>
      </c>
      <c r="E2365" s="37" t="s">
        <v>2831</v>
      </c>
      <c r="F2365" s="24" t="s">
        <v>2515</v>
      </c>
      <c r="U2365" s="21">
        <v>3</v>
      </c>
      <c r="V2365" s="21">
        <v>3</v>
      </c>
      <c r="W2365" s="73">
        <f t="shared" si="122"/>
        <v>30</v>
      </c>
      <c r="X2365" s="80">
        <f t="shared" si="123"/>
        <v>5656</v>
      </c>
      <c r="Y2365" s="82" t="s">
        <v>3591</v>
      </c>
      <c r="Z2365" s="24" t="s">
        <v>2602</v>
      </c>
      <c r="AB2365" s="178">
        <v>43592</v>
      </c>
      <c r="AC2365" s="84" t="s">
        <v>2885</v>
      </c>
    </row>
    <row r="2366" spans="1:37" ht="15.45" customHeight="1" x14ac:dyDescent="0.25">
      <c r="A2366" s="165" t="s">
        <v>2370</v>
      </c>
      <c r="B2366" s="28"/>
      <c r="C2366" s="37" t="s">
        <v>2190</v>
      </c>
      <c r="E2366" s="37" t="s">
        <v>2831</v>
      </c>
      <c r="F2366" s="24" t="s">
        <v>2108</v>
      </c>
      <c r="H2366" s="38" t="s">
        <v>7141</v>
      </c>
      <c r="J2366" s="214" t="s">
        <v>7142</v>
      </c>
      <c r="U2366" s="21">
        <v>1</v>
      </c>
      <c r="V2366" s="21">
        <v>1</v>
      </c>
      <c r="W2366" s="73">
        <f t="shared" si="122"/>
        <v>31</v>
      </c>
      <c r="X2366" s="80">
        <f t="shared" si="123"/>
        <v>5657</v>
      </c>
      <c r="Y2366" s="82" t="s">
        <v>3591</v>
      </c>
      <c r="Z2366" s="24" t="s">
        <v>2602</v>
      </c>
      <c r="AB2366" s="177">
        <v>42401</v>
      </c>
      <c r="AC2366" s="84" t="s">
        <v>2885</v>
      </c>
    </row>
    <row r="2367" spans="1:37" s="51" customFormat="1" ht="15.45" customHeight="1" x14ac:dyDescent="0.25">
      <c r="A2367" s="45" t="s">
        <v>2194</v>
      </c>
      <c r="B2367" s="28"/>
      <c r="C2367" s="49"/>
      <c r="D2367" s="49"/>
      <c r="E2367" s="49"/>
      <c r="F2367" s="50"/>
      <c r="G2367" s="50"/>
      <c r="H2367" s="46"/>
      <c r="I2367" s="109"/>
      <c r="J2367" s="212"/>
      <c r="K2367" s="56"/>
      <c r="L2367" s="100"/>
      <c r="M2367" s="100"/>
      <c r="N2367" s="49"/>
      <c r="O2367" s="49"/>
      <c r="P2367" s="49"/>
      <c r="Q2367" s="49"/>
      <c r="R2367" s="49"/>
      <c r="S2367" s="47"/>
      <c r="T2367" s="47"/>
      <c r="U2367" s="53"/>
      <c r="V2367" s="53"/>
      <c r="W2367" s="74"/>
      <c r="X2367" s="81"/>
      <c r="Y2367" s="132"/>
      <c r="Z2367" s="50"/>
      <c r="AA2367" s="173"/>
      <c r="AB2367" s="173"/>
      <c r="AC2367" s="137"/>
      <c r="AD2367" s="137"/>
      <c r="AE2367" s="83"/>
      <c r="AF2367" s="47"/>
      <c r="AG2367" s="47"/>
      <c r="AH2367" s="47"/>
      <c r="AI2367" s="47"/>
      <c r="AJ2367" s="47"/>
      <c r="AK2367" s="47"/>
    </row>
    <row r="2368" spans="1:37" ht="15.45" customHeight="1" x14ac:dyDescent="0.25">
      <c r="A2368" s="29" t="s">
        <v>3021</v>
      </c>
      <c r="B2368" s="28"/>
      <c r="C2368" s="37" t="s">
        <v>2198</v>
      </c>
      <c r="E2368" s="37" t="s">
        <v>2831</v>
      </c>
      <c r="F2368" s="24" t="s">
        <v>2145</v>
      </c>
      <c r="I2368" s="111" t="s">
        <v>4235</v>
      </c>
      <c r="S2368" s="10" t="s">
        <v>2433</v>
      </c>
      <c r="U2368" s="21">
        <v>1</v>
      </c>
      <c r="V2368" s="21">
        <v>1</v>
      </c>
      <c r="W2368" s="73">
        <f t="shared" ref="W2368:W2399" si="124">W2367+V2368</f>
        <v>1</v>
      </c>
      <c r="X2368" s="80">
        <f>V2368+X2366</f>
        <v>5658</v>
      </c>
      <c r="Y2368" s="82" t="s">
        <v>3591</v>
      </c>
      <c r="Z2368" s="24" t="s">
        <v>2845</v>
      </c>
      <c r="AC2368" s="84" t="s">
        <v>2884</v>
      </c>
    </row>
    <row r="2369" spans="1:29" ht="15.45" customHeight="1" x14ac:dyDescent="0.25">
      <c r="A2369" s="29" t="s">
        <v>2366</v>
      </c>
      <c r="B2369" s="28"/>
      <c r="C2369" s="37" t="s">
        <v>2198</v>
      </c>
      <c r="E2369" s="37" t="s">
        <v>2831</v>
      </c>
      <c r="F2369" s="24" t="s">
        <v>2145</v>
      </c>
      <c r="H2369" s="38" t="s">
        <v>2367</v>
      </c>
      <c r="S2369" s="10" t="s">
        <v>2433</v>
      </c>
      <c r="U2369" s="21">
        <v>1</v>
      </c>
      <c r="V2369" s="21">
        <v>1</v>
      </c>
      <c r="W2369" s="73">
        <f t="shared" si="124"/>
        <v>2</v>
      </c>
      <c r="X2369" s="80">
        <f t="shared" ref="X2369:X2400" si="125">V2369+X2368</f>
        <v>5659</v>
      </c>
      <c r="Y2369" s="82" t="s">
        <v>3584</v>
      </c>
      <c r="AB2369" s="177">
        <v>43132</v>
      </c>
      <c r="AC2369" s="84" t="s">
        <v>2885</v>
      </c>
    </row>
    <row r="2370" spans="1:29" ht="15.45" customHeight="1" x14ac:dyDescent="0.25">
      <c r="A2370" s="29" t="s">
        <v>2368</v>
      </c>
      <c r="B2370" s="28"/>
      <c r="C2370" s="37" t="s">
        <v>2198</v>
      </c>
      <c r="E2370" s="37" t="s">
        <v>2831</v>
      </c>
      <c r="F2370" s="24" t="s">
        <v>2145</v>
      </c>
      <c r="H2370" s="38" t="s">
        <v>2844</v>
      </c>
      <c r="S2370" s="10" t="s">
        <v>2433</v>
      </c>
      <c r="U2370" s="21">
        <v>1</v>
      </c>
      <c r="V2370" s="21">
        <v>1</v>
      </c>
      <c r="W2370" s="73">
        <f t="shared" si="124"/>
        <v>3</v>
      </c>
      <c r="X2370" s="80">
        <f t="shared" si="125"/>
        <v>5660</v>
      </c>
      <c r="Y2370" s="82" t="s">
        <v>3584</v>
      </c>
      <c r="AB2370" s="177">
        <v>43132</v>
      </c>
      <c r="AC2370" s="84" t="s">
        <v>2885</v>
      </c>
    </row>
    <row r="2371" spans="1:29" ht="15.45" customHeight="1" x14ac:dyDescent="0.25">
      <c r="A2371" s="29" t="s">
        <v>2368</v>
      </c>
      <c r="B2371" s="28"/>
      <c r="C2371" s="37" t="s">
        <v>2198</v>
      </c>
      <c r="E2371" s="37" t="s">
        <v>2831</v>
      </c>
      <c r="F2371" s="24" t="s">
        <v>2108</v>
      </c>
      <c r="H2371" s="38" t="s">
        <v>2369</v>
      </c>
      <c r="S2371" s="10" t="s">
        <v>2433</v>
      </c>
      <c r="U2371" s="21">
        <v>1</v>
      </c>
      <c r="V2371" s="21">
        <v>1</v>
      </c>
      <c r="W2371" s="73">
        <f t="shared" si="124"/>
        <v>4</v>
      </c>
      <c r="X2371" s="80">
        <f t="shared" si="125"/>
        <v>5661</v>
      </c>
      <c r="Y2371" s="82" t="s">
        <v>3584</v>
      </c>
      <c r="AB2371" s="177">
        <v>43132</v>
      </c>
      <c r="AC2371" s="84" t="s">
        <v>2885</v>
      </c>
    </row>
    <row r="2372" spans="1:29" ht="15.45" customHeight="1" x14ac:dyDescent="0.25">
      <c r="A2372" s="29" t="s">
        <v>2843</v>
      </c>
      <c r="B2372" s="28"/>
      <c r="C2372" s="37" t="s">
        <v>2198</v>
      </c>
      <c r="E2372" s="37" t="s">
        <v>2831</v>
      </c>
      <c r="F2372" s="24" t="s">
        <v>2145</v>
      </c>
      <c r="H2372" s="38" t="s">
        <v>2369</v>
      </c>
      <c r="S2372" s="10" t="s">
        <v>2433</v>
      </c>
      <c r="U2372" s="21">
        <v>1</v>
      </c>
      <c r="V2372" s="21">
        <v>1</v>
      </c>
      <c r="W2372" s="73">
        <f t="shared" si="124"/>
        <v>5</v>
      </c>
      <c r="X2372" s="80">
        <f t="shared" si="125"/>
        <v>5662</v>
      </c>
      <c r="Y2372" s="82" t="s">
        <v>3584</v>
      </c>
      <c r="AB2372" s="177">
        <v>43132</v>
      </c>
      <c r="AC2372" s="84" t="s">
        <v>2885</v>
      </c>
    </row>
    <row r="2373" spans="1:29" ht="15.45" customHeight="1" x14ac:dyDescent="0.25">
      <c r="A2373" s="29" t="s">
        <v>2610</v>
      </c>
      <c r="B2373" s="28"/>
      <c r="C2373" s="37" t="s">
        <v>2198</v>
      </c>
      <c r="E2373" s="37" t="s">
        <v>2831</v>
      </c>
      <c r="F2373" s="24" t="s">
        <v>2145</v>
      </c>
      <c r="H2373" s="38" t="s">
        <v>2611</v>
      </c>
      <c r="S2373" s="10" t="s">
        <v>2983</v>
      </c>
      <c r="U2373" s="21">
        <v>1</v>
      </c>
      <c r="V2373" s="21">
        <v>1</v>
      </c>
      <c r="W2373" s="73">
        <f t="shared" si="124"/>
        <v>6</v>
      </c>
      <c r="X2373" s="80">
        <f t="shared" si="125"/>
        <v>5663</v>
      </c>
      <c r="Y2373" s="82" t="s">
        <v>3584</v>
      </c>
      <c r="AB2373" s="177">
        <v>43132</v>
      </c>
      <c r="AC2373" s="84" t="s">
        <v>2885</v>
      </c>
    </row>
    <row r="2374" spans="1:29" ht="15.45" customHeight="1" x14ac:dyDescent="0.25">
      <c r="A2374" s="29" t="s">
        <v>2608</v>
      </c>
      <c r="B2374" s="28"/>
      <c r="C2374" s="37" t="s">
        <v>2198</v>
      </c>
      <c r="E2374" s="37" t="s">
        <v>2831</v>
      </c>
      <c r="F2374" s="24" t="s">
        <v>2145</v>
      </c>
      <c r="H2374" s="38" t="s">
        <v>2609</v>
      </c>
      <c r="U2374" s="21">
        <v>1</v>
      </c>
      <c r="V2374" s="21">
        <v>1</v>
      </c>
      <c r="W2374" s="73">
        <f t="shared" si="124"/>
        <v>7</v>
      </c>
      <c r="X2374" s="80">
        <f t="shared" si="125"/>
        <v>5664</v>
      </c>
      <c r="Y2374" s="82" t="s">
        <v>3584</v>
      </c>
      <c r="AB2374" s="177">
        <v>43132</v>
      </c>
      <c r="AC2374" s="84" t="s">
        <v>2885</v>
      </c>
    </row>
    <row r="2375" spans="1:29" ht="15.45" customHeight="1" x14ac:dyDescent="0.25">
      <c r="A2375" s="29" t="s">
        <v>4931</v>
      </c>
      <c r="B2375" s="28"/>
      <c r="C2375" s="37" t="s">
        <v>2198</v>
      </c>
      <c r="E2375" s="37" t="s">
        <v>2831</v>
      </c>
      <c r="F2375" s="24" t="s">
        <v>2145</v>
      </c>
      <c r="H2375" s="38" t="s">
        <v>2612</v>
      </c>
      <c r="U2375" s="21">
        <v>1</v>
      </c>
      <c r="V2375" s="21">
        <v>1</v>
      </c>
      <c r="W2375" s="73">
        <f t="shared" si="124"/>
        <v>8</v>
      </c>
      <c r="X2375" s="80">
        <f t="shared" si="125"/>
        <v>5665</v>
      </c>
      <c r="Y2375" s="82" t="s">
        <v>3584</v>
      </c>
      <c r="AB2375" s="177">
        <v>43132</v>
      </c>
      <c r="AC2375" s="84" t="s">
        <v>2885</v>
      </c>
    </row>
    <row r="2376" spans="1:29" ht="15.45" customHeight="1" x14ac:dyDescent="0.25">
      <c r="A2376" s="29" t="s">
        <v>2230</v>
      </c>
      <c r="B2376" s="28"/>
      <c r="C2376" s="37" t="s">
        <v>2198</v>
      </c>
      <c r="E2376" s="37" t="s">
        <v>2831</v>
      </c>
      <c r="F2376" s="24" t="s">
        <v>2145</v>
      </c>
      <c r="U2376" s="21">
        <v>1</v>
      </c>
      <c r="V2376" s="21">
        <v>1</v>
      </c>
      <c r="W2376" s="73">
        <f t="shared" si="124"/>
        <v>9</v>
      </c>
      <c r="X2376" s="80">
        <f t="shared" si="125"/>
        <v>5666</v>
      </c>
      <c r="Y2376" s="82" t="s">
        <v>3584</v>
      </c>
      <c r="AB2376" s="177">
        <v>43132</v>
      </c>
      <c r="AC2376" s="84" t="s">
        <v>2885</v>
      </c>
    </row>
    <row r="2377" spans="1:29" ht="15.45" customHeight="1" x14ac:dyDescent="0.25">
      <c r="A2377" s="29" t="s">
        <v>2231</v>
      </c>
      <c r="B2377" s="28"/>
      <c r="C2377" s="37" t="s">
        <v>2198</v>
      </c>
      <c r="E2377" s="37" t="s">
        <v>2831</v>
      </c>
      <c r="F2377" s="24" t="s">
        <v>2145</v>
      </c>
      <c r="U2377" s="21">
        <v>1</v>
      </c>
      <c r="V2377" s="21">
        <v>1</v>
      </c>
      <c r="W2377" s="73">
        <f t="shared" si="124"/>
        <v>10</v>
      </c>
      <c r="X2377" s="80">
        <f t="shared" si="125"/>
        <v>5667</v>
      </c>
      <c r="Y2377" s="82" t="s">
        <v>3584</v>
      </c>
      <c r="AB2377" s="177">
        <v>43132</v>
      </c>
      <c r="AC2377" s="84" t="s">
        <v>2885</v>
      </c>
    </row>
    <row r="2378" spans="1:29" ht="15.45" customHeight="1" x14ac:dyDescent="0.25">
      <c r="A2378" s="29" t="s">
        <v>2197</v>
      </c>
      <c r="B2378" s="28"/>
      <c r="C2378" s="37" t="s">
        <v>2199</v>
      </c>
      <c r="E2378" s="37" t="s">
        <v>2831</v>
      </c>
      <c r="F2378" s="24" t="s">
        <v>2108</v>
      </c>
      <c r="H2378" s="38" t="s">
        <v>2195</v>
      </c>
      <c r="U2378" s="21">
        <v>4</v>
      </c>
      <c r="V2378" s="21">
        <v>4</v>
      </c>
      <c r="W2378" s="73">
        <f t="shared" si="124"/>
        <v>14</v>
      </c>
      <c r="X2378" s="80">
        <f t="shared" si="125"/>
        <v>5671</v>
      </c>
      <c r="Y2378" s="82" t="s">
        <v>3584</v>
      </c>
      <c r="AB2378" s="177">
        <v>43132</v>
      </c>
      <c r="AC2378" s="84" t="s">
        <v>2885</v>
      </c>
    </row>
    <row r="2379" spans="1:29" ht="15.45" customHeight="1" x14ac:dyDescent="0.25">
      <c r="A2379" s="29" t="s">
        <v>2227</v>
      </c>
      <c r="B2379" s="28"/>
      <c r="C2379" s="37" t="s">
        <v>2198</v>
      </c>
      <c r="E2379" s="37" t="s">
        <v>2831</v>
      </c>
      <c r="F2379" s="24" t="s">
        <v>2108</v>
      </c>
      <c r="U2379" s="21">
        <v>5</v>
      </c>
      <c r="V2379" s="21">
        <v>5</v>
      </c>
      <c r="W2379" s="73">
        <f t="shared" si="124"/>
        <v>19</v>
      </c>
      <c r="X2379" s="80">
        <f t="shared" si="125"/>
        <v>5676</v>
      </c>
      <c r="Y2379" s="82" t="s">
        <v>3584</v>
      </c>
      <c r="AB2379" s="177">
        <v>43132</v>
      </c>
      <c r="AC2379" s="84" t="s">
        <v>2885</v>
      </c>
    </row>
    <row r="2380" spans="1:29" ht="15.45" customHeight="1" x14ac:dyDescent="0.25">
      <c r="A2380" s="29" t="s">
        <v>3635</v>
      </c>
      <c r="B2380" s="28"/>
      <c r="C2380" s="37" t="s">
        <v>2198</v>
      </c>
      <c r="E2380" s="37" t="s">
        <v>2831</v>
      </c>
      <c r="F2380" s="24" t="s">
        <v>2108</v>
      </c>
      <c r="S2380" s="10" t="s">
        <v>2980</v>
      </c>
      <c r="T2380" s="10" t="s">
        <v>3636</v>
      </c>
      <c r="U2380" s="21">
        <v>1</v>
      </c>
      <c r="V2380" s="21">
        <v>1</v>
      </c>
      <c r="W2380" s="73">
        <f t="shared" si="124"/>
        <v>20</v>
      </c>
      <c r="X2380" s="80">
        <f t="shared" si="125"/>
        <v>5677</v>
      </c>
      <c r="Y2380" s="82" t="s">
        <v>3584</v>
      </c>
      <c r="AB2380" s="177">
        <v>43132</v>
      </c>
      <c r="AC2380" s="84" t="s">
        <v>2885</v>
      </c>
    </row>
    <row r="2381" spans="1:29" ht="15.45" customHeight="1" x14ac:dyDescent="0.25">
      <c r="A2381" s="29" t="s">
        <v>2846</v>
      </c>
      <c r="B2381" s="28"/>
      <c r="C2381" s="37" t="s">
        <v>2228</v>
      </c>
      <c r="E2381" s="37" t="s">
        <v>2831</v>
      </c>
      <c r="F2381" s="24" t="s">
        <v>2145</v>
      </c>
      <c r="H2381" s="38" t="s">
        <v>2847</v>
      </c>
      <c r="S2381" s="10" t="s">
        <v>3412</v>
      </c>
      <c r="U2381" s="21">
        <v>4</v>
      </c>
      <c r="V2381" s="21">
        <v>4</v>
      </c>
      <c r="W2381" s="73">
        <f t="shared" si="124"/>
        <v>24</v>
      </c>
      <c r="X2381" s="80">
        <f t="shared" si="125"/>
        <v>5681</v>
      </c>
      <c r="Y2381" s="82" t="s">
        <v>3584</v>
      </c>
      <c r="AB2381" s="177">
        <v>43132</v>
      </c>
      <c r="AC2381" s="84" t="s">
        <v>2885</v>
      </c>
    </row>
    <row r="2382" spans="1:29" ht="15.45" customHeight="1" x14ac:dyDescent="0.25">
      <c r="A2382" s="29" t="s">
        <v>3637</v>
      </c>
      <c r="B2382" s="28"/>
      <c r="C2382" s="37" t="s">
        <v>2198</v>
      </c>
      <c r="E2382" s="37" t="s">
        <v>2831</v>
      </c>
      <c r="F2382" s="24" t="s">
        <v>2145</v>
      </c>
      <c r="H2382" s="38" t="s">
        <v>2443</v>
      </c>
      <c r="J2382" s="214" t="s">
        <v>3638</v>
      </c>
      <c r="P2382" s="37" t="s">
        <v>2196</v>
      </c>
      <c r="S2382" s="10" t="s">
        <v>3412</v>
      </c>
      <c r="U2382" s="21">
        <v>1</v>
      </c>
      <c r="V2382" s="21">
        <v>1</v>
      </c>
      <c r="W2382" s="73">
        <f t="shared" si="124"/>
        <v>25</v>
      </c>
      <c r="X2382" s="80">
        <f t="shared" si="125"/>
        <v>5682</v>
      </c>
      <c r="Y2382" s="82" t="s">
        <v>3584</v>
      </c>
      <c r="AB2382" s="177">
        <v>43132</v>
      </c>
      <c r="AC2382" s="84" t="s">
        <v>2885</v>
      </c>
    </row>
    <row r="2383" spans="1:29" ht="15.45" customHeight="1" x14ac:dyDescent="0.25">
      <c r="A2383" s="29" t="s">
        <v>4932</v>
      </c>
      <c r="B2383" s="28"/>
      <c r="C2383" s="37" t="s">
        <v>2198</v>
      </c>
      <c r="E2383" s="37" t="s">
        <v>2831</v>
      </c>
      <c r="F2383" s="24" t="s">
        <v>2145</v>
      </c>
      <c r="H2383" s="38" t="s">
        <v>2613</v>
      </c>
      <c r="S2383" s="10" t="s">
        <v>3412</v>
      </c>
      <c r="U2383" s="21">
        <v>1</v>
      </c>
      <c r="V2383" s="21">
        <v>1</v>
      </c>
      <c r="W2383" s="73">
        <f t="shared" si="124"/>
        <v>26</v>
      </c>
      <c r="X2383" s="80">
        <f t="shared" si="125"/>
        <v>5683</v>
      </c>
      <c r="Y2383" s="82" t="s">
        <v>3584</v>
      </c>
      <c r="AB2383" s="177">
        <v>43132</v>
      </c>
      <c r="AC2383" s="84" t="s">
        <v>2885</v>
      </c>
    </row>
    <row r="2384" spans="1:29" ht="15.45" customHeight="1" x14ac:dyDescent="0.25">
      <c r="A2384" s="29" t="s">
        <v>2444</v>
      </c>
      <c r="B2384" s="28"/>
      <c r="C2384" s="37" t="s">
        <v>2198</v>
      </c>
      <c r="E2384" s="37" t="s">
        <v>2831</v>
      </c>
      <c r="F2384" s="24" t="s">
        <v>2145</v>
      </c>
      <c r="H2384" s="38" t="s">
        <v>2445</v>
      </c>
      <c r="S2384" s="10" t="s">
        <v>3412</v>
      </c>
      <c r="U2384" s="21">
        <v>2</v>
      </c>
      <c r="V2384" s="21">
        <v>2</v>
      </c>
      <c r="W2384" s="73">
        <f t="shared" si="124"/>
        <v>28</v>
      </c>
      <c r="X2384" s="80">
        <f t="shared" si="125"/>
        <v>5685</v>
      </c>
      <c r="Y2384" s="82" t="s">
        <v>3584</v>
      </c>
      <c r="AB2384" s="177">
        <v>43132</v>
      </c>
      <c r="AC2384" s="84" t="s">
        <v>2885</v>
      </c>
    </row>
    <row r="2385" spans="1:29" ht="15.45" customHeight="1" x14ac:dyDescent="0.25">
      <c r="A2385" s="29" t="s">
        <v>2446</v>
      </c>
      <c r="B2385" s="28"/>
      <c r="C2385" s="37" t="s">
        <v>2198</v>
      </c>
      <c r="E2385" s="37" t="s">
        <v>2831</v>
      </c>
      <c r="F2385" s="24" t="s">
        <v>2145</v>
      </c>
      <c r="H2385" s="38" t="s">
        <v>2447</v>
      </c>
      <c r="J2385" s="214" t="s">
        <v>5129</v>
      </c>
      <c r="K2385" s="10" t="s">
        <v>5130</v>
      </c>
      <c r="S2385" s="10" t="s">
        <v>3412</v>
      </c>
      <c r="U2385" s="21">
        <v>2</v>
      </c>
      <c r="V2385" s="21">
        <v>2</v>
      </c>
      <c r="W2385" s="73">
        <f t="shared" si="124"/>
        <v>30</v>
      </c>
      <c r="X2385" s="80">
        <f t="shared" si="125"/>
        <v>5687</v>
      </c>
      <c r="Y2385" s="82" t="s">
        <v>3584</v>
      </c>
      <c r="AB2385" s="177">
        <v>43132</v>
      </c>
      <c r="AC2385" s="84" t="s">
        <v>2885</v>
      </c>
    </row>
    <row r="2386" spans="1:29" ht="15.45" customHeight="1" x14ac:dyDescent="0.25">
      <c r="A2386" s="29" t="s">
        <v>3371</v>
      </c>
      <c r="B2386" s="28"/>
      <c r="C2386" s="37" t="s">
        <v>2198</v>
      </c>
      <c r="E2386" s="37" t="s">
        <v>2831</v>
      </c>
      <c r="F2386" s="24" t="s">
        <v>2145</v>
      </c>
      <c r="S2386" s="10" t="s">
        <v>3412</v>
      </c>
      <c r="U2386" s="21">
        <v>1</v>
      </c>
      <c r="V2386" s="21">
        <v>1</v>
      </c>
      <c r="W2386" s="73">
        <f t="shared" si="124"/>
        <v>31</v>
      </c>
      <c r="X2386" s="80">
        <f t="shared" si="125"/>
        <v>5688</v>
      </c>
      <c r="Y2386" s="82" t="s">
        <v>3584</v>
      </c>
      <c r="AB2386" s="177">
        <v>43132</v>
      </c>
      <c r="AC2386" s="84" t="s">
        <v>2885</v>
      </c>
    </row>
    <row r="2387" spans="1:29" ht="15.45" customHeight="1" x14ac:dyDescent="0.25">
      <c r="A2387" s="29" t="s">
        <v>4933</v>
      </c>
      <c r="B2387" s="28"/>
      <c r="C2387" s="37" t="s">
        <v>2198</v>
      </c>
      <c r="E2387" s="37" t="s">
        <v>2831</v>
      </c>
      <c r="F2387" s="24" t="s">
        <v>2145</v>
      </c>
      <c r="S2387" s="10" t="s">
        <v>3412</v>
      </c>
      <c r="U2387" s="21">
        <v>1</v>
      </c>
      <c r="V2387" s="21">
        <v>1</v>
      </c>
      <c r="W2387" s="73">
        <f t="shared" si="124"/>
        <v>32</v>
      </c>
      <c r="X2387" s="80">
        <f t="shared" si="125"/>
        <v>5689</v>
      </c>
      <c r="Y2387" s="82" t="s">
        <v>3584</v>
      </c>
      <c r="AB2387" s="177">
        <v>43132</v>
      </c>
      <c r="AC2387" s="84" t="s">
        <v>2885</v>
      </c>
    </row>
    <row r="2388" spans="1:29" ht="15.45" customHeight="1" x14ac:dyDescent="0.25">
      <c r="A2388" s="29" t="s">
        <v>2457</v>
      </c>
      <c r="B2388" s="28"/>
      <c r="C2388" s="37" t="s">
        <v>2198</v>
      </c>
      <c r="E2388" s="37" t="s">
        <v>2831</v>
      </c>
      <c r="F2388" s="24" t="s">
        <v>2145</v>
      </c>
      <c r="H2388" s="38" t="s">
        <v>2458</v>
      </c>
      <c r="S2388" s="10" t="s">
        <v>3412</v>
      </c>
      <c r="U2388" s="21">
        <v>1</v>
      </c>
      <c r="V2388" s="21">
        <v>1</v>
      </c>
      <c r="W2388" s="73">
        <f t="shared" si="124"/>
        <v>33</v>
      </c>
      <c r="X2388" s="80">
        <f t="shared" si="125"/>
        <v>5690</v>
      </c>
      <c r="Y2388" s="82" t="s">
        <v>3584</v>
      </c>
      <c r="AB2388" s="177">
        <v>43132</v>
      </c>
      <c r="AC2388" s="84" t="s">
        <v>2885</v>
      </c>
    </row>
    <row r="2389" spans="1:29" ht="15.45" customHeight="1" x14ac:dyDescent="0.25">
      <c r="A2389" s="29" t="s">
        <v>3022</v>
      </c>
      <c r="B2389" s="28"/>
      <c r="C2389" s="37" t="s">
        <v>2198</v>
      </c>
      <c r="E2389" s="37" t="s">
        <v>2831</v>
      </c>
      <c r="F2389" s="24" t="s">
        <v>2145</v>
      </c>
      <c r="N2389" s="37" t="s">
        <v>3023</v>
      </c>
      <c r="S2389" s="10" t="s">
        <v>3412</v>
      </c>
      <c r="U2389" s="21">
        <v>1</v>
      </c>
      <c r="V2389" s="21">
        <v>1</v>
      </c>
      <c r="W2389" s="73">
        <f t="shared" si="124"/>
        <v>34</v>
      </c>
      <c r="X2389" s="80">
        <f t="shared" si="125"/>
        <v>5691</v>
      </c>
      <c r="Y2389" s="82" t="s">
        <v>3584</v>
      </c>
      <c r="AB2389" s="177">
        <v>43132</v>
      </c>
      <c r="AC2389" s="84" t="s">
        <v>2885</v>
      </c>
    </row>
    <row r="2390" spans="1:29" ht="15.45" customHeight="1" x14ac:dyDescent="0.25">
      <c r="A2390" s="29" t="s">
        <v>2705</v>
      </c>
      <c r="B2390" s="28"/>
      <c r="C2390" s="37" t="s">
        <v>2198</v>
      </c>
      <c r="E2390" s="37" t="s">
        <v>2831</v>
      </c>
      <c r="F2390" s="24" t="s">
        <v>2145</v>
      </c>
      <c r="S2390" s="10" t="s">
        <v>3412</v>
      </c>
      <c r="U2390" s="21">
        <v>1</v>
      </c>
      <c r="V2390" s="21">
        <v>1</v>
      </c>
      <c r="W2390" s="73">
        <f t="shared" si="124"/>
        <v>35</v>
      </c>
      <c r="X2390" s="80">
        <f t="shared" si="125"/>
        <v>5692</v>
      </c>
      <c r="Y2390" s="82" t="s">
        <v>3584</v>
      </c>
      <c r="AB2390" s="177">
        <v>43132</v>
      </c>
      <c r="AC2390" s="84" t="s">
        <v>2885</v>
      </c>
    </row>
    <row r="2391" spans="1:29" ht="15.45" customHeight="1" x14ac:dyDescent="0.25">
      <c r="A2391" s="29" t="s">
        <v>2455</v>
      </c>
      <c r="B2391" s="28"/>
      <c r="C2391" s="37" t="s">
        <v>2198</v>
      </c>
      <c r="E2391" s="37" t="s">
        <v>2831</v>
      </c>
      <c r="F2391" s="24" t="s">
        <v>2145</v>
      </c>
      <c r="H2391" s="38" t="s">
        <v>2456</v>
      </c>
      <c r="S2391" s="10" t="s">
        <v>3412</v>
      </c>
      <c r="U2391" s="21">
        <v>1</v>
      </c>
      <c r="V2391" s="21">
        <v>1</v>
      </c>
      <c r="W2391" s="73">
        <f t="shared" si="124"/>
        <v>36</v>
      </c>
      <c r="X2391" s="80">
        <f t="shared" si="125"/>
        <v>5693</v>
      </c>
      <c r="Y2391" s="82" t="s">
        <v>3584</v>
      </c>
      <c r="AB2391" s="177">
        <v>43132</v>
      </c>
      <c r="AC2391" s="84" t="s">
        <v>2885</v>
      </c>
    </row>
    <row r="2392" spans="1:29" ht="15.45" customHeight="1" x14ac:dyDescent="0.25">
      <c r="A2392" s="29" t="s">
        <v>2614</v>
      </c>
      <c r="B2392" s="28"/>
      <c r="C2392" s="37" t="s">
        <v>2198</v>
      </c>
      <c r="E2392" s="37" t="s">
        <v>2831</v>
      </c>
      <c r="F2392" s="24" t="s">
        <v>2145</v>
      </c>
      <c r="H2392" s="38" t="s">
        <v>2615</v>
      </c>
      <c r="S2392" s="10" t="s">
        <v>3412</v>
      </c>
      <c r="U2392" s="21">
        <v>1</v>
      </c>
      <c r="V2392" s="21">
        <v>1</v>
      </c>
      <c r="W2392" s="73">
        <f t="shared" si="124"/>
        <v>37</v>
      </c>
      <c r="X2392" s="80">
        <f t="shared" si="125"/>
        <v>5694</v>
      </c>
      <c r="Y2392" s="82" t="s">
        <v>3584</v>
      </c>
      <c r="AB2392" s="177">
        <v>43132</v>
      </c>
      <c r="AC2392" s="84" t="s">
        <v>2885</v>
      </c>
    </row>
    <row r="2393" spans="1:29" ht="15.45" customHeight="1" x14ac:dyDescent="0.25">
      <c r="A2393" s="29" t="s">
        <v>2453</v>
      </c>
      <c r="B2393" s="28"/>
      <c r="C2393" s="37" t="s">
        <v>2198</v>
      </c>
      <c r="E2393" s="37" t="s">
        <v>2831</v>
      </c>
      <c r="F2393" s="24" t="s">
        <v>2145</v>
      </c>
      <c r="H2393" s="38" t="s">
        <v>2454</v>
      </c>
      <c r="S2393" s="10" t="s">
        <v>3412</v>
      </c>
      <c r="U2393" s="21">
        <v>1</v>
      </c>
      <c r="V2393" s="21">
        <v>1</v>
      </c>
      <c r="W2393" s="73">
        <f t="shared" si="124"/>
        <v>38</v>
      </c>
      <c r="X2393" s="80">
        <f t="shared" si="125"/>
        <v>5695</v>
      </c>
      <c r="Y2393" s="82" t="s">
        <v>3584</v>
      </c>
      <c r="AB2393" s="177">
        <v>43132</v>
      </c>
      <c r="AC2393" s="84" t="s">
        <v>2885</v>
      </c>
    </row>
    <row r="2394" spans="1:29" ht="15.45" customHeight="1" x14ac:dyDescent="0.25">
      <c r="A2394" s="29" t="s">
        <v>2451</v>
      </c>
      <c r="B2394" s="28"/>
      <c r="C2394" s="37" t="s">
        <v>2198</v>
      </c>
      <c r="E2394" s="37" t="s">
        <v>2831</v>
      </c>
      <c r="F2394" s="24" t="s">
        <v>2145</v>
      </c>
      <c r="H2394" s="38" t="s">
        <v>2452</v>
      </c>
      <c r="S2394" s="10" t="s">
        <v>3412</v>
      </c>
      <c r="U2394" s="21">
        <v>1</v>
      </c>
      <c r="V2394" s="21">
        <v>1</v>
      </c>
      <c r="W2394" s="73">
        <f t="shared" si="124"/>
        <v>39</v>
      </c>
      <c r="X2394" s="80">
        <f t="shared" si="125"/>
        <v>5696</v>
      </c>
      <c r="Y2394" s="82" t="s">
        <v>3584</v>
      </c>
      <c r="AB2394" s="177">
        <v>43132</v>
      </c>
      <c r="AC2394" s="84" t="s">
        <v>2885</v>
      </c>
    </row>
    <row r="2395" spans="1:29" ht="15.45" customHeight="1" x14ac:dyDescent="0.25">
      <c r="A2395" s="29" t="s">
        <v>2449</v>
      </c>
      <c r="B2395" s="28"/>
      <c r="C2395" s="37" t="s">
        <v>2198</v>
      </c>
      <c r="E2395" s="37" t="s">
        <v>2831</v>
      </c>
      <c r="F2395" s="24" t="s">
        <v>2145</v>
      </c>
      <c r="H2395" s="38" t="s">
        <v>2450</v>
      </c>
      <c r="S2395" s="10" t="s">
        <v>3412</v>
      </c>
      <c r="U2395" s="21">
        <v>1</v>
      </c>
      <c r="V2395" s="21">
        <v>1</v>
      </c>
      <c r="W2395" s="73">
        <f t="shared" si="124"/>
        <v>40</v>
      </c>
      <c r="X2395" s="80">
        <f t="shared" si="125"/>
        <v>5697</v>
      </c>
      <c r="Y2395" s="82" t="s">
        <v>3584</v>
      </c>
      <c r="AB2395" s="177">
        <v>43132</v>
      </c>
      <c r="AC2395" s="84" t="s">
        <v>2885</v>
      </c>
    </row>
    <row r="2396" spans="1:29" ht="15.45" customHeight="1" x14ac:dyDescent="0.25">
      <c r="A2396" s="29" t="s">
        <v>2459</v>
      </c>
      <c r="B2396" s="28"/>
      <c r="C2396" s="37" t="s">
        <v>2223</v>
      </c>
      <c r="E2396" s="37" t="s">
        <v>2831</v>
      </c>
      <c r="F2396" s="24" t="s">
        <v>2145</v>
      </c>
      <c r="H2396" s="38" t="s">
        <v>2460</v>
      </c>
      <c r="S2396" s="10" t="s">
        <v>3412</v>
      </c>
      <c r="U2396" s="21">
        <v>1</v>
      </c>
      <c r="V2396" s="21">
        <v>1</v>
      </c>
      <c r="W2396" s="73">
        <f t="shared" si="124"/>
        <v>41</v>
      </c>
      <c r="X2396" s="80">
        <f t="shared" si="125"/>
        <v>5698</v>
      </c>
      <c r="Y2396" s="82" t="s">
        <v>3584</v>
      </c>
      <c r="AB2396" s="177">
        <v>43132</v>
      </c>
      <c r="AC2396" s="84" t="s">
        <v>2885</v>
      </c>
    </row>
    <row r="2397" spans="1:29" ht="15.45" customHeight="1" x14ac:dyDescent="0.25">
      <c r="A2397" s="29" t="s">
        <v>4934</v>
      </c>
      <c r="B2397" s="28"/>
      <c r="C2397" s="37" t="s">
        <v>2198</v>
      </c>
      <c r="E2397" s="37" t="s">
        <v>2831</v>
      </c>
      <c r="F2397" s="24" t="s">
        <v>2145</v>
      </c>
      <c r="S2397" s="10" t="s">
        <v>3412</v>
      </c>
      <c r="U2397" s="21">
        <v>1</v>
      </c>
      <c r="V2397" s="21">
        <v>1</v>
      </c>
      <c r="W2397" s="73">
        <f t="shared" si="124"/>
        <v>42</v>
      </c>
      <c r="X2397" s="80">
        <f t="shared" si="125"/>
        <v>5699</v>
      </c>
      <c r="Y2397" s="82" t="s">
        <v>3584</v>
      </c>
      <c r="AB2397" s="177">
        <v>43132</v>
      </c>
      <c r="AC2397" s="84" t="s">
        <v>2885</v>
      </c>
    </row>
    <row r="2398" spans="1:29" ht="15.45" customHeight="1" x14ac:dyDescent="0.25">
      <c r="A2398" s="29" t="s">
        <v>2706</v>
      </c>
      <c r="B2398" s="28"/>
      <c r="C2398" s="37" t="s">
        <v>2198</v>
      </c>
      <c r="E2398" s="37" t="s">
        <v>2831</v>
      </c>
      <c r="F2398" s="24" t="s">
        <v>2145</v>
      </c>
      <c r="H2398" s="38" t="s">
        <v>2707</v>
      </c>
      <c r="S2398" s="10" t="s">
        <v>3412</v>
      </c>
      <c r="U2398" s="21">
        <v>1</v>
      </c>
      <c r="V2398" s="21">
        <v>1</v>
      </c>
      <c r="W2398" s="73">
        <f t="shared" si="124"/>
        <v>43</v>
      </c>
      <c r="X2398" s="80">
        <f t="shared" si="125"/>
        <v>5700</v>
      </c>
      <c r="Y2398" s="82" t="s">
        <v>3584</v>
      </c>
      <c r="AB2398" s="177">
        <v>43132</v>
      </c>
      <c r="AC2398" s="84" t="s">
        <v>2885</v>
      </c>
    </row>
    <row r="2399" spans="1:29" ht="15.45" customHeight="1" x14ac:dyDescent="0.25">
      <c r="A2399" s="29" t="s">
        <v>2709</v>
      </c>
      <c r="B2399" s="28"/>
      <c r="C2399" s="37" t="s">
        <v>2198</v>
      </c>
      <c r="E2399" s="37" t="s">
        <v>2831</v>
      </c>
      <c r="F2399" s="24" t="s">
        <v>2145</v>
      </c>
      <c r="H2399" s="38" t="s">
        <v>2708</v>
      </c>
      <c r="S2399" s="10" t="s">
        <v>3412</v>
      </c>
      <c r="U2399" s="21">
        <v>1</v>
      </c>
      <c r="V2399" s="21">
        <v>1</v>
      </c>
      <c r="W2399" s="73">
        <f t="shared" si="124"/>
        <v>44</v>
      </c>
      <c r="X2399" s="80">
        <f t="shared" si="125"/>
        <v>5701</v>
      </c>
      <c r="Y2399" s="82" t="s">
        <v>3584</v>
      </c>
      <c r="AB2399" s="177">
        <v>43132</v>
      </c>
      <c r="AC2399" s="84" t="s">
        <v>2885</v>
      </c>
    </row>
    <row r="2400" spans="1:29" ht="15.45" customHeight="1" x14ac:dyDescent="0.25">
      <c r="A2400" s="29" t="s">
        <v>2709</v>
      </c>
      <c r="B2400" s="28"/>
      <c r="C2400" s="37" t="s">
        <v>2198</v>
      </c>
      <c r="E2400" s="37" t="s">
        <v>2831</v>
      </c>
      <c r="F2400" s="24" t="s">
        <v>2145</v>
      </c>
      <c r="H2400" s="38" t="s">
        <v>2711</v>
      </c>
      <c r="S2400" s="10" t="s">
        <v>3412</v>
      </c>
      <c r="U2400" s="21">
        <v>3</v>
      </c>
      <c r="V2400" s="21">
        <v>3</v>
      </c>
      <c r="W2400" s="73">
        <f t="shared" ref="W2400:W2419" si="126">W2399+V2400</f>
        <v>47</v>
      </c>
      <c r="X2400" s="80">
        <f t="shared" si="125"/>
        <v>5704</v>
      </c>
      <c r="Y2400" s="82" t="s">
        <v>3584</v>
      </c>
      <c r="AB2400" s="177" t="s">
        <v>2710</v>
      </c>
      <c r="AC2400" s="84" t="s">
        <v>2885</v>
      </c>
    </row>
    <row r="2401" spans="1:29" ht="15.45" customHeight="1" x14ac:dyDescent="0.25">
      <c r="A2401" s="29" t="s">
        <v>4935</v>
      </c>
      <c r="B2401" s="28"/>
      <c r="C2401" s="37" t="s">
        <v>2198</v>
      </c>
      <c r="E2401" s="37" t="s">
        <v>2831</v>
      </c>
      <c r="F2401" s="24" t="s">
        <v>2145</v>
      </c>
      <c r="H2401" s="38" t="s">
        <v>2448</v>
      </c>
      <c r="S2401" s="10" t="s">
        <v>3412</v>
      </c>
      <c r="U2401" s="21">
        <v>1</v>
      </c>
      <c r="V2401" s="21">
        <v>1</v>
      </c>
      <c r="W2401" s="73">
        <f t="shared" si="126"/>
        <v>48</v>
      </c>
      <c r="X2401" s="80">
        <f t="shared" ref="X2401:X2420" si="127">V2401+X2400</f>
        <v>5705</v>
      </c>
      <c r="Y2401" s="82" t="s">
        <v>3584</v>
      </c>
      <c r="AB2401" s="177">
        <v>43132</v>
      </c>
      <c r="AC2401" s="84" t="s">
        <v>2885</v>
      </c>
    </row>
    <row r="2402" spans="1:29" ht="15.45" customHeight="1" x14ac:dyDescent="0.25">
      <c r="A2402" s="29" t="s">
        <v>2461</v>
      </c>
      <c r="B2402" s="28"/>
      <c r="C2402" s="37" t="s">
        <v>2198</v>
      </c>
      <c r="E2402" s="37" t="s">
        <v>2831</v>
      </c>
      <c r="F2402" s="24" t="s">
        <v>2145</v>
      </c>
      <c r="H2402" s="38" t="s">
        <v>2462</v>
      </c>
      <c r="S2402" s="10" t="s">
        <v>3412</v>
      </c>
      <c r="U2402" s="21">
        <v>1</v>
      </c>
      <c r="V2402" s="21">
        <v>1</v>
      </c>
      <c r="W2402" s="73">
        <f t="shared" si="126"/>
        <v>49</v>
      </c>
      <c r="X2402" s="80">
        <f t="shared" si="127"/>
        <v>5706</v>
      </c>
      <c r="Y2402" s="82" t="s">
        <v>3584</v>
      </c>
      <c r="AB2402" s="177">
        <v>43132</v>
      </c>
      <c r="AC2402" s="84" t="s">
        <v>2885</v>
      </c>
    </row>
    <row r="2403" spans="1:29" ht="15.45" customHeight="1" x14ac:dyDescent="0.25">
      <c r="A2403" s="29" t="s">
        <v>2461</v>
      </c>
      <c r="B2403" s="28"/>
      <c r="C2403" s="37" t="s">
        <v>2198</v>
      </c>
      <c r="E2403" s="37" t="s">
        <v>2831</v>
      </c>
      <c r="F2403" s="24" t="s">
        <v>2145</v>
      </c>
      <c r="H2403" s="38" t="s">
        <v>2463</v>
      </c>
      <c r="S2403" s="10" t="s">
        <v>3412</v>
      </c>
      <c r="U2403" s="21">
        <v>1</v>
      </c>
      <c r="V2403" s="21">
        <v>1</v>
      </c>
      <c r="W2403" s="73">
        <f t="shared" si="126"/>
        <v>50</v>
      </c>
      <c r="X2403" s="80">
        <f t="shared" si="127"/>
        <v>5707</v>
      </c>
      <c r="Y2403" s="82" t="s">
        <v>3584</v>
      </c>
      <c r="AB2403" s="177">
        <v>43132</v>
      </c>
      <c r="AC2403" s="84" t="s">
        <v>2885</v>
      </c>
    </row>
    <row r="2404" spans="1:29" ht="15.45" customHeight="1" x14ac:dyDescent="0.25">
      <c r="A2404" s="29" t="s">
        <v>2464</v>
      </c>
      <c r="B2404" s="28"/>
      <c r="C2404" s="37" t="s">
        <v>2198</v>
      </c>
      <c r="E2404" s="37" t="s">
        <v>2831</v>
      </c>
      <c r="F2404" s="24" t="s">
        <v>2145</v>
      </c>
      <c r="H2404" s="38" t="s">
        <v>2465</v>
      </c>
      <c r="S2404" s="10" t="s">
        <v>3412</v>
      </c>
      <c r="U2404" s="21">
        <v>1</v>
      </c>
      <c r="V2404" s="21">
        <v>1</v>
      </c>
      <c r="W2404" s="73">
        <f t="shared" si="126"/>
        <v>51</v>
      </c>
      <c r="X2404" s="80">
        <f t="shared" si="127"/>
        <v>5708</v>
      </c>
      <c r="Y2404" s="82" t="s">
        <v>3584</v>
      </c>
      <c r="AB2404" s="177">
        <v>43132</v>
      </c>
      <c r="AC2404" s="84" t="s">
        <v>2885</v>
      </c>
    </row>
    <row r="2405" spans="1:29" ht="15.45" customHeight="1" x14ac:dyDescent="0.25">
      <c r="A2405" s="29" t="s">
        <v>2464</v>
      </c>
      <c r="B2405" s="28"/>
      <c r="C2405" s="37" t="s">
        <v>2198</v>
      </c>
      <c r="E2405" s="37" t="s">
        <v>2831</v>
      </c>
      <c r="F2405" s="24" t="s">
        <v>2145</v>
      </c>
      <c r="H2405" s="38" t="s">
        <v>2466</v>
      </c>
      <c r="S2405" s="10" t="s">
        <v>3412</v>
      </c>
      <c r="U2405" s="21">
        <v>1</v>
      </c>
      <c r="V2405" s="21">
        <v>1</v>
      </c>
      <c r="W2405" s="73">
        <f t="shared" si="126"/>
        <v>52</v>
      </c>
      <c r="X2405" s="80">
        <f t="shared" si="127"/>
        <v>5709</v>
      </c>
      <c r="Y2405" s="82" t="s">
        <v>3584</v>
      </c>
      <c r="AB2405" s="177">
        <v>43132</v>
      </c>
      <c r="AC2405" s="84" t="s">
        <v>2885</v>
      </c>
    </row>
    <row r="2406" spans="1:29" ht="15.45" customHeight="1" x14ac:dyDescent="0.25">
      <c r="A2406" s="29" t="s">
        <v>2234</v>
      </c>
      <c r="B2406" s="28"/>
      <c r="C2406" s="37" t="s">
        <v>2198</v>
      </c>
      <c r="E2406" s="37" t="s">
        <v>2831</v>
      </c>
      <c r="F2406" s="24" t="s">
        <v>2145</v>
      </c>
      <c r="S2406" s="10" t="s">
        <v>3412</v>
      </c>
      <c r="U2406" s="21">
        <v>1</v>
      </c>
      <c r="V2406" s="21">
        <v>1</v>
      </c>
      <c r="W2406" s="73">
        <f t="shared" si="126"/>
        <v>53</v>
      </c>
      <c r="X2406" s="80">
        <f t="shared" si="127"/>
        <v>5710</v>
      </c>
      <c r="Y2406" s="82" t="s">
        <v>3584</v>
      </c>
      <c r="AB2406" s="177">
        <v>43132</v>
      </c>
      <c r="AC2406" s="84" t="s">
        <v>2885</v>
      </c>
    </row>
    <row r="2407" spans="1:29" ht="15.45" customHeight="1" x14ac:dyDescent="0.25">
      <c r="A2407" s="29" t="s">
        <v>2201</v>
      </c>
      <c r="B2407" s="28"/>
      <c r="C2407" s="37" t="s">
        <v>2198</v>
      </c>
      <c r="E2407" s="37" t="s">
        <v>2831</v>
      </c>
      <c r="F2407" s="24" t="s">
        <v>2145</v>
      </c>
      <c r="S2407" s="10" t="s">
        <v>3412</v>
      </c>
      <c r="U2407" s="21">
        <v>1</v>
      </c>
      <c r="V2407" s="21">
        <v>1</v>
      </c>
      <c r="W2407" s="73">
        <f t="shared" si="126"/>
        <v>54</v>
      </c>
      <c r="X2407" s="80">
        <f t="shared" si="127"/>
        <v>5711</v>
      </c>
      <c r="Y2407" s="82" t="s">
        <v>3584</v>
      </c>
      <c r="AB2407" s="177">
        <v>43132</v>
      </c>
      <c r="AC2407" s="84" t="s">
        <v>2885</v>
      </c>
    </row>
    <row r="2408" spans="1:29" ht="15.45" customHeight="1" x14ac:dyDescent="0.25">
      <c r="A2408" s="29" t="s">
        <v>2714</v>
      </c>
      <c r="B2408" s="28"/>
      <c r="C2408" s="37" t="s">
        <v>2198</v>
      </c>
      <c r="E2408" s="37" t="s">
        <v>2831</v>
      </c>
      <c r="F2408" s="24" t="s">
        <v>2748</v>
      </c>
      <c r="H2408" s="38" t="s">
        <v>2715</v>
      </c>
      <c r="S2408" s="10" t="s">
        <v>3412</v>
      </c>
      <c r="U2408" s="21">
        <v>1</v>
      </c>
      <c r="V2408" s="21">
        <v>1</v>
      </c>
      <c r="W2408" s="73">
        <f t="shared" si="126"/>
        <v>55</v>
      </c>
      <c r="X2408" s="80">
        <f t="shared" si="127"/>
        <v>5712</v>
      </c>
      <c r="Y2408" s="82" t="s">
        <v>3584</v>
      </c>
      <c r="AB2408" s="177">
        <v>43132</v>
      </c>
      <c r="AC2408" s="84" t="s">
        <v>2885</v>
      </c>
    </row>
    <row r="2409" spans="1:29" ht="15.45" customHeight="1" x14ac:dyDescent="0.25">
      <c r="A2409" s="29" t="s">
        <v>3024</v>
      </c>
      <c r="B2409" s="28"/>
      <c r="C2409" s="37" t="s">
        <v>2198</v>
      </c>
      <c r="E2409" s="37" t="s">
        <v>2831</v>
      </c>
      <c r="F2409" s="24" t="s">
        <v>2145</v>
      </c>
      <c r="H2409" s="38" t="s">
        <v>2716</v>
      </c>
      <c r="N2409" s="37" t="s">
        <v>3025</v>
      </c>
      <c r="S2409" s="10" t="s">
        <v>3412</v>
      </c>
      <c r="U2409" s="21">
        <v>1</v>
      </c>
      <c r="V2409" s="21">
        <v>1</v>
      </c>
      <c r="W2409" s="73">
        <f t="shared" si="126"/>
        <v>56</v>
      </c>
      <c r="X2409" s="80">
        <f t="shared" si="127"/>
        <v>5713</v>
      </c>
      <c r="Y2409" s="82" t="s">
        <v>3584</v>
      </c>
      <c r="AB2409" s="177">
        <v>43132</v>
      </c>
      <c r="AC2409" s="84" t="s">
        <v>2885</v>
      </c>
    </row>
    <row r="2410" spans="1:29" ht="15.45" customHeight="1" x14ac:dyDescent="0.25">
      <c r="A2410" s="29" t="s">
        <v>2712</v>
      </c>
      <c r="B2410" s="28"/>
      <c r="C2410" s="37" t="s">
        <v>2198</v>
      </c>
      <c r="E2410" s="37" t="s">
        <v>2831</v>
      </c>
      <c r="F2410" s="24" t="s">
        <v>2713</v>
      </c>
      <c r="H2410" s="38" t="s">
        <v>2715</v>
      </c>
      <c r="S2410" s="10" t="s">
        <v>3412</v>
      </c>
      <c r="U2410" s="21">
        <v>1</v>
      </c>
      <c r="V2410" s="21">
        <v>1</v>
      </c>
      <c r="W2410" s="73">
        <f t="shared" si="126"/>
        <v>57</v>
      </c>
      <c r="X2410" s="80">
        <f t="shared" si="127"/>
        <v>5714</v>
      </c>
      <c r="Y2410" s="82" t="s">
        <v>3584</v>
      </c>
      <c r="AB2410" s="177">
        <v>43132</v>
      </c>
      <c r="AC2410" s="84" t="s">
        <v>2885</v>
      </c>
    </row>
    <row r="2411" spans="1:29" ht="15.45" customHeight="1" x14ac:dyDescent="0.25">
      <c r="A2411" s="29" t="s">
        <v>2232</v>
      </c>
      <c r="B2411" s="28"/>
      <c r="C2411" s="37" t="s">
        <v>2233</v>
      </c>
      <c r="E2411" s="37" t="s">
        <v>2831</v>
      </c>
      <c r="F2411" s="24" t="s">
        <v>2145</v>
      </c>
      <c r="S2411" s="10" t="s">
        <v>3412</v>
      </c>
      <c r="U2411" s="21">
        <v>1</v>
      </c>
      <c r="V2411" s="21">
        <v>1</v>
      </c>
      <c r="W2411" s="73">
        <f t="shared" si="126"/>
        <v>58</v>
      </c>
      <c r="X2411" s="80">
        <f t="shared" si="127"/>
        <v>5715</v>
      </c>
      <c r="Y2411" s="82" t="s">
        <v>3584</v>
      </c>
      <c r="AB2411" s="177">
        <v>43132</v>
      </c>
      <c r="AC2411" s="84" t="s">
        <v>2885</v>
      </c>
    </row>
    <row r="2412" spans="1:29" ht="15.45" customHeight="1" x14ac:dyDescent="0.25">
      <c r="A2412" s="29" t="s">
        <v>2467</v>
      </c>
      <c r="B2412" s="28"/>
      <c r="C2412" s="37" t="s">
        <v>2198</v>
      </c>
      <c r="E2412" s="37" t="s">
        <v>2831</v>
      </c>
      <c r="F2412" s="24" t="s">
        <v>2145</v>
      </c>
      <c r="H2412" s="38" t="s">
        <v>2468</v>
      </c>
      <c r="S2412" s="10" t="s">
        <v>3412</v>
      </c>
      <c r="U2412" s="21">
        <v>8</v>
      </c>
      <c r="V2412" s="21">
        <v>8</v>
      </c>
      <c r="W2412" s="73">
        <f t="shared" si="126"/>
        <v>66</v>
      </c>
      <c r="X2412" s="80">
        <f t="shared" si="127"/>
        <v>5723</v>
      </c>
      <c r="Y2412" s="82" t="s">
        <v>3584</v>
      </c>
      <c r="AB2412" s="177">
        <v>43132</v>
      </c>
      <c r="AC2412" s="84" t="s">
        <v>2885</v>
      </c>
    </row>
    <row r="2413" spans="1:29" ht="15.45" customHeight="1" x14ac:dyDescent="0.25">
      <c r="A2413" s="29" t="s">
        <v>2224</v>
      </c>
      <c r="B2413" s="28"/>
      <c r="C2413" s="37" t="s">
        <v>2223</v>
      </c>
      <c r="E2413" s="37" t="s">
        <v>2831</v>
      </c>
      <c r="F2413" s="24" t="s">
        <v>2515</v>
      </c>
      <c r="S2413" s="10" t="s">
        <v>3412</v>
      </c>
      <c r="U2413" s="21">
        <v>1</v>
      </c>
      <c r="V2413" s="21">
        <v>1</v>
      </c>
      <c r="W2413" s="73">
        <f t="shared" si="126"/>
        <v>67</v>
      </c>
      <c r="X2413" s="80">
        <f t="shared" si="127"/>
        <v>5724</v>
      </c>
      <c r="Y2413" s="82" t="s">
        <v>3584</v>
      </c>
      <c r="AB2413" s="177">
        <v>43132</v>
      </c>
      <c r="AC2413" s="84" t="s">
        <v>2885</v>
      </c>
    </row>
    <row r="2414" spans="1:29" ht="15.45" customHeight="1" x14ac:dyDescent="0.25">
      <c r="A2414" s="29" t="s">
        <v>2225</v>
      </c>
      <c r="B2414" s="28"/>
      <c r="C2414" s="37" t="s">
        <v>2198</v>
      </c>
      <c r="E2414" s="37" t="s">
        <v>2831</v>
      </c>
      <c r="F2414" s="24" t="s">
        <v>2145</v>
      </c>
      <c r="S2414" s="10" t="s">
        <v>3412</v>
      </c>
      <c r="U2414" s="21">
        <v>2</v>
      </c>
      <c r="V2414" s="21">
        <v>2</v>
      </c>
      <c r="W2414" s="73">
        <f t="shared" si="126"/>
        <v>69</v>
      </c>
      <c r="X2414" s="80">
        <f t="shared" si="127"/>
        <v>5726</v>
      </c>
      <c r="Y2414" s="82" t="s">
        <v>3584</v>
      </c>
      <c r="AB2414" s="177">
        <v>43132</v>
      </c>
      <c r="AC2414" s="84" t="s">
        <v>2885</v>
      </c>
    </row>
    <row r="2415" spans="1:29" ht="15.45" customHeight="1" x14ac:dyDescent="0.25">
      <c r="A2415" s="29" t="s">
        <v>2226</v>
      </c>
      <c r="B2415" s="28"/>
      <c r="C2415" s="37" t="s">
        <v>2198</v>
      </c>
      <c r="E2415" s="37" t="s">
        <v>2831</v>
      </c>
      <c r="F2415" s="24" t="s">
        <v>2145</v>
      </c>
      <c r="S2415" s="10" t="s">
        <v>3412</v>
      </c>
      <c r="U2415" s="21">
        <v>1</v>
      </c>
      <c r="V2415" s="21">
        <v>1</v>
      </c>
      <c r="W2415" s="73">
        <f t="shared" si="126"/>
        <v>70</v>
      </c>
      <c r="X2415" s="80">
        <f t="shared" si="127"/>
        <v>5727</v>
      </c>
      <c r="Y2415" s="82" t="s">
        <v>3584</v>
      </c>
      <c r="AB2415" s="177">
        <v>43132</v>
      </c>
      <c r="AC2415" s="84" t="s">
        <v>2885</v>
      </c>
    </row>
    <row r="2416" spans="1:29" ht="15.45" customHeight="1" x14ac:dyDescent="0.25">
      <c r="A2416" s="29" t="s">
        <v>2473</v>
      </c>
      <c r="B2416" s="28"/>
      <c r="C2416" s="37" t="s">
        <v>2198</v>
      </c>
      <c r="E2416" s="37" t="s">
        <v>2831</v>
      </c>
      <c r="F2416" s="24" t="s">
        <v>2335</v>
      </c>
      <c r="H2416" s="38" t="s">
        <v>2474</v>
      </c>
      <c r="S2416" s="10" t="s">
        <v>3412</v>
      </c>
      <c r="U2416" s="21">
        <v>1</v>
      </c>
      <c r="V2416" s="21">
        <v>1</v>
      </c>
      <c r="W2416" s="73">
        <f t="shared" si="126"/>
        <v>71</v>
      </c>
      <c r="X2416" s="80">
        <f t="shared" si="127"/>
        <v>5728</v>
      </c>
      <c r="Y2416" s="82" t="s">
        <v>3584</v>
      </c>
      <c r="AB2416" s="177">
        <v>43132</v>
      </c>
      <c r="AC2416" s="84" t="s">
        <v>2885</v>
      </c>
    </row>
    <row r="2417" spans="1:37" ht="15.45" customHeight="1" x14ac:dyDescent="0.25">
      <c r="A2417" s="29" t="s">
        <v>2701</v>
      </c>
      <c r="B2417" s="28"/>
      <c r="C2417" s="37" t="s">
        <v>2198</v>
      </c>
      <c r="E2417" s="37" t="s">
        <v>2831</v>
      </c>
      <c r="F2417" s="24" t="s">
        <v>2145</v>
      </c>
      <c r="H2417" s="38" t="s">
        <v>2702</v>
      </c>
      <c r="S2417" s="10" t="s">
        <v>3412</v>
      </c>
      <c r="U2417" s="21">
        <v>1</v>
      </c>
      <c r="V2417" s="21">
        <v>1</v>
      </c>
      <c r="W2417" s="73">
        <f t="shared" si="126"/>
        <v>72</v>
      </c>
      <c r="X2417" s="80">
        <f t="shared" si="127"/>
        <v>5729</v>
      </c>
      <c r="Y2417" s="82" t="s">
        <v>3584</v>
      </c>
      <c r="AA2417" s="178"/>
      <c r="AB2417" s="178">
        <v>43132</v>
      </c>
      <c r="AC2417" s="84" t="s">
        <v>2885</v>
      </c>
    </row>
    <row r="2418" spans="1:37" ht="15.45" customHeight="1" x14ac:dyDescent="0.25">
      <c r="A2418" s="29" t="s">
        <v>2701</v>
      </c>
      <c r="B2418" s="28"/>
      <c r="C2418" s="37" t="s">
        <v>2198</v>
      </c>
      <c r="E2418" s="37" t="s">
        <v>2831</v>
      </c>
      <c r="F2418" s="24" t="s">
        <v>2145</v>
      </c>
      <c r="H2418" s="38" t="s">
        <v>2703</v>
      </c>
      <c r="S2418" s="10" t="s">
        <v>3412</v>
      </c>
      <c r="U2418" s="21">
        <v>1</v>
      </c>
      <c r="V2418" s="21">
        <v>1</v>
      </c>
      <c r="W2418" s="73">
        <f t="shared" si="126"/>
        <v>73</v>
      </c>
      <c r="X2418" s="80">
        <f t="shared" si="127"/>
        <v>5730</v>
      </c>
      <c r="Y2418" s="82" t="s">
        <v>3584</v>
      </c>
      <c r="AA2418" s="178"/>
      <c r="AB2418" s="178">
        <v>43132</v>
      </c>
      <c r="AC2418" s="84" t="s">
        <v>2885</v>
      </c>
    </row>
    <row r="2419" spans="1:37" ht="15.45" customHeight="1" x14ac:dyDescent="0.25">
      <c r="A2419" s="29" t="s">
        <v>2704</v>
      </c>
      <c r="B2419" s="28"/>
      <c r="C2419" s="37" t="s">
        <v>2198</v>
      </c>
      <c r="E2419" s="37" t="s">
        <v>2831</v>
      </c>
      <c r="F2419" s="24" t="s">
        <v>2145</v>
      </c>
      <c r="S2419" s="10" t="s">
        <v>3412</v>
      </c>
      <c r="U2419" s="21">
        <v>3</v>
      </c>
      <c r="V2419" s="21">
        <v>3</v>
      </c>
      <c r="W2419" s="73">
        <f t="shared" si="126"/>
        <v>76</v>
      </c>
      <c r="X2419" s="80">
        <f t="shared" si="127"/>
        <v>5733</v>
      </c>
      <c r="Y2419" s="82" t="s">
        <v>3584</v>
      </c>
      <c r="AA2419" s="178"/>
      <c r="AB2419" s="178">
        <v>43132</v>
      </c>
      <c r="AC2419" s="84" t="s">
        <v>2885</v>
      </c>
    </row>
    <row r="2420" spans="1:37" ht="15.45" customHeight="1" x14ac:dyDescent="0.25">
      <c r="A2420" s="29" t="s">
        <v>3026</v>
      </c>
      <c r="B2420" s="28"/>
      <c r="C2420" s="37" t="s">
        <v>2198</v>
      </c>
      <c r="E2420" s="37" t="s">
        <v>2928</v>
      </c>
      <c r="F2420" s="24" t="s">
        <v>2848</v>
      </c>
      <c r="H2420" s="38" t="s">
        <v>7252</v>
      </c>
      <c r="N2420" s="37" t="s">
        <v>3027</v>
      </c>
      <c r="S2420" s="10" t="s">
        <v>3412</v>
      </c>
      <c r="T2420" s="10" t="s">
        <v>2476</v>
      </c>
      <c r="U2420" s="22">
        <v>1</v>
      </c>
      <c r="V2420" s="22">
        <v>1</v>
      </c>
      <c r="W2420" s="73">
        <f>W3191+V2420</f>
        <v>14</v>
      </c>
      <c r="X2420" s="80">
        <f t="shared" si="127"/>
        <v>5734</v>
      </c>
      <c r="Y2420" s="82" t="s">
        <v>3584</v>
      </c>
      <c r="AC2420" s="84" t="s">
        <v>2884</v>
      </c>
      <c r="AI2420" s="10" t="s">
        <v>2477</v>
      </c>
    </row>
    <row r="2421" spans="1:37" s="51" customFormat="1" ht="15.45" customHeight="1" x14ac:dyDescent="0.25">
      <c r="A2421" s="45" t="s">
        <v>2229</v>
      </c>
      <c r="B2421" s="50"/>
      <c r="C2421" s="56"/>
      <c r="D2421" s="56"/>
      <c r="E2421" s="83"/>
      <c r="F2421" s="83"/>
      <c r="G2421" s="83"/>
      <c r="H2421" s="83"/>
      <c r="I2421" s="83"/>
      <c r="J2421" s="225"/>
      <c r="K2421" s="56"/>
      <c r="L2421" s="83"/>
      <c r="M2421" s="83"/>
      <c r="N2421" s="50"/>
      <c r="O2421" s="56"/>
      <c r="P2421" s="49"/>
      <c r="Q2421" s="49"/>
      <c r="R2421" s="49"/>
      <c r="S2421" s="50"/>
      <c r="T2421" s="56"/>
      <c r="U2421" s="83"/>
      <c r="V2421" s="83"/>
      <c r="W2421" s="83"/>
      <c r="X2421" s="81"/>
      <c r="Y2421" s="50"/>
      <c r="Z2421" s="50"/>
      <c r="AA2421" s="173"/>
      <c r="AB2421" s="173"/>
      <c r="AC2421" s="50"/>
      <c r="AD2421" s="50"/>
      <c r="AE2421" s="83"/>
      <c r="AF2421" s="47"/>
      <c r="AG2421" s="47"/>
      <c r="AH2421" s="47"/>
      <c r="AI2421" s="47"/>
      <c r="AJ2421" s="47"/>
      <c r="AK2421" s="47"/>
    </row>
    <row r="2422" spans="1:37" ht="15.45" customHeight="1" x14ac:dyDescent="0.25">
      <c r="A2422" s="29" t="s">
        <v>3028</v>
      </c>
      <c r="C2422" s="37" t="s">
        <v>2220</v>
      </c>
      <c r="E2422" s="37" t="s">
        <v>2831</v>
      </c>
      <c r="F2422" s="24" t="s">
        <v>2145</v>
      </c>
      <c r="H2422" s="44"/>
      <c r="I2422" s="117"/>
      <c r="N2422" s="37" t="s">
        <v>3029</v>
      </c>
      <c r="S2422" s="18"/>
      <c r="T2422" s="18"/>
      <c r="U2422" s="22">
        <v>1</v>
      </c>
      <c r="V2422" s="22">
        <v>1</v>
      </c>
      <c r="W2422" s="73">
        <f>W2421+V2422</f>
        <v>1</v>
      </c>
      <c r="X2422" s="80">
        <f>V2422+X2420</f>
        <v>5735</v>
      </c>
      <c r="Y2422" s="82" t="s">
        <v>3584</v>
      </c>
      <c r="AC2422" s="84" t="s">
        <v>2885</v>
      </c>
      <c r="AF2422" s="18"/>
      <c r="AG2422" s="18"/>
      <c r="AH2422" s="18"/>
      <c r="AI2422" s="18"/>
      <c r="AJ2422" s="18"/>
      <c r="AK2422" s="18"/>
    </row>
    <row r="2423" spans="1:37" ht="15.45" customHeight="1" x14ac:dyDescent="0.25">
      <c r="A2423" s="29" t="s">
        <v>3030</v>
      </c>
      <c r="C2423" s="37" t="s">
        <v>2220</v>
      </c>
      <c r="E2423" s="37" t="s">
        <v>2831</v>
      </c>
      <c r="F2423" s="24" t="s">
        <v>2145</v>
      </c>
      <c r="N2423" s="37" t="s">
        <v>3031</v>
      </c>
      <c r="U2423" s="21">
        <v>1</v>
      </c>
      <c r="V2423" s="21">
        <v>1</v>
      </c>
      <c r="W2423" s="73">
        <f>W2422+V2423</f>
        <v>2</v>
      </c>
      <c r="X2423" s="80">
        <f>V2423+X2422</f>
        <v>5736</v>
      </c>
      <c r="Y2423" s="82" t="s">
        <v>3584</v>
      </c>
      <c r="AC2423" s="84" t="s">
        <v>2885</v>
      </c>
    </row>
    <row r="2424" spans="1:37" ht="15.45" customHeight="1" x14ac:dyDescent="0.25">
      <c r="A2424" s="29" t="s">
        <v>2244</v>
      </c>
      <c r="C2424" s="37" t="s">
        <v>2220</v>
      </c>
      <c r="E2424" s="37" t="s">
        <v>2831</v>
      </c>
      <c r="F2424" s="24" t="s">
        <v>2145</v>
      </c>
      <c r="U2424" s="21">
        <v>1</v>
      </c>
      <c r="V2424" s="21">
        <v>1</v>
      </c>
      <c r="W2424" s="73">
        <f>W2423+V2424</f>
        <v>3</v>
      </c>
      <c r="X2424" s="80">
        <f>V2424+X2423</f>
        <v>5737</v>
      </c>
      <c r="Y2424" s="82" t="s">
        <v>3584</v>
      </c>
      <c r="AC2424" s="84" t="s">
        <v>2885</v>
      </c>
    </row>
    <row r="2425" spans="1:37" s="51" customFormat="1" ht="15.45" customHeight="1" x14ac:dyDescent="0.25">
      <c r="A2425" s="45" t="s">
        <v>2200</v>
      </c>
      <c r="B2425" s="50"/>
      <c r="C2425" s="49"/>
      <c r="D2425" s="49"/>
      <c r="E2425" s="49"/>
      <c r="F2425" s="50"/>
      <c r="G2425" s="50"/>
      <c r="H2425" s="46"/>
      <c r="I2425" s="109"/>
      <c r="J2425" s="212"/>
      <c r="K2425" s="56"/>
      <c r="L2425" s="100"/>
      <c r="M2425" s="100"/>
      <c r="N2425" s="49"/>
      <c r="O2425" s="49"/>
      <c r="P2425" s="49"/>
      <c r="Q2425" s="49"/>
      <c r="R2425" s="49"/>
      <c r="S2425" s="47"/>
      <c r="T2425" s="47"/>
      <c r="U2425" s="53"/>
      <c r="V2425" s="53"/>
      <c r="W2425" s="74"/>
      <c r="X2425" s="81"/>
      <c r="Y2425" s="132"/>
      <c r="Z2425" s="50"/>
      <c r="AA2425" s="173"/>
      <c r="AB2425" s="173"/>
      <c r="AC2425" s="137"/>
      <c r="AD2425" s="137"/>
      <c r="AE2425" s="83"/>
      <c r="AF2425" s="47"/>
      <c r="AG2425" s="47"/>
      <c r="AH2425" s="47"/>
      <c r="AI2425" s="47"/>
      <c r="AJ2425" s="47"/>
      <c r="AK2425" s="47"/>
    </row>
    <row r="2426" spans="1:37" ht="15.45" customHeight="1" x14ac:dyDescent="0.25">
      <c r="A2426" s="29" t="s">
        <v>4532</v>
      </c>
      <c r="C2426" s="37" t="s">
        <v>2203</v>
      </c>
      <c r="E2426" s="37" t="s">
        <v>2831</v>
      </c>
      <c r="F2426" s="24" t="s">
        <v>2145</v>
      </c>
      <c r="H2426" s="38" t="s">
        <v>4533</v>
      </c>
      <c r="S2426" s="10" t="s">
        <v>2433</v>
      </c>
      <c r="U2426" s="21">
        <v>4</v>
      </c>
      <c r="V2426" s="21">
        <v>4</v>
      </c>
      <c r="W2426" s="73">
        <f t="shared" ref="W2426:W2446" si="128">W2425+V2426</f>
        <v>4</v>
      </c>
      <c r="X2426" s="80">
        <f>V2426+X2424</f>
        <v>5741</v>
      </c>
      <c r="Y2426" s="82" t="s">
        <v>3584</v>
      </c>
      <c r="AC2426" s="84" t="s">
        <v>2884</v>
      </c>
    </row>
    <row r="2427" spans="1:37" ht="15.45" customHeight="1" x14ac:dyDescent="0.25">
      <c r="A2427" s="29" t="s">
        <v>2202</v>
      </c>
      <c r="C2427" s="37" t="s">
        <v>2203</v>
      </c>
      <c r="E2427" s="37" t="s">
        <v>2831</v>
      </c>
      <c r="F2427" s="24" t="s">
        <v>2145</v>
      </c>
      <c r="S2427" s="10" t="s">
        <v>2433</v>
      </c>
      <c r="U2427" s="21">
        <v>3</v>
      </c>
      <c r="V2427" s="21">
        <v>3</v>
      </c>
      <c r="W2427" s="73">
        <f t="shared" si="128"/>
        <v>7</v>
      </c>
      <c r="X2427" s="80">
        <f t="shared" ref="X2427:X2446" si="129">V2427+X2426</f>
        <v>5744</v>
      </c>
      <c r="Y2427" s="82" t="s">
        <v>3584</v>
      </c>
      <c r="AB2427" s="177">
        <v>43737</v>
      </c>
      <c r="AC2427" s="84" t="s">
        <v>2885</v>
      </c>
    </row>
    <row r="2428" spans="1:37" ht="15.45" customHeight="1" x14ac:dyDescent="0.25">
      <c r="A2428" s="29" t="s">
        <v>4837</v>
      </c>
      <c r="C2428" s="37" t="s">
        <v>2203</v>
      </c>
      <c r="E2428" s="37" t="s">
        <v>2831</v>
      </c>
      <c r="F2428" s="24" t="s">
        <v>2146</v>
      </c>
      <c r="H2428" s="38" t="s">
        <v>4838</v>
      </c>
      <c r="I2428" s="111" t="s">
        <v>4839</v>
      </c>
      <c r="J2428" s="215">
        <v>1920</v>
      </c>
      <c r="N2428" s="37" t="s">
        <v>3507</v>
      </c>
      <c r="P2428" s="37" t="s">
        <v>3508</v>
      </c>
      <c r="S2428" s="10" t="s">
        <v>3412</v>
      </c>
      <c r="U2428" s="22">
        <v>1</v>
      </c>
      <c r="V2428" s="22">
        <v>1</v>
      </c>
      <c r="W2428" s="73">
        <f t="shared" si="128"/>
        <v>8</v>
      </c>
      <c r="X2428" s="80">
        <f t="shared" si="129"/>
        <v>5745</v>
      </c>
      <c r="Y2428" s="82" t="s">
        <v>3584</v>
      </c>
      <c r="AB2428" s="177">
        <v>43737</v>
      </c>
      <c r="AC2428" s="84" t="s">
        <v>2885</v>
      </c>
    </row>
    <row r="2429" spans="1:37" ht="15.45" customHeight="1" x14ac:dyDescent="0.25">
      <c r="A2429" s="29" t="s">
        <v>7214</v>
      </c>
      <c r="C2429" s="37" t="s">
        <v>2203</v>
      </c>
      <c r="E2429" s="37" t="s">
        <v>2831</v>
      </c>
      <c r="F2429" s="24" t="s">
        <v>2145</v>
      </c>
      <c r="H2429" s="38" t="s">
        <v>7212</v>
      </c>
      <c r="L2429" s="111" t="s">
        <v>5645</v>
      </c>
      <c r="N2429" s="37" t="s">
        <v>3505</v>
      </c>
      <c r="P2429" s="37" t="s">
        <v>3506</v>
      </c>
      <c r="S2429" s="10" t="s">
        <v>2983</v>
      </c>
      <c r="T2429" s="10" t="s">
        <v>3504</v>
      </c>
      <c r="U2429" s="22">
        <v>1</v>
      </c>
      <c r="V2429" s="22">
        <v>1</v>
      </c>
      <c r="W2429" s="73">
        <f t="shared" si="128"/>
        <v>9</v>
      </c>
      <c r="X2429" s="80">
        <f t="shared" si="129"/>
        <v>5746</v>
      </c>
      <c r="Y2429" s="82" t="s">
        <v>3584</v>
      </c>
      <c r="AB2429" s="177">
        <v>43737</v>
      </c>
      <c r="AC2429" s="84" t="s">
        <v>2885</v>
      </c>
      <c r="AI2429" s="10" t="s">
        <v>2478</v>
      </c>
      <c r="AK2429" s="10" t="s">
        <v>4196</v>
      </c>
    </row>
    <row r="2430" spans="1:37" ht="15.45" customHeight="1" x14ac:dyDescent="0.25">
      <c r="A2430" s="29" t="s">
        <v>2338</v>
      </c>
      <c r="C2430" s="37" t="s">
        <v>2203</v>
      </c>
      <c r="E2430" s="37" t="s">
        <v>2831</v>
      </c>
      <c r="F2430" s="24" t="s">
        <v>2145</v>
      </c>
      <c r="H2430" s="38" t="s">
        <v>7213</v>
      </c>
      <c r="S2430" s="10" t="s">
        <v>2983</v>
      </c>
      <c r="U2430" s="22">
        <v>1</v>
      </c>
      <c r="V2430" s="22">
        <v>1</v>
      </c>
      <c r="W2430" s="73">
        <f t="shared" si="128"/>
        <v>10</v>
      </c>
      <c r="X2430" s="80">
        <f t="shared" si="129"/>
        <v>5747</v>
      </c>
      <c r="Y2430" s="82" t="s">
        <v>3584</v>
      </c>
      <c r="AB2430" s="177">
        <v>43737</v>
      </c>
      <c r="AC2430" s="84" t="s">
        <v>2885</v>
      </c>
      <c r="AI2430" s="10" t="s">
        <v>2479</v>
      </c>
      <c r="AK2430" s="10" t="s">
        <v>4196</v>
      </c>
    </row>
    <row r="2431" spans="1:37" ht="15.45" customHeight="1" x14ac:dyDescent="0.25">
      <c r="A2431" s="29" t="s">
        <v>2970</v>
      </c>
      <c r="C2431" s="37" t="s">
        <v>2203</v>
      </c>
      <c r="E2431" s="37" t="s">
        <v>2831</v>
      </c>
      <c r="F2431" s="24" t="s">
        <v>2145</v>
      </c>
      <c r="S2431" s="10" t="s">
        <v>3412</v>
      </c>
      <c r="U2431" s="22">
        <v>2</v>
      </c>
      <c r="V2431" s="22">
        <v>2</v>
      </c>
      <c r="W2431" s="73">
        <f t="shared" si="128"/>
        <v>12</v>
      </c>
      <c r="X2431" s="80">
        <f t="shared" si="129"/>
        <v>5749</v>
      </c>
      <c r="Y2431" s="82" t="s">
        <v>4114</v>
      </c>
      <c r="AB2431" s="177">
        <v>43737</v>
      </c>
      <c r="AC2431" s="84" t="s">
        <v>2885</v>
      </c>
      <c r="AI2431" s="10" t="s">
        <v>2879</v>
      </c>
      <c r="AK2431" s="10" t="s">
        <v>4196</v>
      </c>
    </row>
    <row r="2432" spans="1:37" ht="15.45" customHeight="1" x14ac:dyDescent="0.25">
      <c r="A2432" s="29" t="s">
        <v>2480</v>
      </c>
      <c r="C2432" s="37" t="s">
        <v>2203</v>
      </c>
      <c r="E2432" s="37" t="s">
        <v>2831</v>
      </c>
      <c r="F2432" s="24" t="s">
        <v>2145</v>
      </c>
      <c r="H2432" s="38" t="s">
        <v>3496</v>
      </c>
      <c r="I2432" s="155" t="s">
        <v>4236</v>
      </c>
      <c r="J2432" s="214" t="s">
        <v>3497</v>
      </c>
      <c r="N2432" s="37" t="s">
        <v>3498</v>
      </c>
      <c r="P2432" s="37" t="s">
        <v>3499</v>
      </c>
      <c r="S2432" s="10" t="s">
        <v>2983</v>
      </c>
      <c r="T2432" s="10" t="s">
        <v>3495</v>
      </c>
      <c r="U2432" s="22">
        <v>1</v>
      </c>
      <c r="V2432" s="22">
        <v>2</v>
      </c>
      <c r="W2432" s="73">
        <f t="shared" si="128"/>
        <v>14</v>
      </c>
      <c r="X2432" s="80">
        <f t="shared" si="129"/>
        <v>5751</v>
      </c>
      <c r="Y2432" s="82" t="s">
        <v>3584</v>
      </c>
    </row>
    <row r="2433" spans="1:38" ht="15.45" customHeight="1" x14ac:dyDescent="0.25">
      <c r="A2433" s="29" t="s">
        <v>2480</v>
      </c>
      <c r="C2433" s="37" t="s">
        <v>2203</v>
      </c>
      <c r="E2433" s="37" t="s">
        <v>2831</v>
      </c>
      <c r="F2433" s="24" t="s">
        <v>2145</v>
      </c>
      <c r="H2433" s="38" t="s">
        <v>3493</v>
      </c>
      <c r="J2433" s="214" t="s">
        <v>3490</v>
      </c>
      <c r="N2433" s="37" t="s">
        <v>3488</v>
      </c>
      <c r="P2433" s="37" t="s">
        <v>3489</v>
      </c>
      <c r="S2433" s="10" t="s">
        <v>2983</v>
      </c>
      <c r="T2433" s="10" t="s">
        <v>3494</v>
      </c>
      <c r="U2433" s="22">
        <v>1</v>
      </c>
      <c r="V2433" s="22">
        <v>2</v>
      </c>
      <c r="W2433" s="73">
        <f t="shared" si="128"/>
        <v>16</v>
      </c>
      <c r="X2433" s="80">
        <f t="shared" si="129"/>
        <v>5753</v>
      </c>
      <c r="Y2433" s="82" t="s">
        <v>3584</v>
      </c>
    </row>
    <row r="2434" spans="1:38" ht="15.45" customHeight="1" x14ac:dyDescent="0.25">
      <c r="A2434" s="29" t="s">
        <v>3502</v>
      </c>
      <c r="C2434" s="37" t="s">
        <v>2203</v>
      </c>
      <c r="E2434" s="37" t="s">
        <v>2831</v>
      </c>
      <c r="F2434" s="24" t="s">
        <v>2145</v>
      </c>
      <c r="H2434" s="38" t="s">
        <v>3491</v>
      </c>
      <c r="J2434" s="215">
        <v>1850</v>
      </c>
      <c r="N2434" s="37" t="s">
        <v>3492</v>
      </c>
      <c r="P2434" s="37" t="s">
        <v>3489</v>
      </c>
      <c r="S2434" s="10" t="s">
        <v>2481</v>
      </c>
      <c r="U2434" s="22">
        <v>7</v>
      </c>
      <c r="V2434" s="22">
        <v>7</v>
      </c>
      <c r="W2434" s="73">
        <f t="shared" si="128"/>
        <v>23</v>
      </c>
      <c r="X2434" s="80">
        <f t="shared" si="129"/>
        <v>5760</v>
      </c>
      <c r="Y2434" s="82" t="s">
        <v>3584</v>
      </c>
    </row>
    <row r="2435" spans="1:38" ht="15.45" customHeight="1" x14ac:dyDescent="0.25">
      <c r="A2435" s="29" t="s">
        <v>3502</v>
      </c>
      <c r="C2435" s="37" t="s">
        <v>2203</v>
      </c>
      <c r="E2435" s="37" t="s">
        <v>2831</v>
      </c>
      <c r="F2435" s="24" t="s">
        <v>2145</v>
      </c>
      <c r="H2435" s="38" t="s">
        <v>3500</v>
      </c>
      <c r="N2435" s="37" t="s">
        <v>3501</v>
      </c>
      <c r="S2435" s="10" t="s">
        <v>2482</v>
      </c>
      <c r="U2435" s="22">
        <v>5</v>
      </c>
      <c r="V2435" s="22">
        <v>5</v>
      </c>
      <c r="W2435" s="73">
        <f t="shared" si="128"/>
        <v>28</v>
      </c>
      <c r="X2435" s="80">
        <f t="shared" si="129"/>
        <v>5765</v>
      </c>
      <c r="Y2435" s="82" t="s">
        <v>3584</v>
      </c>
    </row>
    <row r="2436" spans="1:38" ht="15.45" customHeight="1" x14ac:dyDescent="0.25">
      <c r="A2436" s="29" t="s">
        <v>4822</v>
      </c>
      <c r="B2436" s="24" t="s">
        <v>4848</v>
      </c>
      <c r="C2436" s="37" t="s">
        <v>2203</v>
      </c>
      <c r="E2436" s="37" t="s">
        <v>2831</v>
      </c>
      <c r="F2436" s="24" t="s">
        <v>2146</v>
      </c>
      <c r="H2436" s="38" t="s">
        <v>4824</v>
      </c>
      <c r="I2436" s="111" t="s">
        <v>4823</v>
      </c>
      <c r="J2436" s="214" t="s">
        <v>3032</v>
      </c>
      <c r="N2436" s="37" t="s">
        <v>3487</v>
      </c>
      <c r="P2436" s="37" t="s">
        <v>3486</v>
      </c>
      <c r="S2436" s="10" t="s">
        <v>3412</v>
      </c>
      <c r="U2436" s="22">
        <v>1</v>
      </c>
      <c r="V2436" s="22">
        <v>1</v>
      </c>
      <c r="W2436" s="73">
        <f t="shared" si="128"/>
        <v>29</v>
      </c>
      <c r="X2436" s="80">
        <f t="shared" si="129"/>
        <v>5766</v>
      </c>
      <c r="Y2436" s="82" t="s">
        <v>3584</v>
      </c>
      <c r="AB2436" s="177">
        <v>42082</v>
      </c>
      <c r="AC2436" s="84" t="s">
        <v>2885</v>
      </c>
    </row>
    <row r="2437" spans="1:38" ht="15.45" customHeight="1" x14ac:dyDescent="0.25">
      <c r="A2437" s="29" t="s">
        <v>4818</v>
      </c>
      <c r="B2437" s="24" t="s">
        <v>4819</v>
      </c>
      <c r="C2437" s="37" t="s">
        <v>2203</v>
      </c>
      <c r="E2437" s="37" t="s">
        <v>2927</v>
      </c>
      <c r="F2437" s="24" t="s">
        <v>2146</v>
      </c>
      <c r="H2437" s="38" t="s">
        <v>4866</v>
      </c>
      <c r="I2437" s="155" t="s">
        <v>4820</v>
      </c>
      <c r="J2437" s="215">
        <v>1963</v>
      </c>
      <c r="K2437" s="10" t="s">
        <v>4862</v>
      </c>
      <c r="N2437" s="37" t="s">
        <v>2181</v>
      </c>
      <c r="P2437" s="37" t="s">
        <v>1781</v>
      </c>
      <c r="Q2437" s="37" t="s">
        <v>3506</v>
      </c>
      <c r="S2437" s="10" t="s">
        <v>3436</v>
      </c>
      <c r="T2437" s="10" t="s">
        <v>4821</v>
      </c>
      <c r="U2437" s="22">
        <v>1</v>
      </c>
      <c r="V2437" s="22">
        <v>1</v>
      </c>
      <c r="W2437" s="73">
        <f t="shared" si="128"/>
        <v>30</v>
      </c>
      <c r="X2437" s="80">
        <f t="shared" si="129"/>
        <v>5767</v>
      </c>
      <c r="Y2437" s="82" t="s">
        <v>3588</v>
      </c>
      <c r="AB2437" s="177">
        <v>43613</v>
      </c>
      <c r="AC2437" s="84" t="s">
        <v>2885</v>
      </c>
      <c r="AE2437" s="78">
        <v>100</v>
      </c>
      <c r="AF2437" s="10" t="s">
        <v>3401</v>
      </c>
      <c r="AH2437" s="10" t="s">
        <v>4196</v>
      </c>
      <c r="AI2437" s="10" t="s">
        <v>2946</v>
      </c>
      <c r="AK2437" s="10" t="s">
        <v>4196</v>
      </c>
    </row>
    <row r="2438" spans="1:38" ht="15.45" customHeight="1" x14ac:dyDescent="0.25">
      <c r="A2438" s="29" t="s">
        <v>4825</v>
      </c>
      <c r="C2438" s="37" t="s">
        <v>2203</v>
      </c>
      <c r="E2438" s="37" t="s">
        <v>2927</v>
      </c>
      <c r="F2438" s="24" t="s">
        <v>2146</v>
      </c>
      <c r="H2438" s="38" t="s">
        <v>4826</v>
      </c>
      <c r="I2438" s="155"/>
      <c r="J2438" s="214" t="s">
        <v>4827</v>
      </c>
      <c r="K2438" s="10" t="s">
        <v>4828</v>
      </c>
      <c r="N2438" s="37" t="s">
        <v>4829</v>
      </c>
      <c r="S2438" s="10" t="s">
        <v>3412</v>
      </c>
      <c r="T2438" s="10" t="s">
        <v>4836</v>
      </c>
      <c r="U2438" s="22">
        <v>1</v>
      </c>
      <c r="V2438" s="22">
        <v>2</v>
      </c>
      <c r="W2438" s="73">
        <f t="shared" si="128"/>
        <v>32</v>
      </c>
      <c r="X2438" s="80">
        <f t="shared" si="129"/>
        <v>5769</v>
      </c>
      <c r="Y2438" s="82" t="s">
        <v>3584</v>
      </c>
      <c r="AB2438" s="177">
        <v>43613</v>
      </c>
      <c r="AC2438" s="84" t="s">
        <v>2885</v>
      </c>
      <c r="AI2438" s="10" t="s">
        <v>2949</v>
      </c>
      <c r="AJ2438" s="127">
        <v>43613</v>
      </c>
      <c r="AK2438" s="10" t="s">
        <v>4196</v>
      </c>
      <c r="AL2438" t="s">
        <v>4830</v>
      </c>
    </row>
    <row r="2439" spans="1:38" ht="15.45" customHeight="1" x14ac:dyDescent="0.25">
      <c r="A2439" s="29" t="s">
        <v>4831</v>
      </c>
      <c r="B2439" s="24" t="s">
        <v>4848</v>
      </c>
      <c r="C2439" s="37" t="s">
        <v>2203</v>
      </c>
      <c r="E2439" s="37" t="s">
        <v>2927</v>
      </c>
      <c r="F2439" s="24" t="s">
        <v>2146</v>
      </c>
      <c r="H2439" s="38" t="s">
        <v>4834</v>
      </c>
      <c r="I2439" s="155" t="s">
        <v>4833</v>
      </c>
      <c r="J2439" s="214" t="s">
        <v>4378</v>
      </c>
      <c r="S2439" s="10" t="s">
        <v>2983</v>
      </c>
      <c r="T2439" s="10" t="s">
        <v>4835</v>
      </c>
      <c r="U2439" s="22">
        <v>1</v>
      </c>
      <c r="V2439" s="22">
        <v>1</v>
      </c>
      <c r="W2439" s="73">
        <f t="shared" si="128"/>
        <v>33</v>
      </c>
      <c r="X2439" s="80">
        <f t="shared" si="129"/>
        <v>5770</v>
      </c>
      <c r="Y2439" s="82" t="s">
        <v>3584</v>
      </c>
      <c r="AB2439" s="177">
        <v>43613</v>
      </c>
      <c r="AC2439" s="84" t="s">
        <v>2885</v>
      </c>
      <c r="AJ2439" s="127"/>
    </row>
    <row r="2440" spans="1:38" ht="15.45" customHeight="1" x14ac:dyDescent="0.25">
      <c r="A2440" s="29" t="s">
        <v>5321</v>
      </c>
      <c r="C2440" s="37" t="s">
        <v>2203</v>
      </c>
      <c r="E2440" s="37" t="s">
        <v>2832</v>
      </c>
      <c r="F2440" s="24" t="s">
        <v>2093</v>
      </c>
      <c r="H2440" s="38" t="s">
        <v>2971</v>
      </c>
      <c r="J2440" s="214" t="s">
        <v>3503</v>
      </c>
      <c r="P2440" s="37" t="s">
        <v>4870</v>
      </c>
      <c r="S2440" s="10" t="s">
        <v>2433</v>
      </c>
      <c r="U2440" s="22">
        <v>1</v>
      </c>
      <c r="V2440" s="22">
        <v>1</v>
      </c>
      <c r="W2440" s="73">
        <f t="shared" si="128"/>
        <v>34</v>
      </c>
      <c r="X2440" s="80">
        <f t="shared" si="129"/>
        <v>5771</v>
      </c>
      <c r="Y2440" s="82" t="s">
        <v>3583</v>
      </c>
      <c r="AB2440" s="177">
        <v>43040</v>
      </c>
      <c r="AC2440" s="84" t="s">
        <v>2885</v>
      </c>
    </row>
    <row r="2441" spans="1:38" ht="15.45" customHeight="1" x14ac:dyDescent="0.25">
      <c r="A2441" s="29" t="s">
        <v>5016</v>
      </c>
      <c r="C2441" s="37" t="s">
        <v>2203</v>
      </c>
      <c r="E2441" s="37" t="s">
        <v>2831</v>
      </c>
      <c r="F2441" s="24" t="s">
        <v>2146</v>
      </c>
      <c r="H2441" s="38" t="s">
        <v>5322</v>
      </c>
      <c r="S2441" s="10" t="s">
        <v>2980</v>
      </c>
      <c r="U2441" s="22">
        <v>1</v>
      </c>
      <c r="V2441" s="22">
        <v>1</v>
      </c>
      <c r="W2441" s="73">
        <f t="shared" si="128"/>
        <v>35</v>
      </c>
      <c r="X2441" s="80">
        <f t="shared" si="129"/>
        <v>5772</v>
      </c>
      <c r="Y2441" s="82" t="s">
        <v>3583</v>
      </c>
      <c r="AB2441" s="177">
        <v>43040</v>
      </c>
      <c r="AC2441" s="84" t="s">
        <v>2885</v>
      </c>
      <c r="AI2441" s="10" t="s">
        <v>2483</v>
      </c>
    </row>
    <row r="2442" spans="1:38" ht="15.45" customHeight="1" x14ac:dyDescent="0.25">
      <c r="A2442" s="29" t="s">
        <v>5015</v>
      </c>
      <c r="C2442" s="37" t="s">
        <v>2203</v>
      </c>
      <c r="E2442" s="37" t="s">
        <v>2928</v>
      </c>
      <c r="F2442" s="24" t="s">
        <v>5017</v>
      </c>
      <c r="H2442" s="38" t="s">
        <v>5323</v>
      </c>
      <c r="S2442" s="10" t="s">
        <v>2980</v>
      </c>
      <c r="T2442" s="10" t="s">
        <v>5018</v>
      </c>
      <c r="U2442" s="22">
        <v>1</v>
      </c>
      <c r="V2442" s="22">
        <v>3</v>
      </c>
      <c r="W2442" s="73">
        <f t="shared" si="128"/>
        <v>38</v>
      </c>
      <c r="X2442" s="80">
        <f t="shared" si="129"/>
        <v>5775</v>
      </c>
      <c r="Y2442" s="82" t="s">
        <v>3583</v>
      </c>
      <c r="AB2442" s="177">
        <v>43737</v>
      </c>
      <c r="AC2442" s="84" t="s">
        <v>2885</v>
      </c>
    </row>
    <row r="2443" spans="1:38" ht="15.45" customHeight="1" x14ac:dyDescent="0.25">
      <c r="A2443" s="29" t="s">
        <v>4867</v>
      </c>
      <c r="C2443" s="37" t="s">
        <v>2203</v>
      </c>
      <c r="E2443" s="37" t="s">
        <v>2831</v>
      </c>
      <c r="F2443" s="24" t="s">
        <v>2146</v>
      </c>
      <c r="J2443" s="215">
        <v>1921</v>
      </c>
      <c r="P2443" s="37" t="s">
        <v>4870</v>
      </c>
      <c r="S2443" s="10" t="s">
        <v>3412</v>
      </c>
      <c r="U2443" s="22">
        <v>1</v>
      </c>
      <c r="V2443" s="22">
        <v>1</v>
      </c>
      <c r="W2443" s="73">
        <f t="shared" si="128"/>
        <v>39</v>
      </c>
      <c r="X2443" s="80">
        <f t="shared" si="129"/>
        <v>5776</v>
      </c>
      <c r="Y2443" s="82" t="s">
        <v>3583</v>
      </c>
      <c r="AB2443" s="177">
        <v>43040</v>
      </c>
      <c r="AC2443" s="84" t="s">
        <v>2885</v>
      </c>
    </row>
    <row r="2444" spans="1:38" ht="15.45" customHeight="1" x14ac:dyDescent="0.25">
      <c r="A2444" s="29" t="s">
        <v>4868</v>
      </c>
      <c r="C2444" s="37" t="s">
        <v>2203</v>
      </c>
      <c r="E2444" s="37" t="s">
        <v>2831</v>
      </c>
      <c r="F2444" s="24" t="s">
        <v>2146</v>
      </c>
      <c r="S2444" s="10" t="s">
        <v>2981</v>
      </c>
      <c r="T2444" s="10" t="s">
        <v>4869</v>
      </c>
      <c r="U2444" s="22">
        <v>1</v>
      </c>
      <c r="V2444" s="22">
        <v>1</v>
      </c>
      <c r="W2444" s="73">
        <f t="shared" si="128"/>
        <v>40</v>
      </c>
      <c r="X2444" s="80">
        <f t="shared" si="129"/>
        <v>5777</v>
      </c>
      <c r="Y2444" s="82" t="s">
        <v>3583</v>
      </c>
      <c r="AB2444" s="177">
        <v>43040</v>
      </c>
      <c r="AC2444" s="84" t="s">
        <v>2885</v>
      </c>
    </row>
    <row r="2445" spans="1:38" ht="15.45" customHeight="1" x14ac:dyDescent="0.25">
      <c r="A2445" s="80" t="s">
        <v>5325</v>
      </c>
      <c r="C2445" s="37" t="s">
        <v>2203</v>
      </c>
      <c r="H2445" s="38" t="s">
        <v>7309</v>
      </c>
      <c r="S2445" s="10" t="s">
        <v>3436</v>
      </c>
      <c r="U2445" s="22">
        <v>10</v>
      </c>
      <c r="V2445" s="22">
        <v>20</v>
      </c>
      <c r="W2445" s="73">
        <f t="shared" si="128"/>
        <v>60</v>
      </c>
      <c r="X2445" s="80">
        <f t="shared" si="129"/>
        <v>5797</v>
      </c>
      <c r="Y2445" s="82" t="s">
        <v>3583</v>
      </c>
      <c r="AB2445" s="177">
        <v>43040</v>
      </c>
      <c r="AC2445" s="84" t="s">
        <v>2885</v>
      </c>
    </row>
    <row r="2446" spans="1:38" ht="15.45" customHeight="1" x14ac:dyDescent="0.25">
      <c r="A2446" s="29" t="s">
        <v>5324</v>
      </c>
      <c r="C2446" s="37" t="s">
        <v>2203</v>
      </c>
      <c r="S2446" s="10" t="s">
        <v>3436</v>
      </c>
      <c r="U2446" s="22">
        <v>1</v>
      </c>
      <c r="V2446" s="22">
        <v>1</v>
      </c>
      <c r="W2446" s="73">
        <f t="shared" si="128"/>
        <v>61</v>
      </c>
      <c r="X2446" s="80">
        <f t="shared" si="129"/>
        <v>5798</v>
      </c>
      <c r="Y2446" s="82" t="s">
        <v>3583</v>
      </c>
      <c r="AB2446" s="177">
        <v>43040</v>
      </c>
      <c r="AC2446" s="84" t="s">
        <v>2885</v>
      </c>
    </row>
    <row r="2447" spans="1:38" s="51" customFormat="1" ht="15.45" customHeight="1" x14ac:dyDescent="0.25">
      <c r="A2447" s="45" t="s">
        <v>2205</v>
      </c>
      <c r="B2447" s="50"/>
      <c r="C2447" s="49"/>
      <c r="D2447" s="49"/>
      <c r="E2447" s="49"/>
      <c r="F2447" s="50"/>
      <c r="G2447" s="50"/>
      <c r="H2447" s="46"/>
      <c r="I2447" s="109"/>
      <c r="J2447" s="212"/>
      <c r="K2447" s="56"/>
      <c r="L2447" s="100"/>
      <c r="M2447" s="100"/>
      <c r="N2447" s="49"/>
      <c r="O2447" s="49"/>
      <c r="P2447" s="49"/>
      <c r="Q2447" s="49"/>
      <c r="R2447" s="49"/>
      <c r="S2447" s="47"/>
      <c r="T2447" s="47"/>
      <c r="U2447" s="48"/>
      <c r="V2447" s="48"/>
      <c r="W2447" s="74"/>
      <c r="X2447" s="81"/>
      <c r="Y2447" s="132"/>
      <c r="Z2447" s="50"/>
      <c r="AA2447" s="173"/>
      <c r="AB2447" s="173"/>
      <c r="AC2447" s="137"/>
      <c r="AD2447" s="137"/>
      <c r="AE2447" s="83"/>
      <c r="AF2447" s="47"/>
      <c r="AG2447" s="47"/>
      <c r="AH2447" s="47"/>
      <c r="AI2447" s="47"/>
      <c r="AJ2447" s="47"/>
      <c r="AK2447" s="47"/>
    </row>
    <row r="2448" spans="1:38" ht="15.45" customHeight="1" x14ac:dyDescent="0.25">
      <c r="A2448" s="29" t="s">
        <v>3569</v>
      </c>
      <c r="B2448" s="24" t="s">
        <v>3570</v>
      </c>
      <c r="C2448" s="37" t="s">
        <v>2206</v>
      </c>
      <c r="E2448" s="37" t="s">
        <v>2831</v>
      </c>
      <c r="F2448" s="24" t="s">
        <v>2146</v>
      </c>
      <c r="H2448" s="38" t="s">
        <v>3716</v>
      </c>
      <c r="J2448" s="215" t="s">
        <v>3690</v>
      </c>
      <c r="K2448" s="10" t="s">
        <v>3685</v>
      </c>
      <c r="N2448" s="37" t="s">
        <v>6512</v>
      </c>
      <c r="P2448" s="37" t="s">
        <v>1781</v>
      </c>
      <c r="Q2448" s="37" t="s">
        <v>3506</v>
      </c>
      <c r="S2448" s="10" t="s">
        <v>2390</v>
      </c>
      <c r="U2448" s="22">
        <v>1</v>
      </c>
      <c r="V2448" s="22">
        <v>1</v>
      </c>
      <c r="W2448" s="73">
        <f t="shared" ref="W2448:W2464" si="130">W2447+V2448</f>
        <v>1</v>
      </c>
      <c r="X2448" s="80">
        <f>V2448+X2446</f>
        <v>5799</v>
      </c>
      <c r="Y2448" s="82" t="s">
        <v>3588</v>
      </c>
    </row>
    <row r="2449" spans="1:29" ht="15.45" customHeight="1" x14ac:dyDescent="0.25">
      <c r="A2449" s="29" t="s">
        <v>3714</v>
      </c>
      <c r="C2449" s="37" t="s">
        <v>2206</v>
      </c>
      <c r="E2449" s="37" t="s">
        <v>2831</v>
      </c>
      <c r="F2449" s="24" t="s">
        <v>2146</v>
      </c>
      <c r="H2449" s="38" t="s">
        <v>6511</v>
      </c>
      <c r="J2449" s="215" t="s">
        <v>3690</v>
      </c>
      <c r="K2449" s="10" t="s">
        <v>3685</v>
      </c>
      <c r="N2449" s="37" t="s">
        <v>3571</v>
      </c>
      <c r="P2449" s="37" t="s">
        <v>1781</v>
      </c>
      <c r="Q2449" s="37" t="s">
        <v>3506</v>
      </c>
      <c r="S2449" s="10" t="s">
        <v>2983</v>
      </c>
      <c r="U2449" s="22">
        <v>1</v>
      </c>
      <c r="V2449" s="22">
        <v>1</v>
      </c>
      <c r="W2449" s="73">
        <f t="shared" si="130"/>
        <v>2</v>
      </c>
      <c r="X2449" s="80">
        <f t="shared" ref="X2449:X2464" si="131">V2449+X2448</f>
        <v>5800</v>
      </c>
      <c r="Y2449" s="82" t="s">
        <v>3588</v>
      </c>
    </row>
    <row r="2450" spans="1:29" ht="15.45" customHeight="1" x14ac:dyDescent="0.25">
      <c r="A2450" s="29" t="s">
        <v>4841</v>
      </c>
      <c r="C2450" s="37" t="s">
        <v>4847</v>
      </c>
      <c r="E2450" s="37" t="s">
        <v>2831</v>
      </c>
      <c r="F2450" s="24" t="s">
        <v>2146</v>
      </c>
      <c r="H2450" s="38" t="s">
        <v>6511</v>
      </c>
      <c r="J2450" s="215" t="s">
        <v>3690</v>
      </c>
      <c r="K2450" s="10" t="s">
        <v>3717</v>
      </c>
      <c r="N2450" s="37" t="s">
        <v>3571</v>
      </c>
      <c r="P2450" s="37" t="s">
        <v>1781</v>
      </c>
      <c r="Q2450" s="37" t="s">
        <v>3506</v>
      </c>
      <c r="S2450" s="10" t="s">
        <v>3412</v>
      </c>
      <c r="U2450" s="22">
        <v>1</v>
      </c>
      <c r="V2450" s="22">
        <v>1</v>
      </c>
      <c r="W2450" s="73">
        <f t="shared" si="130"/>
        <v>3</v>
      </c>
      <c r="X2450" s="80">
        <f t="shared" si="131"/>
        <v>5801</v>
      </c>
      <c r="Y2450" s="82" t="s">
        <v>3588</v>
      </c>
      <c r="AB2450" s="177">
        <v>43613</v>
      </c>
      <c r="AC2450" s="84" t="s">
        <v>2885</v>
      </c>
    </row>
    <row r="2451" spans="1:29" ht="15.45" customHeight="1" x14ac:dyDescent="0.25">
      <c r="A2451" s="29" t="s">
        <v>5587</v>
      </c>
      <c r="C2451" s="37" t="s">
        <v>2206</v>
      </c>
      <c r="E2451" s="37" t="s">
        <v>2928</v>
      </c>
      <c r="F2451" s="24" t="s">
        <v>2108</v>
      </c>
      <c r="H2451" s="38" t="s">
        <v>4111</v>
      </c>
      <c r="J2451" s="215" t="s">
        <v>3690</v>
      </c>
      <c r="K2451" s="10" t="s">
        <v>3685</v>
      </c>
      <c r="N2451" s="37" t="s">
        <v>3484</v>
      </c>
      <c r="P2451" s="37" t="s">
        <v>1482</v>
      </c>
      <c r="Q2451" s="37" t="s">
        <v>1998</v>
      </c>
      <c r="S2451" s="10" t="s">
        <v>2980</v>
      </c>
      <c r="T2451" s="10" t="s">
        <v>2773</v>
      </c>
      <c r="U2451" s="22">
        <v>1</v>
      </c>
      <c r="V2451" s="22">
        <v>2</v>
      </c>
      <c r="W2451" s="73">
        <f t="shared" si="130"/>
        <v>5</v>
      </c>
      <c r="X2451" s="80">
        <f t="shared" si="131"/>
        <v>5803</v>
      </c>
      <c r="Y2451" s="82" t="s">
        <v>3588</v>
      </c>
    </row>
    <row r="2452" spans="1:29" ht="15.45" customHeight="1" x14ac:dyDescent="0.25">
      <c r="A2452" s="29" t="s">
        <v>3644</v>
      </c>
      <c r="C2452" s="37" t="s">
        <v>2206</v>
      </c>
      <c r="E2452" s="37" t="s">
        <v>2831</v>
      </c>
      <c r="F2452" s="24" t="s">
        <v>2146</v>
      </c>
      <c r="H2452" s="38" t="s">
        <v>3036</v>
      </c>
      <c r="J2452" s="215">
        <v>1920</v>
      </c>
      <c r="N2452" s="37" t="s">
        <v>3572</v>
      </c>
      <c r="P2452" s="37" t="s">
        <v>3573</v>
      </c>
      <c r="Q2452" s="37" t="s">
        <v>3506</v>
      </c>
      <c r="S2452" s="10" t="s">
        <v>2983</v>
      </c>
      <c r="U2452" s="22">
        <v>1</v>
      </c>
      <c r="V2452" s="22">
        <v>1</v>
      </c>
      <c r="W2452" s="73">
        <f t="shared" si="130"/>
        <v>6</v>
      </c>
      <c r="X2452" s="80">
        <f t="shared" si="131"/>
        <v>5804</v>
      </c>
      <c r="Y2452" s="82" t="s">
        <v>3612</v>
      </c>
    </row>
    <row r="2453" spans="1:29" ht="15.45" customHeight="1" x14ac:dyDescent="0.25">
      <c r="A2453" s="29" t="s">
        <v>3643</v>
      </c>
      <c r="C2453" s="37" t="s">
        <v>2206</v>
      </c>
      <c r="E2453" s="37" t="s">
        <v>2831</v>
      </c>
      <c r="F2453" s="24" t="s">
        <v>2146</v>
      </c>
      <c r="H2453" s="38" t="s">
        <v>3715</v>
      </c>
      <c r="J2453" s="215" t="s">
        <v>3690</v>
      </c>
      <c r="K2453" s="10" t="s">
        <v>3685</v>
      </c>
      <c r="N2453" s="37" t="s">
        <v>3574</v>
      </c>
      <c r="P2453" s="37" t="s">
        <v>1781</v>
      </c>
      <c r="Q2453" s="37" t="s">
        <v>3506</v>
      </c>
      <c r="S2453" s="10" t="s">
        <v>2980</v>
      </c>
      <c r="T2453" s="10" t="s">
        <v>2771</v>
      </c>
      <c r="U2453" s="22">
        <v>1</v>
      </c>
      <c r="V2453" s="22">
        <v>1</v>
      </c>
      <c r="W2453" s="73">
        <f t="shared" si="130"/>
        <v>7</v>
      </c>
      <c r="X2453" s="80">
        <f t="shared" si="131"/>
        <v>5805</v>
      </c>
      <c r="Y2453" s="82" t="s">
        <v>3588</v>
      </c>
    </row>
    <row r="2454" spans="1:29" ht="15.45" customHeight="1" x14ac:dyDescent="0.25">
      <c r="A2454" s="29" t="s">
        <v>4842</v>
      </c>
      <c r="C2454" s="37" t="s">
        <v>4847</v>
      </c>
      <c r="E2454" s="37" t="s">
        <v>2831</v>
      </c>
      <c r="F2454" s="24" t="s">
        <v>2146</v>
      </c>
      <c r="J2454" s="215" t="s">
        <v>3690</v>
      </c>
      <c r="K2454" s="10" t="s">
        <v>3685</v>
      </c>
      <c r="N2454" s="37" t="s">
        <v>3574</v>
      </c>
      <c r="P2454" s="37" t="s">
        <v>1781</v>
      </c>
      <c r="Q2454" s="37" t="s">
        <v>3506</v>
      </c>
      <c r="S2454" s="10" t="s">
        <v>3412</v>
      </c>
      <c r="U2454" s="22">
        <v>1</v>
      </c>
      <c r="V2454" s="22">
        <v>1</v>
      </c>
      <c r="W2454" s="73">
        <f t="shared" si="130"/>
        <v>8</v>
      </c>
      <c r="X2454" s="80">
        <f t="shared" si="131"/>
        <v>5806</v>
      </c>
      <c r="Y2454" s="82" t="s">
        <v>3588</v>
      </c>
      <c r="AB2454" s="177">
        <v>43613</v>
      </c>
      <c r="AC2454" s="84" t="s">
        <v>2885</v>
      </c>
    </row>
    <row r="2455" spans="1:29" ht="15.45" customHeight="1" x14ac:dyDescent="0.25">
      <c r="A2455" s="29" t="s">
        <v>3642</v>
      </c>
      <c r="C2455" s="37" t="s">
        <v>2206</v>
      </c>
      <c r="E2455" s="37" t="s">
        <v>2831</v>
      </c>
      <c r="F2455" s="24" t="s">
        <v>2146</v>
      </c>
      <c r="J2455" s="215">
        <v>1870</v>
      </c>
      <c r="N2455" s="37" t="s">
        <v>3575</v>
      </c>
      <c r="P2455" s="37" t="s">
        <v>3576</v>
      </c>
      <c r="Q2455" s="37" t="s">
        <v>4068</v>
      </c>
      <c r="S2455" s="10" t="s">
        <v>2983</v>
      </c>
      <c r="U2455" s="22">
        <v>1</v>
      </c>
      <c r="V2455" s="22">
        <v>1</v>
      </c>
      <c r="W2455" s="73">
        <f t="shared" si="130"/>
        <v>9</v>
      </c>
      <c r="X2455" s="80">
        <f t="shared" si="131"/>
        <v>5807</v>
      </c>
      <c r="Y2455" s="82" t="s">
        <v>3612</v>
      </c>
    </row>
    <row r="2456" spans="1:29" ht="15.45" customHeight="1" x14ac:dyDescent="0.25">
      <c r="A2456" s="29" t="s">
        <v>4840</v>
      </c>
      <c r="C2456" s="37" t="s">
        <v>4847</v>
      </c>
      <c r="E2456" s="37" t="s">
        <v>2831</v>
      </c>
      <c r="F2456" s="24" t="s">
        <v>4832</v>
      </c>
      <c r="J2456" s="215">
        <v>1870</v>
      </c>
      <c r="N2456" s="37" t="s">
        <v>3575</v>
      </c>
      <c r="P2456" s="37" t="s">
        <v>3576</v>
      </c>
      <c r="Q2456" s="37" t="s">
        <v>4068</v>
      </c>
      <c r="S2456" s="10" t="s">
        <v>3412</v>
      </c>
      <c r="U2456" s="22">
        <v>1</v>
      </c>
      <c r="V2456" s="22">
        <v>1</v>
      </c>
      <c r="W2456" s="73">
        <f t="shared" si="130"/>
        <v>10</v>
      </c>
      <c r="X2456" s="80">
        <f t="shared" si="131"/>
        <v>5808</v>
      </c>
      <c r="Y2456" s="82" t="s">
        <v>3612</v>
      </c>
      <c r="AB2456" s="177">
        <v>43613</v>
      </c>
      <c r="AC2456" s="84" t="s">
        <v>2885</v>
      </c>
    </row>
    <row r="2457" spans="1:29" ht="15.45" customHeight="1" x14ac:dyDescent="0.25">
      <c r="A2457" s="29" t="s">
        <v>3641</v>
      </c>
      <c r="C2457" s="37" t="s">
        <v>2206</v>
      </c>
      <c r="E2457" s="37" t="s">
        <v>2831</v>
      </c>
      <c r="F2457" s="24" t="s">
        <v>2146</v>
      </c>
      <c r="J2457" s="215">
        <v>1865</v>
      </c>
      <c r="N2457" s="37" t="s">
        <v>3034</v>
      </c>
      <c r="S2457" s="10" t="s">
        <v>2983</v>
      </c>
      <c r="U2457" s="22">
        <v>1</v>
      </c>
      <c r="V2457" s="22">
        <v>1</v>
      </c>
      <c r="W2457" s="73">
        <f t="shared" si="130"/>
        <v>11</v>
      </c>
      <c r="X2457" s="80">
        <f t="shared" si="131"/>
        <v>5809</v>
      </c>
      <c r="Y2457" s="82" t="s">
        <v>3612</v>
      </c>
    </row>
    <row r="2458" spans="1:29" ht="15.45" customHeight="1" x14ac:dyDescent="0.25">
      <c r="A2458" s="29" t="s">
        <v>4840</v>
      </c>
      <c r="C2458" s="37" t="s">
        <v>4847</v>
      </c>
      <c r="E2458" s="37" t="s">
        <v>2927</v>
      </c>
      <c r="F2458" s="24" t="s">
        <v>2146</v>
      </c>
      <c r="J2458" s="215">
        <v>1865</v>
      </c>
      <c r="N2458" s="37" t="s">
        <v>3034</v>
      </c>
      <c r="S2458" s="10" t="s">
        <v>3412</v>
      </c>
      <c r="U2458" s="22">
        <v>1</v>
      </c>
      <c r="V2458" s="22">
        <v>1</v>
      </c>
      <c r="W2458" s="73">
        <f t="shared" si="130"/>
        <v>12</v>
      </c>
      <c r="X2458" s="80">
        <f t="shared" si="131"/>
        <v>5810</v>
      </c>
      <c r="Y2458" s="82" t="s">
        <v>3612</v>
      </c>
      <c r="AB2458" s="177">
        <v>43613</v>
      </c>
      <c r="AC2458" s="84" t="s">
        <v>2885</v>
      </c>
    </row>
    <row r="2459" spans="1:29" ht="15.45" customHeight="1" x14ac:dyDescent="0.25">
      <c r="A2459" s="29" t="s">
        <v>3713</v>
      </c>
      <c r="C2459" s="37" t="s">
        <v>2206</v>
      </c>
      <c r="E2459" s="37" t="s">
        <v>2831</v>
      </c>
      <c r="F2459" s="24" t="s">
        <v>2146</v>
      </c>
      <c r="J2459" s="215" t="s">
        <v>3690</v>
      </c>
      <c r="K2459" s="10" t="s">
        <v>3685</v>
      </c>
      <c r="N2459" s="37" t="s">
        <v>3483</v>
      </c>
      <c r="P2459" s="37" t="s">
        <v>4214</v>
      </c>
      <c r="Q2459" s="37" t="s">
        <v>1998</v>
      </c>
      <c r="S2459" s="10" t="s">
        <v>2983</v>
      </c>
      <c r="U2459" s="22">
        <v>1</v>
      </c>
      <c r="V2459" s="22">
        <v>1</v>
      </c>
      <c r="W2459" s="73">
        <f t="shared" si="130"/>
        <v>13</v>
      </c>
      <c r="X2459" s="80">
        <f t="shared" si="131"/>
        <v>5811</v>
      </c>
      <c r="Y2459" s="82" t="s">
        <v>3588</v>
      </c>
    </row>
    <row r="2460" spans="1:29" ht="15.45" customHeight="1" x14ac:dyDescent="0.25">
      <c r="A2460" s="29" t="s">
        <v>4843</v>
      </c>
      <c r="C2460" s="37" t="s">
        <v>2206</v>
      </c>
      <c r="E2460" s="37" t="s">
        <v>2831</v>
      </c>
      <c r="F2460" s="24" t="s">
        <v>2146</v>
      </c>
      <c r="J2460" s="215" t="s">
        <v>3690</v>
      </c>
      <c r="K2460" s="10" t="s">
        <v>3717</v>
      </c>
      <c r="N2460" s="37" t="s">
        <v>3483</v>
      </c>
      <c r="P2460" s="37" t="s">
        <v>4214</v>
      </c>
      <c r="Q2460" s="37" t="s">
        <v>1998</v>
      </c>
      <c r="S2460" s="10" t="s">
        <v>3412</v>
      </c>
      <c r="U2460" s="22">
        <v>1</v>
      </c>
      <c r="V2460" s="22">
        <v>1</v>
      </c>
      <c r="W2460" s="73">
        <f t="shared" si="130"/>
        <v>14</v>
      </c>
      <c r="X2460" s="80">
        <f t="shared" si="131"/>
        <v>5812</v>
      </c>
      <c r="Y2460" s="82" t="s">
        <v>3588</v>
      </c>
      <c r="AB2460" s="177">
        <v>43613</v>
      </c>
      <c r="AC2460" s="84" t="s">
        <v>2885</v>
      </c>
    </row>
    <row r="2461" spans="1:29" ht="15.45" customHeight="1" x14ac:dyDescent="0.25">
      <c r="A2461" s="29" t="s">
        <v>3640</v>
      </c>
      <c r="C2461" s="37" t="s">
        <v>2206</v>
      </c>
      <c r="E2461" s="37" t="s">
        <v>2831</v>
      </c>
      <c r="F2461" s="24" t="s">
        <v>2146</v>
      </c>
      <c r="J2461" s="215">
        <v>1870</v>
      </c>
      <c r="N2461" s="37" t="s">
        <v>3483</v>
      </c>
      <c r="P2461" s="37" t="s">
        <v>4214</v>
      </c>
      <c r="Q2461" s="37" t="s">
        <v>1998</v>
      </c>
      <c r="S2461" s="10" t="s">
        <v>2433</v>
      </c>
      <c r="U2461" s="22">
        <v>1</v>
      </c>
      <c r="V2461" s="22">
        <v>1</v>
      </c>
      <c r="W2461" s="73">
        <f t="shared" si="130"/>
        <v>15</v>
      </c>
      <c r="X2461" s="80">
        <f t="shared" si="131"/>
        <v>5813</v>
      </c>
      <c r="Y2461" s="82" t="s">
        <v>3612</v>
      </c>
    </row>
    <row r="2462" spans="1:29" ht="15.45" customHeight="1" x14ac:dyDescent="0.25">
      <c r="A2462" s="29" t="s">
        <v>3639</v>
      </c>
      <c r="C2462" s="37" t="s">
        <v>2206</v>
      </c>
      <c r="E2462" s="37" t="s">
        <v>2831</v>
      </c>
      <c r="F2462" s="24" t="s">
        <v>2146</v>
      </c>
      <c r="J2462" s="215">
        <v>1865</v>
      </c>
      <c r="N2462" s="37" t="s">
        <v>3033</v>
      </c>
      <c r="S2462" s="10" t="s">
        <v>2433</v>
      </c>
      <c r="U2462" s="22">
        <v>1</v>
      </c>
      <c r="V2462" s="22">
        <v>1</v>
      </c>
      <c r="W2462" s="73">
        <f t="shared" si="130"/>
        <v>16</v>
      </c>
      <c r="X2462" s="80">
        <f t="shared" si="131"/>
        <v>5814</v>
      </c>
      <c r="Y2462" s="82" t="s">
        <v>3612</v>
      </c>
    </row>
    <row r="2463" spans="1:29" ht="15.45" customHeight="1" x14ac:dyDescent="0.25">
      <c r="A2463" s="29" t="s">
        <v>6509</v>
      </c>
      <c r="C2463" s="37" t="s">
        <v>2206</v>
      </c>
      <c r="E2463" s="37" t="s">
        <v>2831</v>
      </c>
      <c r="F2463" s="24" t="s">
        <v>4401</v>
      </c>
      <c r="H2463" s="38" t="s">
        <v>6510</v>
      </c>
      <c r="J2463" s="215" t="s">
        <v>6242</v>
      </c>
      <c r="N2463" s="37" t="s">
        <v>2181</v>
      </c>
      <c r="P2463" s="37" t="s">
        <v>1781</v>
      </c>
      <c r="Q2463" s="37" t="s">
        <v>3506</v>
      </c>
      <c r="S2463" s="10" t="s">
        <v>2983</v>
      </c>
      <c r="T2463" s="10" t="s">
        <v>6513</v>
      </c>
      <c r="U2463" s="22">
        <v>1</v>
      </c>
      <c r="V2463" s="22">
        <v>2</v>
      </c>
      <c r="W2463" s="73">
        <f t="shared" si="130"/>
        <v>18</v>
      </c>
      <c r="X2463" s="80">
        <f t="shared" si="131"/>
        <v>5816</v>
      </c>
      <c r="Y2463" s="82" t="s">
        <v>3584</v>
      </c>
      <c r="AB2463" s="177">
        <v>44630</v>
      </c>
      <c r="AC2463" s="84" t="s">
        <v>5308</v>
      </c>
    </row>
    <row r="2464" spans="1:29" ht="15.45" customHeight="1" x14ac:dyDescent="0.25">
      <c r="A2464" s="29" t="s">
        <v>6514</v>
      </c>
      <c r="C2464" s="37" t="s">
        <v>2206</v>
      </c>
      <c r="E2464" s="37" t="s">
        <v>2831</v>
      </c>
      <c r="F2464" s="24" t="s">
        <v>4401</v>
      </c>
      <c r="H2464" s="38" t="s">
        <v>6515</v>
      </c>
      <c r="J2464" s="215" t="s">
        <v>6242</v>
      </c>
      <c r="N2464" s="37" t="s">
        <v>2181</v>
      </c>
      <c r="P2464" s="37" t="s">
        <v>1781</v>
      </c>
      <c r="Q2464" s="37" t="s">
        <v>3506</v>
      </c>
      <c r="S2464" s="10" t="s">
        <v>3412</v>
      </c>
      <c r="U2464" s="22">
        <v>1</v>
      </c>
      <c r="V2464" s="22">
        <v>2</v>
      </c>
      <c r="W2464" s="73">
        <f t="shared" si="130"/>
        <v>20</v>
      </c>
      <c r="X2464" s="80">
        <f t="shared" si="131"/>
        <v>5818</v>
      </c>
      <c r="Y2464" s="82" t="s">
        <v>3584</v>
      </c>
      <c r="AB2464" s="177">
        <v>44630</v>
      </c>
      <c r="AC2464" s="84" t="s">
        <v>5308</v>
      </c>
    </row>
    <row r="2465" spans="1:37" s="51" customFormat="1" ht="15.45" customHeight="1" x14ac:dyDescent="0.25">
      <c r="A2465" s="45" t="s">
        <v>2363</v>
      </c>
      <c r="B2465" s="50"/>
      <c r="C2465" s="49"/>
      <c r="D2465" s="49"/>
      <c r="E2465" s="49"/>
      <c r="F2465" s="50"/>
      <c r="G2465" s="50"/>
      <c r="H2465" s="46" t="s">
        <v>4051</v>
      </c>
      <c r="I2465" s="109"/>
      <c r="J2465" s="212"/>
      <c r="K2465" s="56"/>
      <c r="L2465" s="100"/>
      <c r="M2465" s="100"/>
      <c r="N2465" s="49"/>
      <c r="O2465" s="49"/>
      <c r="P2465" s="49"/>
      <c r="Q2465" s="49"/>
      <c r="R2465" s="49"/>
      <c r="S2465" s="47"/>
      <c r="T2465" s="47"/>
      <c r="U2465" s="53"/>
      <c r="V2465" s="53"/>
      <c r="W2465" s="74"/>
      <c r="X2465" s="81"/>
      <c r="Y2465" s="132"/>
      <c r="Z2465" s="50"/>
      <c r="AA2465" s="173"/>
      <c r="AB2465" s="173"/>
      <c r="AC2465" s="137"/>
      <c r="AD2465" s="137"/>
      <c r="AE2465" s="83"/>
      <c r="AF2465" s="47"/>
      <c r="AG2465" s="47"/>
      <c r="AH2465" s="47"/>
      <c r="AI2465" s="47"/>
      <c r="AJ2465" s="47"/>
      <c r="AK2465" s="47"/>
    </row>
    <row r="2466" spans="1:37" ht="15.45" customHeight="1" x14ac:dyDescent="0.25">
      <c r="A2466" s="29" t="s">
        <v>3017</v>
      </c>
      <c r="C2466" s="37" t="s">
        <v>3541</v>
      </c>
      <c r="E2466" s="37" t="s">
        <v>2831</v>
      </c>
      <c r="F2466" s="24" t="s">
        <v>2146</v>
      </c>
      <c r="J2466" s="215">
        <v>1850</v>
      </c>
      <c r="N2466" s="37" t="s">
        <v>3018</v>
      </c>
      <c r="S2466" s="10" t="s">
        <v>2384</v>
      </c>
      <c r="U2466" s="21">
        <v>1</v>
      </c>
      <c r="V2466" s="21">
        <v>1</v>
      </c>
      <c r="W2466" s="73">
        <f>W2465+V2466</f>
        <v>1</v>
      </c>
      <c r="X2466" s="80">
        <f>V2466+X2464</f>
        <v>5819</v>
      </c>
      <c r="Y2466" s="82" t="s">
        <v>3587</v>
      </c>
    </row>
    <row r="2467" spans="1:37" ht="15.45" customHeight="1" x14ac:dyDescent="0.25">
      <c r="A2467" s="29" t="s">
        <v>3019</v>
      </c>
      <c r="C2467" s="37" t="s">
        <v>3541</v>
      </c>
      <c r="E2467" s="37" t="s">
        <v>2831</v>
      </c>
      <c r="F2467" s="24" t="s">
        <v>2146</v>
      </c>
      <c r="H2467" s="38" t="s">
        <v>2772</v>
      </c>
      <c r="N2467" s="37" t="s">
        <v>3018</v>
      </c>
      <c r="S2467" s="10" t="s">
        <v>2384</v>
      </c>
      <c r="U2467" s="21">
        <v>1</v>
      </c>
      <c r="V2467" s="21">
        <v>1</v>
      </c>
      <c r="W2467" s="73">
        <f>W2466+V2467</f>
        <v>2</v>
      </c>
      <c r="X2467" s="80">
        <f>V2467+X2466</f>
        <v>5820</v>
      </c>
      <c r="Y2467" s="82" t="s">
        <v>3587</v>
      </c>
    </row>
    <row r="2468" spans="1:37" ht="15.45" customHeight="1" x14ac:dyDescent="0.25">
      <c r="A2468" s="29" t="s">
        <v>4726</v>
      </c>
      <c r="C2468" s="37" t="s">
        <v>3541</v>
      </c>
      <c r="E2468" s="37" t="s">
        <v>2831</v>
      </c>
      <c r="F2468" s="24" t="s">
        <v>2146</v>
      </c>
      <c r="H2468" s="38" t="s">
        <v>3035</v>
      </c>
      <c r="J2468" s="214" t="s">
        <v>3538</v>
      </c>
      <c r="N2468" s="37" t="s">
        <v>3539</v>
      </c>
      <c r="P2468" s="37" t="s">
        <v>3499</v>
      </c>
      <c r="S2468" s="10" t="s">
        <v>2771</v>
      </c>
      <c r="U2468" s="22">
        <v>1</v>
      </c>
      <c r="V2468" s="22">
        <v>1</v>
      </c>
      <c r="W2468" s="73">
        <f>W2467+V2468</f>
        <v>3</v>
      </c>
      <c r="X2468" s="80">
        <f>V2468+X2467</f>
        <v>5821</v>
      </c>
      <c r="Y2468" s="82" t="s">
        <v>3587</v>
      </c>
    </row>
    <row r="2469" spans="1:37" ht="15.45" customHeight="1" x14ac:dyDescent="0.25">
      <c r="A2469" s="29" t="s">
        <v>3020</v>
      </c>
      <c r="C2469" s="37" t="s">
        <v>3541</v>
      </c>
      <c r="E2469" s="37" t="s">
        <v>2831</v>
      </c>
      <c r="F2469" s="24" t="s">
        <v>2146</v>
      </c>
      <c r="H2469" s="38" t="s">
        <v>3035</v>
      </c>
      <c r="J2469" s="214" t="s">
        <v>3540</v>
      </c>
      <c r="N2469" s="37" t="s">
        <v>3018</v>
      </c>
      <c r="P2469" s="37" t="s">
        <v>3485</v>
      </c>
      <c r="S2469" s="10" t="s">
        <v>2384</v>
      </c>
      <c r="U2469" s="21">
        <v>1</v>
      </c>
      <c r="V2469" s="21">
        <v>1</v>
      </c>
      <c r="W2469" s="73">
        <f>W2468+V2469</f>
        <v>4</v>
      </c>
      <c r="X2469" s="80">
        <f>V2469+X2468</f>
        <v>5822</v>
      </c>
      <c r="Y2469" s="82" t="s">
        <v>3587</v>
      </c>
    </row>
    <row r="2470" spans="1:37" s="51" customFormat="1" ht="15.45" customHeight="1" x14ac:dyDescent="0.25">
      <c r="A2470" s="45" t="s">
        <v>5680</v>
      </c>
      <c r="B2470" s="50"/>
      <c r="C2470" s="49"/>
      <c r="D2470" s="49"/>
      <c r="E2470" s="49"/>
      <c r="F2470" s="50"/>
      <c r="G2470" s="50"/>
      <c r="H2470" s="46"/>
      <c r="I2470" s="109"/>
      <c r="J2470" s="212"/>
      <c r="K2470" s="56"/>
      <c r="L2470" s="100"/>
      <c r="M2470" s="100"/>
      <c r="N2470" s="49"/>
      <c r="O2470" s="49"/>
      <c r="P2470" s="49"/>
      <c r="Q2470" s="49"/>
      <c r="R2470" s="49"/>
      <c r="S2470" s="47"/>
      <c r="T2470" s="47"/>
      <c r="U2470" s="48"/>
      <c r="V2470" s="48"/>
      <c r="W2470" s="74"/>
      <c r="X2470" s="81"/>
      <c r="Y2470" s="132"/>
      <c r="Z2470" s="50"/>
      <c r="AA2470" s="173"/>
      <c r="AB2470" s="173"/>
      <c r="AC2470" s="137"/>
      <c r="AD2470" s="137"/>
      <c r="AE2470" s="83"/>
      <c r="AF2470" s="47"/>
      <c r="AG2470" s="47"/>
      <c r="AH2470" s="47"/>
      <c r="AI2470" s="47"/>
      <c r="AJ2470" s="47"/>
      <c r="AK2470" s="47"/>
    </row>
    <row r="2471" spans="1:37" ht="15.45" customHeight="1" x14ac:dyDescent="0.25">
      <c r="A2471" s="29" t="s">
        <v>3509</v>
      </c>
      <c r="C2471" s="37" t="s">
        <v>2188</v>
      </c>
      <c r="E2471" s="37" t="s">
        <v>2928</v>
      </c>
      <c r="F2471" s="24" t="s">
        <v>5682</v>
      </c>
      <c r="H2471" s="38" t="s">
        <v>3510</v>
      </c>
      <c r="J2471" s="214" t="s">
        <v>3684</v>
      </c>
      <c r="K2471" s="10" t="s">
        <v>3685</v>
      </c>
      <c r="L2471" s="102">
        <v>11</v>
      </c>
      <c r="N2471" s="37" t="s">
        <v>5586</v>
      </c>
      <c r="P2471" s="37" t="s">
        <v>1482</v>
      </c>
      <c r="Q2471" s="37" t="s">
        <v>1998</v>
      </c>
      <c r="S2471" s="10" t="s">
        <v>2484</v>
      </c>
      <c r="U2471" s="22">
        <v>1</v>
      </c>
      <c r="V2471" s="22">
        <v>27</v>
      </c>
      <c r="W2471" s="73">
        <f t="shared" ref="W2471:W2493" si="132">W2470+V2471</f>
        <v>27</v>
      </c>
      <c r="X2471" s="80">
        <f>V2471+X2469</f>
        <v>5849</v>
      </c>
      <c r="Y2471" s="82" t="s">
        <v>3584</v>
      </c>
      <c r="AA2471" s="178"/>
      <c r="AB2471" s="178"/>
      <c r="AI2471" s="10" t="s">
        <v>2585</v>
      </c>
    </row>
    <row r="2472" spans="1:37" ht="15.45" customHeight="1" x14ac:dyDescent="0.25">
      <c r="A2472" s="29" t="s">
        <v>3514</v>
      </c>
      <c r="C2472" s="37" t="s">
        <v>2188</v>
      </c>
      <c r="E2472" s="37" t="s">
        <v>2928</v>
      </c>
      <c r="F2472" s="24" t="s">
        <v>5682</v>
      </c>
      <c r="H2472" s="38" t="s">
        <v>3511</v>
      </c>
      <c r="J2472" s="214" t="s">
        <v>3407</v>
      </c>
      <c r="S2472" s="10" t="s">
        <v>2384</v>
      </c>
      <c r="U2472" s="22">
        <v>3</v>
      </c>
      <c r="V2472" s="22">
        <v>3</v>
      </c>
      <c r="W2472" s="73">
        <f t="shared" si="132"/>
        <v>30</v>
      </c>
      <c r="X2472" s="80">
        <f t="shared" ref="X2472:X2493" si="133">V2472+X2471</f>
        <v>5852</v>
      </c>
      <c r="Y2472" s="82" t="s">
        <v>3583</v>
      </c>
      <c r="AB2472" s="177">
        <v>42767</v>
      </c>
      <c r="AC2472" s="84" t="s">
        <v>2885</v>
      </c>
    </row>
    <row r="2473" spans="1:37" ht="15.45" customHeight="1" x14ac:dyDescent="0.25">
      <c r="A2473" s="29" t="s">
        <v>3515</v>
      </c>
      <c r="C2473" s="37" t="s">
        <v>2188</v>
      </c>
      <c r="E2473" s="37" t="s">
        <v>2928</v>
      </c>
      <c r="F2473" s="24" t="s">
        <v>5682</v>
      </c>
      <c r="H2473" s="38" t="s">
        <v>3512</v>
      </c>
      <c r="J2473" s="214" t="s">
        <v>3407</v>
      </c>
      <c r="S2473" s="10" t="s">
        <v>2384</v>
      </c>
      <c r="U2473" s="22">
        <v>1</v>
      </c>
      <c r="V2473" s="22">
        <v>1</v>
      </c>
      <c r="W2473" s="73">
        <f t="shared" si="132"/>
        <v>31</v>
      </c>
      <c r="X2473" s="80">
        <f t="shared" si="133"/>
        <v>5853</v>
      </c>
      <c r="Y2473" s="82" t="s">
        <v>3583</v>
      </c>
      <c r="AB2473" s="177">
        <v>42767</v>
      </c>
      <c r="AC2473" s="84" t="s">
        <v>2885</v>
      </c>
    </row>
    <row r="2474" spans="1:37" ht="15.45" customHeight="1" x14ac:dyDescent="0.25">
      <c r="A2474" s="29" t="s">
        <v>3516</v>
      </c>
      <c r="C2474" s="37" t="s">
        <v>2188</v>
      </c>
      <c r="E2474" s="37" t="s">
        <v>2928</v>
      </c>
      <c r="F2474" s="24" t="s">
        <v>5682</v>
      </c>
      <c r="H2474" s="38" t="s">
        <v>5648</v>
      </c>
      <c r="J2474" s="214" t="s">
        <v>3684</v>
      </c>
      <c r="K2474" s="10" t="s">
        <v>3685</v>
      </c>
      <c r="L2474" s="102">
        <v>4</v>
      </c>
      <c r="N2474" s="37" t="s">
        <v>4141</v>
      </c>
      <c r="P2474" s="37" t="s">
        <v>3482</v>
      </c>
      <c r="S2474" s="10" t="s">
        <v>2980</v>
      </c>
      <c r="T2474" s="10" t="s">
        <v>3513</v>
      </c>
      <c r="U2474" s="22">
        <v>1</v>
      </c>
      <c r="V2474" s="22">
        <v>1</v>
      </c>
      <c r="W2474" s="73">
        <f t="shared" si="132"/>
        <v>32</v>
      </c>
      <c r="X2474" s="80">
        <f t="shared" si="133"/>
        <v>5854</v>
      </c>
      <c r="Y2474" s="82" t="s">
        <v>3584</v>
      </c>
      <c r="AA2474" s="178"/>
      <c r="AB2474" s="178"/>
    </row>
    <row r="2475" spans="1:37" ht="15.45" customHeight="1" x14ac:dyDescent="0.25">
      <c r="A2475" s="29" t="s">
        <v>5588</v>
      </c>
      <c r="C2475" s="37" t="s">
        <v>2188</v>
      </c>
      <c r="E2475" s="37" t="s">
        <v>2928</v>
      </c>
      <c r="F2475" s="24" t="s">
        <v>5682</v>
      </c>
      <c r="H2475" s="38" t="s">
        <v>2587</v>
      </c>
      <c r="J2475" s="214" t="s">
        <v>3407</v>
      </c>
      <c r="S2475" s="10" t="s">
        <v>2586</v>
      </c>
      <c r="U2475" s="22">
        <v>1</v>
      </c>
      <c r="V2475" s="22">
        <v>1</v>
      </c>
      <c r="W2475" s="73">
        <f t="shared" si="132"/>
        <v>33</v>
      </c>
      <c r="X2475" s="80">
        <f t="shared" si="133"/>
        <v>5855</v>
      </c>
      <c r="Y2475" s="82" t="s">
        <v>3583</v>
      </c>
      <c r="AB2475" s="177">
        <v>42614</v>
      </c>
      <c r="AC2475" s="84" t="s">
        <v>2885</v>
      </c>
    </row>
    <row r="2476" spans="1:37" ht="15.45" customHeight="1" x14ac:dyDescent="0.25">
      <c r="A2476" s="29" t="s">
        <v>5589</v>
      </c>
      <c r="C2476" s="37" t="s">
        <v>2188</v>
      </c>
      <c r="E2476" s="37" t="s">
        <v>2928</v>
      </c>
      <c r="F2476" s="24" t="s">
        <v>5682</v>
      </c>
      <c r="H2476" s="38" t="s">
        <v>2588</v>
      </c>
      <c r="J2476" s="214" t="s">
        <v>3407</v>
      </c>
      <c r="S2476" s="10" t="s">
        <v>2586</v>
      </c>
      <c r="U2476" s="22">
        <v>1</v>
      </c>
      <c r="V2476" s="22">
        <v>1</v>
      </c>
      <c r="W2476" s="73">
        <f t="shared" si="132"/>
        <v>34</v>
      </c>
      <c r="X2476" s="80">
        <f t="shared" si="133"/>
        <v>5856</v>
      </c>
      <c r="Y2476" s="82" t="s">
        <v>3583</v>
      </c>
      <c r="AB2476" s="177">
        <v>42979</v>
      </c>
      <c r="AC2476" s="84" t="s">
        <v>2885</v>
      </c>
    </row>
    <row r="2477" spans="1:37" ht="15.45" customHeight="1" x14ac:dyDescent="0.25">
      <c r="A2477" s="29" t="s">
        <v>5590</v>
      </c>
      <c r="C2477" s="37" t="s">
        <v>2188</v>
      </c>
      <c r="E2477" s="37" t="s">
        <v>2928</v>
      </c>
      <c r="F2477" s="24" t="s">
        <v>5682</v>
      </c>
      <c r="H2477" s="38" t="s">
        <v>2589</v>
      </c>
      <c r="J2477" s="214" t="s">
        <v>3407</v>
      </c>
      <c r="S2477" s="10" t="s">
        <v>2586</v>
      </c>
      <c r="U2477" s="22">
        <v>1</v>
      </c>
      <c r="V2477" s="22">
        <v>1</v>
      </c>
      <c r="W2477" s="73">
        <f t="shared" si="132"/>
        <v>35</v>
      </c>
      <c r="X2477" s="80">
        <f t="shared" si="133"/>
        <v>5857</v>
      </c>
      <c r="Y2477" s="82" t="s">
        <v>3583</v>
      </c>
      <c r="AB2477" s="177">
        <v>42979</v>
      </c>
      <c r="AC2477" s="84" t="s">
        <v>2885</v>
      </c>
    </row>
    <row r="2478" spans="1:37" ht="15.45" customHeight="1" x14ac:dyDescent="0.25">
      <c r="A2478" s="31" t="s">
        <v>5662</v>
      </c>
      <c r="C2478" s="37" t="s">
        <v>2188</v>
      </c>
      <c r="E2478" s="37" t="s">
        <v>2928</v>
      </c>
      <c r="F2478" s="24" t="s">
        <v>5682</v>
      </c>
      <c r="H2478" s="38" t="s">
        <v>7196</v>
      </c>
      <c r="J2478" s="214" t="s">
        <v>3718</v>
      </c>
      <c r="K2478" s="10" t="s">
        <v>3719</v>
      </c>
      <c r="L2478" s="102">
        <v>50</v>
      </c>
      <c r="S2478" s="11" t="s">
        <v>2433</v>
      </c>
      <c r="T2478" s="11"/>
      <c r="U2478" s="21">
        <v>1</v>
      </c>
      <c r="V2478" s="21">
        <v>1</v>
      </c>
      <c r="W2478" s="73">
        <f t="shared" si="132"/>
        <v>36</v>
      </c>
      <c r="X2478" s="80">
        <f t="shared" si="133"/>
        <v>5858</v>
      </c>
      <c r="Y2478" s="82" t="s">
        <v>3584</v>
      </c>
      <c r="AF2478" s="11"/>
      <c r="AG2478" s="11"/>
      <c r="AH2478" s="11"/>
      <c r="AI2478" s="11"/>
      <c r="AJ2478" s="11"/>
      <c r="AK2478" s="11"/>
    </row>
    <row r="2479" spans="1:37" ht="15.45" customHeight="1" x14ac:dyDescent="0.25">
      <c r="A2479" s="31" t="s">
        <v>4849</v>
      </c>
      <c r="C2479" s="37" t="s">
        <v>4847</v>
      </c>
      <c r="E2479" s="37" t="s">
        <v>2928</v>
      </c>
      <c r="F2479" s="24" t="s">
        <v>5682</v>
      </c>
      <c r="H2479" s="39" t="s">
        <v>4850</v>
      </c>
      <c r="S2479" s="11"/>
      <c r="T2479" s="11"/>
      <c r="U2479" s="21">
        <v>1</v>
      </c>
      <c r="V2479" s="21">
        <v>1</v>
      </c>
      <c r="W2479" s="73">
        <f t="shared" si="132"/>
        <v>37</v>
      </c>
      <c r="X2479" s="80">
        <f t="shared" si="133"/>
        <v>5859</v>
      </c>
      <c r="Y2479" s="82" t="s">
        <v>3584</v>
      </c>
      <c r="AF2479" s="11"/>
      <c r="AG2479" s="11"/>
      <c r="AH2479" s="11"/>
      <c r="AI2479" s="11"/>
      <c r="AJ2479" s="11"/>
      <c r="AK2479" s="11"/>
    </row>
    <row r="2480" spans="1:37" ht="15.45" customHeight="1" x14ac:dyDescent="0.25">
      <c r="A2480" s="29" t="s">
        <v>2591</v>
      </c>
      <c r="C2480" s="37" t="s">
        <v>2188</v>
      </c>
      <c r="E2480" s="37" t="s">
        <v>2928</v>
      </c>
      <c r="F2480" s="24" t="s">
        <v>5682</v>
      </c>
      <c r="J2480" s="214" t="s">
        <v>4077</v>
      </c>
      <c r="K2480" s="10" t="s">
        <v>4078</v>
      </c>
      <c r="L2480" s="102">
        <v>8</v>
      </c>
      <c r="N2480" s="37" t="s">
        <v>4141</v>
      </c>
      <c r="P2480" s="37" t="s">
        <v>4214</v>
      </c>
      <c r="Q2480" s="37" t="s">
        <v>1998</v>
      </c>
      <c r="S2480" s="10" t="s">
        <v>2384</v>
      </c>
      <c r="U2480" s="22">
        <v>1</v>
      </c>
      <c r="V2480" s="22">
        <v>1</v>
      </c>
      <c r="W2480" s="73">
        <f t="shared" si="132"/>
        <v>38</v>
      </c>
      <c r="X2480" s="80">
        <f t="shared" si="133"/>
        <v>5860</v>
      </c>
      <c r="Y2480" s="82" t="s">
        <v>3584</v>
      </c>
      <c r="AE2480" s="24" t="s">
        <v>4079</v>
      </c>
    </row>
    <row r="2481" spans="1:37" ht="15.45" customHeight="1" x14ac:dyDescent="0.25">
      <c r="A2481" s="29" t="s">
        <v>2591</v>
      </c>
      <c r="C2481" s="37" t="s">
        <v>2188</v>
      </c>
      <c r="E2481" s="37" t="s">
        <v>2928</v>
      </c>
      <c r="F2481" s="24" t="s">
        <v>5683</v>
      </c>
      <c r="J2481" s="214" t="s">
        <v>2593</v>
      </c>
      <c r="S2481" s="10" t="s">
        <v>2384</v>
      </c>
      <c r="U2481" s="22">
        <v>1</v>
      </c>
      <c r="V2481" s="22">
        <v>1</v>
      </c>
      <c r="W2481" s="73">
        <f t="shared" si="132"/>
        <v>39</v>
      </c>
      <c r="X2481" s="80">
        <f t="shared" si="133"/>
        <v>5861</v>
      </c>
      <c r="Y2481" s="82" t="s">
        <v>3584</v>
      </c>
      <c r="AB2481" s="177">
        <v>42644</v>
      </c>
      <c r="AC2481" s="84" t="s">
        <v>2885</v>
      </c>
    </row>
    <row r="2482" spans="1:37" ht="15.45" customHeight="1" x14ac:dyDescent="0.25">
      <c r="A2482" s="29" t="s">
        <v>2590</v>
      </c>
      <c r="C2482" s="37" t="s">
        <v>2188</v>
      </c>
      <c r="E2482" s="37" t="s">
        <v>2928</v>
      </c>
      <c r="F2482" s="24" t="s">
        <v>4280</v>
      </c>
      <c r="H2482" s="38" t="s">
        <v>3038</v>
      </c>
      <c r="J2482" s="214" t="s">
        <v>2592</v>
      </c>
      <c r="S2482" s="10" t="s">
        <v>2384</v>
      </c>
      <c r="U2482" s="22">
        <v>1</v>
      </c>
      <c r="V2482" s="22">
        <v>1</v>
      </c>
      <c r="W2482" s="73">
        <f t="shared" si="132"/>
        <v>40</v>
      </c>
      <c r="X2482" s="80">
        <f t="shared" si="133"/>
        <v>5862</v>
      </c>
      <c r="Y2482" s="82" t="s">
        <v>3584</v>
      </c>
      <c r="AB2482" s="177">
        <v>42644</v>
      </c>
      <c r="AC2482" s="84" t="s">
        <v>2885</v>
      </c>
    </row>
    <row r="2483" spans="1:37" ht="15.45" customHeight="1" x14ac:dyDescent="0.25">
      <c r="A2483" s="29" t="s">
        <v>2604</v>
      </c>
      <c r="C2483" s="37" t="s">
        <v>2188</v>
      </c>
      <c r="E2483" s="37" t="s">
        <v>2928</v>
      </c>
      <c r="H2483" s="38" t="s">
        <v>3037</v>
      </c>
      <c r="J2483" s="214" t="s">
        <v>2592</v>
      </c>
      <c r="S2483" s="10" t="s">
        <v>2390</v>
      </c>
      <c r="U2483" s="22">
        <v>1</v>
      </c>
      <c r="V2483" s="22">
        <v>1</v>
      </c>
      <c r="W2483" s="73">
        <f t="shared" si="132"/>
        <v>41</v>
      </c>
      <c r="X2483" s="80">
        <f t="shared" si="133"/>
        <v>5863</v>
      </c>
      <c r="Y2483" s="82" t="s">
        <v>3584</v>
      </c>
      <c r="AB2483" s="177">
        <v>43040</v>
      </c>
      <c r="AC2483" s="84" t="s">
        <v>2885</v>
      </c>
    </row>
    <row r="2484" spans="1:37" ht="15.45" customHeight="1" x14ac:dyDescent="0.25">
      <c r="A2484" s="33" t="s">
        <v>6508</v>
      </c>
      <c r="C2484" s="37" t="s">
        <v>2188</v>
      </c>
      <c r="E2484" s="37" t="s">
        <v>2928</v>
      </c>
      <c r="H2484" s="38" t="s">
        <v>2603</v>
      </c>
      <c r="J2484" s="214" t="s">
        <v>2592</v>
      </c>
      <c r="N2484" s="37" t="s">
        <v>2181</v>
      </c>
      <c r="S2484" s="10" t="s">
        <v>2390</v>
      </c>
      <c r="U2484" s="22">
        <v>1</v>
      </c>
      <c r="V2484" s="22">
        <v>1</v>
      </c>
      <c r="W2484" s="73">
        <f t="shared" si="132"/>
        <v>42</v>
      </c>
      <c r="X2484" s="80">
        <f t="shared" si="133"/>
        <v>5864</v>
      </c>
      <c r="Y2484" s="82" t="s">
        <v>3584</v>
      </c>
      <c r="AB2484" s="177">
        <v>43070</v>
      </c>
      <c r="AC2484" s="84" t="s">
        <v>2885</v>
      </c>
    </row>
    <row r="2485" spans="1:37" ht="15.45" customHeight="1" x14ac:dyDescent="0.25">
      <c r="A2485" s="29" t="s">
        <v>5649</v>
      </c>
      <c r="C2485" s="37" t="s">
        <v>2188</v>
      </c>
      <c r="E2485" s="37" t="s">
        <v>2928</v>
      </c>
      <c r="F2485" s="24" t="s">
        <v>5682</v>
      </c>
      <c r="H2485" s="38" t="s">
        <v>3040</v>
      </c>
      <c r="L2485" s="102">
        <v>9</v>
      </c>
      <c r="N2485" s="37" t="s">
        <v>4141</v>
      </c>
      <c r="P2485" s="37" t="s">
        <v>1482</v>
      </c>
      <c r="Q2485" s="37" t="s">
        <v>1998</v>
      </c>
      <c r="S2485" s="10" t="s">
        <v>2113</v>
      </c>
      <c r="U2485" s="22">
        <v>9</v>
      </c>
      <c r="V2485" s="22">
        <v>9</v>
      </c>
      <c r="W2485" s="73">
        <f t="shared" si="132"/>
        <v>51</v>
      </c>
      <c r="X2485" s="80">
        <f t="shared" si="133"/>
        <v>5873</v>
      </c>
      <c r="Y2485" s="82" t="s">
        <v>3584</v>
      </c>
    </row>
    <row r="2486" spans="1:37" ht="15.45" customHeight="1" x14ac:dyDescent="0.25">
      <c r="A2486" s="165" t="s">
        <v>5681</v>
      </c>
      <c r="C2486" s="37" t="s">
        <v>2340</v>
      </c>
      <c r="E2486" s="37" t="s">
        <v>2831</v>
      </c>
      <c r="F2486" s="24" t="s">
        <v>5682</v>
      </c>
      <c r="H2486" s="171" t="s">
        <v>4163</v>
      </c>
      <c r="N2486" s="37" t="s">
        <v>4164</v>
      </c>
      <c r="P2486" s="37" t="s">
        <v>4165</v>
      </c>
      <c r="Q2486" s="37" t="s">
        <v>1998</v>
      </c>
      <c r="S2486" s="10" t="s">
        <v>2384</v>
      </c>
      <c r="U2486" s="21">
        <v>1</v>
      </c>
      <c r="V2486" s="21">
        <v>15</v>
      </c>
      <c r="W2486" s="73">
        <f t="shared" si="132"/>
        <v>66</v>
      </c>
      <c r="X2486" s="80">
        <f t="shared" si="133"/>
        <v>5888</v>
      </c>
      <c r="Y2486" s="82" t="s">
        <v>3584</v>
      </c>
      <c r="AI2486" s="10" t="s">
        <v>2385</v>
      </c>
    </row>
    <row r="2487" spans="1:37" ht="15.45" customHeight="1" x14ac:dyDescent="0.25">
      <c r="A2487" s="29" t="s">
        <v>2972</v>
      </c>
      <c r="C2487" s="37" t="s">
        <v>2188</v>
      </c>
      <c r="E2487" s="37" t="s">
        <v>2928</v>
      </c>
      <c r="F2487" s="24" t="s">
        <v>5682</v>
      </c>
      <c r="H2487" s="38" t="s">
        <v>5679</v>
      </c>
      <c r="J2487" s="214" t="s">
        <v>3039</v>
      </c>
      <c r="S2487" s="10" t="s">
        <v>2384</v>
      </c>
      <c r="U2487" s="22">
        <v>1</v>
      </c>
      <c r="V2487" s="22">
        <v>10</v>
      </c>
      <c r="W2487" s="73">
        <f t="shared" si="132"/>
        <v>76</v>
      </c>
      <c r="X2487" s="80">
        <f t="shared" si="133"/>
        <v>5898</v>
      </c>
      <c r="Y2487" s="82" t="s">
        <v>3584</v>
      </c>
    </row>
    <row r="2488" spans="1:37" ht="15.45" customHeight="1" x14ac:dyDescent="0.25">
      <c r="A2488" s="29" t="s">
        <v>2606</v>
      </c>
      <c r="C2488" s="37" t="s">
        <v>2188</v>
      </c>
      <c r="E2488" s="37" t="s">
        <v>2928</v>
      </c>
      <c r="F2488" s="24" t="s">
        <v>5682</v>
      </c>
      <c r="H2488" s="38" t="s">
        <v>5677</v>
      </c>
      <c r="J2488" s="214" t="s">
        <v>5678</v>
      </c>
      <c r="K2488" s="10" t="s">
        <v>4135</v>
      </c>
      <c r="P2488" s="37" t="s">
        <v>4166</v>
      </c>
      <c r="Q2488" s="37" t="s">
        <v>1979</v>
      </c>
      <c r="S2488" s="10" t="s">
        <v>2384</v>
      </c>
      <c r="U2488" s="22">
        <v>1</v>
      </c>
      <c r="V2488" s="22">
        <v>9</v>
      </c>
      <c r="W2488" s="73">
        <f t="shared" si="132"/>
        <v>85</v>
      </c>
      <c r="X2488" s="80">
        <f t="shared" si="133"/>
        <v>5907</v>
      </c>
      <c r="Y2488" s="82" t="s">
        <v>3584</v>
      </c>
    </row>
    <row r="2489" spans="1:37" ht="15.45" customHeight="1" x14ac:dyDescent="0.25">
      <c r="A2489" s="29" t="s">
        <v>2605</v>
      </c>
      <c r="C2489" s="37" t="s">
        <v>2188</v>
      </c>
      <c r="E2489" s="37" t="s">
        <v>2928</v>
      </c>
      <c r="F2489" s="24" t="s">
        <v>5682</v>
      </c>
      <c r="H2489" s="38" t="s">
        <v>6029</v>
      </c>
      <c r="J2489" s="214" t="s">
        <v>5801</v>
      </c>
      <c r="S2489" s="10" t="s">
        <v>2390</v>
      </c>
      <c r="U2489" s="22">
        <v>1</v>
      </c>
      <c r="V2489" s="22">
        <v>1</v>
      </c>
      <c r="W2489" s="73">
        <f t="shared" si="132"/>
        <v>86</v>
      </c>
      <c r="X2489" s="80">
        <f t="shared" si="133"/>
        <v>5908</v>
      </c>
      <c r="Y2489" s="82" t="s">
        <v>3591</v>
      </c>
      <c r="Z2489" s="24" t="s">
        <v>2885</v>
      </c>
      <c r="AB2489" s="177">
        <v>42856</v>
      </c>
      <c r="AC2489" s="84" t="s">
        <v>2885</v>
      </c>
    </row>
    <row r="2490" spans="1:37" ht="15.45" customHeight="1" x14ac:dyDescent="0.25">
      <c r="A2490" s="29" t="s">
        <v>6030</v>
      </c>
      <c r="C2490" s="37" t="s">
        <v>2188</v>
      </c>
      <c r="E2490" s="37" t="s">
        <v>2928</v>
      </c>
      <c r="F2490" s="24" t="s">
        <v>5682</v>
      </c>
      <c r="J2490" s="214" t="s">
        <v>6031</v>
      </c>
      <c r="S2490" s="10" t="s">
        <v>2390</v>
      </c>
      <c r="U2490" s="22">
        <v>56</v>
      </c>
      <c r="V2490" s="22">
        <v>56</v>
      </c>
      <c r="W2490" s="73">
        <f t="shared" si="132"/>
        <v>142</v>
      </c>
      <c r="X2490" s="80">
        <f t="shared" si="133"/>
        <v>5964</v>
      </c>
      <c r="Y2490" s="82" t="s">
        <v>3591</v>
      </c>
      <c r="Z2490" s="24" t="s">
        <v>2885</v>
      </c>
      <c r="AB2490" s="177">
        <v>42856</v>
      </c>
      <c r="AC2490" s="84" t="s">
        <v>2885</v>
      </c>
    </row>
    <row r="2491" spans="1:37" ht="15.45" customHeight="1" x14ac:dyDescent="0.25">
      <c r="A2491" s="29" t="s">
        <v>3122</v>
      </c>
      <c r="C2491" s="37" t="s">
        <v>2188</v>
      </c>
      <c r="E2491" s="37" t="s">
        <v>2928</v>
      </c>
      <c r="F2491" s="24" t="s">
        <v>5682</v>
      </c>
      <c r="H2491" s="200"/>
      <c r="J2491" s="214" t="s">
        <v>2592</v>
      </c>
      <c r="N2491" s="37" t="s">
        <v>2181</v>
      </c>
      <c r="S2491" s="10" t="s">
        <v>2390</v>
      </c>
      <c r="U2491" s="22">
        <v>1</v>
      </c>
      <c r="V2491" s="22">
        <v>6</v>
      </c>
      <c r="W2491" s="73">
        <f t="shared" si="132"/>
        <v>148</v>
      </c>
      <c r="X2491" s="80">
        <f t="shared" si="133"/>
        <v>5970</v>
      </c>
      <c r="Y2491" s="82" t="s">
        <v>3584</v>
      </c>
      <c r="AB2491" s="177">
        <v>42856</v>
      </c>
      <c r="AC2491" s="84" t="s">
        <v>2885</v>
      </c>
    </row>
    <row r="2492" spans="1:37" ht="15.45" customHeight="1" x14ac:dyDescent="0.25">
      <c r="A2492" s="29" t="s">
        <v>3123</v>
      </c>
      <c r="C2492" s="37" t="s">
        <v>2188</v>
      </c>
      <c r="E2492" s="37" t="s">
        <v>2928</v>
      </c>
      <c r="F2492" s="24" t="s">
        <v>5682</v>
      </c>
      <c r="J2492" s="214" t="s">
        <v>2592</v>
      </c>
      <c r="N2492" s="37" t="s">
        <v>2181</v>
      </c>
      <c r="S2492" s="10" t="s">
        <v>2390</v>
      </c>
      <c r="U2492" s="22">
        <v>1</v>
      </c>
      <c r="V2492" s="22">
        <v>6</v>
      </c>
      <c r="W2492" s="73">
        <f t="shared" si="132"/>
        <v>154</v>
      </c>
      <c r="X2492" s="80">
        <f t="shared" si="133"/>
        <v>5976</v>
      </c>
      <c r="Y2492" s="82" t="s">
        <v>3584</v>
      </c>
      <c r="AB2492" s="177">
        <v>42856</v>
      </c>
      <c r="AC2492" s="84" t="s">
        <v>2885</v>
      </c>
    </row>
    <row r="2493" spans="1:37" ht="15.45" customHeight="1" x14ac:dyDescent="0.25">
      <c r="A2493" s="29" t="s">
        <v>3124</v>
      </c>
      <c r="C2493" s="37" t="s">
        <v>2188</v>
      </c>
      <c r="E2493" s="37" t="s">
        <v>2928</v>
      </c>
      <c r="F2493" s="24" t="s">
        <v>5682</v>
      </c>
      <c r="J2493" s="214" t="s">
        <v>3041</v>
      </c>
      <c r="S2493" s="10" t="s">
        <v>2390</v>
      </c>
      <c r="U2493" s="22">
        <v>1</v>
      </c>
      <c r="V2493" s="22">
        <v>9</v>
      </c>
      <c r="W2493" s="73">
        <f t="shared" si="132"/>
        <v>163</v>
      </c>
      <c r="X2493" s="80">
        <f t="shared" si="133"/>
        <v>5985</v>
      </c>
      <c r="Y2493" s="82" t="s">
        <v>3584</v>
      </c>
      <c r="AB2493" s="177">
        <v>42856</v>
      </c>
      <c r="AC2493" s="84" t="s">
        <v>2885</v>
      </c>
    </row>
    <row r="2494" spans="1:37" s="51" customFormat="1" ht="15.45" customHeight="1" x14ac:dyDescent="0.25">
      <c r="A2494" s="45" t="s">
        <v>2182</v>
      </c>
      <c r="B2494" s="50"/>
      <c r="C2494" s="49"/>
      <c r="D2494" s="49"/>
      <c r="E2494" s="49"/>
      <c r="F2494" s="50"/>
      <c r="G2494" s="50"/>
      <c r="H2494" s="46"/>
      <c r="I2494" s="109"/>
      <c r="J2494" s="212"/>
      <c r="K2494" s="56"/>
      <c r="L2494" s="100"/>
      <c r="M2494" s="100"/>
      <c r="N2494" s="49"/>
      <c r="O2494" s="49"/>
      <c r="P2494" s="49"/>
      <c r="Q2494" s="49"/>
      <c r="R2494" s="49"/>
      <c r="S2494" s="47"/>
      <c r="T2494" s="47"/>
      <c r="U2494" s="48"/>
      <c r="V2494" s="48"/>
      <c r="W2494" s="74"/>
      <c r="X2494" s="81"/>
      <c r="Y2494" s="132"/>
      <c r="Z2494" s="50"/>
      <c r="AA2494" s="173"/>
      <c r="AB2494" s="173"/>
      <c r="AC2494" s="137"/>
      <c r="AD2494" s="137"/>
      <c r="AE2494" s="83"/>
      <c r="AF2494" s="47"/>
      <c r="AG2494" s="47"/>
      <c r="AH2494" s="47"/>
      <c r="AI2494" s="47"/>
      <c r="AJ2494" s="47"/>
      <c r="AK2494" s="47"/>
    </row>
    <row r="2495" spans="1:37" ht="15.45" customHeight="1" x14ac:dyDescent="0.25">
      <c r="A2495" s="31" t="s">
        <v>4348</v>
      </c>
      <c r="C2495" s="37" t="s">
        <v>2183</v>
      </c>
      <c r="E2495" s="37" t="s">
        <v>2831</v>
      </c>
      <c r="F2495" s="24" t="s">
        <v>2108</v>
      </c>
      <c r="H2495" s="39" t="s">
        <v>4349</v>
      </c>
      <c r="S2495" s="11" t="s">
        <v>3412</v>
      </c>
      <c r="T2495" s="11"/>
      <c r="U2495" s="21">
        <v>2</v>
      </c>
      <c r="V2495" s="21">
        <v>90</v>
      </c>
      <c r="W2495" s="73">
        <f t="shared" ref="W2495:W2503" si="134">W2494+V2495</f>
        <v>90</v>
      </c>
      <c r="X2495" s="80">
        <f>V2495+X2493</f>
        <v>6075</v>
      </c>
      <c r="Y2495" s="82" t="s">
        <v>3584</v>
      </c>
      <c r="AF2495" s="11"/>
      <c r="AG2495" s="11"/>
      <c r="AH2495" s="11"/>
      <c r="AI2495" s="11"/>
      <c r="AJ2495" s="11"/>
      <c r="AK2495" s="11"/>
    </row>
    <row r="2496" spans="1:37" ht="15.45" customHeight="1" x14ac:dyDescent="0.25">
      <c r="A2496" s="31" t="s">
        <v>3524</v>
      </c>
      <c r="C2496" s="37" t="s">
        <v>2183</v>
      </c>
      <c r="E2496" s="37" t="s">
        <v>2831</v>
      </c>
      <c r="F2496" s="24" t="s">
        <v>2108</v>
      </c>
      <c r="H2496" s="39" t="s">
        <v>3523</v>
      </c>
      <c r="S2496" s="11" t="s">
        <v>3412</v>
      </c>
      <c r="T2496" s="11"/>
      <c r="U2496" s="21">
        <v>1</v>
      </c>
      <c r="V2496" s="21">
        <v>1</v>
      </c>
      <c r="W2496" s="73">
        <f t="shared" si="134"/>
        <v>91</v>
      </c>
      <c r="X2496" s="80">
        <f t="shared" ref="X2496:X2503" si="135">V2496+X2495</f>
        <v>6076</v>
      </c>
      <c r="Y2496" s="82" t="s">
        <v>3590</v>
      </c>
      <c r="AA2496" s="178"/>
      <c r="AB2496" s="178">
        <v>42682</v>
      </c>
      <c r="AC2496" s="84" t="s">
        <v>2885</v>
      </c>
      <c r="AF2496" s="11"/>
      <c r="AG2496" s="11"/>
      <c r="AH2496" s="11"/>
      <c r="AI2496" s="11"/>
      <c r="AJ2496" s="11"/>
      <c r="AK2496" s="11"/>
    </row>
    <row r="2497" spans="1:37" ht="15.45" customHeight="1" x14ac:dyDescent="0.25">
      <c r="A2497" s="29" t="s">
        <v>4929</v>
      </c>
      <c r="C2497" s="37" t="s">
        <v>2183</v>
      </c>
      <c r="E2497" s="37" t="s">
        <v>2831</v>
      </c>
      <c r="F2497" s="24" t="s">
        <v>2108</v>
      </c>
      <c r="H2497" s="38" t="s">
        <v>3042</v>
      </c>
      <c r="I2497" s="111" t="s">
        <v>4809</v>
      </c>
      <c r="J2497" s="215" t="s">
        <v>4810</v>
      </c>
      <c r="K2497" s="10" t="s">
        <v>4808</v>
      </c>
      <c r="N2497" s="37" t="s">
        <v>3522</v>
      </c>
      <c r="P2497" s="37" t="s">
        <v>3499</v>
      </c>
      <c r="S2497" s="10" t="s">
        <v>3412</v>
      </c>
      <c r="T2497" s="10" t="s">
        <v>3525</v>
      </c>
      <c r="U2497" s="22">
        <v>1</v>
      </c>
      <c r="V2497" s="22">
        <v>17</v>
      </c>
      <c r="W2497" s="73">
        <f t="shared" si="134"/>
        <v>108</v>
      </c>
      <c r="X2497" s="80">
        <f t="shared" si="135"/>
        <v>6093</v>
      </c>
      <c r="Y2497" s="82" t="s">
        <v>3590</v>
      </c>
      <c r="AA2497" s="178"/>
      <c r="AB2497" s="178">
        <v>42682</v>
      </c>
      <c r="AC2497" s="84" t="s">
        <v>2885</v>
      </c>
      <c r="AI2497" s="10" t="s">
        <v>2784</v>
      </c>
    </row>
    <row r="2498" spans="1:37" ht="15.45" customHeight="1" x14ac:dyDescent="0.25">
      <c r="A2498" s="29" t="s">
        <v>4854</v>
      </c>
      <c r="C2498" s="37" t="s">
        <v>2183</v>
      </c>
      <c r="E2498" s="37" t="s">
        <v>2927</v>
      </c>
      <c r="F2498" s="24" t="s">
        <v>2108</v>
      </c>
      <c r="H2498" s="38" t="s">
        <v>4855</v>
      </c>
      <c r="J2498" s="215" t="s">
        <v>4856</v>
      </c>
      <c r="K2498" s="10" t="s">
        <v>4808</v>
      </c>
      <c r="N2498" s="37" t="s">
        <v>3522</v>
      </c>
      <c r="P2498" s="37" t="s">
        <v>3499</v>
      </c>
      <c r="S2498" s="10" t="s">
        <v>3436</v>
      </c>
      <c r="U2498" s="22">
        <v>1</v>
      </c>
      <c r="V2498" s="22">
        <v>1</v>
      </c>
      <c r="W2498" s="73">
        <f t="shared" si="134"/>
        <v>109</v>
      </c>
      <c r="X2498" s="80">
        <f t="shared" si="135"/>
        <v>6094</v>
      </c>
      <c r="Y2498" s="82" t="s">
        <v>3590</v>
      </c>
      <c r="AA2498" s="178"/>
      <c r="AB2498" s="178">
        <v>42683</v>
      </c>
      <c r="AC2498" s="84" t="s">
        <v>2885</v>
      </c>
    </row>
    <row r="2499" spans="1:37" ht="15.45" customHeight="1" x14ac:dyDescent="0.25">
      <c r="A2499" s="29" t="s">
        <v>2973</v>
      </c>
      <c r="C2499" s="37" t="s">
        <v>2183</v>
      </c>
      <c r="E2499" s="37" t="s">
        <v>2831</v>
      </c>
      <c r="F2499" s="24" t="s">
        <v>2108</v>
      </c>
      <c r="H2499" s="38" t="s">
        <v>2619</v>
      </c>
      <c r="P2499" s="37" t="s">
        <v>2184</v>
      </c>
      <c r="U2499" s="22">
        <v>1</v>
      </c>
      <c r="V2499" s="22">
        <v>15</v>
      </c>
      <c r="W2499" s="73">
        <f t="shared" si="134"/>
        <v>124</v>
      </c>
      <c r="X2499" s="80">
        <f t="shared" si="135"/>
        <v>6109</v>
      </c>
      <c r="Y2499" s="82" t="s">
        <v>3590</v>
      </c>
      <c r="AA2499" s="178"/>
      <c r="AB2499" s="178">
        <v>42684</v>
      </c>
      <c r="AC2499" s="84" t="s">
        <v>2885</v>
      </c>
    </row>
    <row r="2500" spans="1:37" ht="15.45" customHeight="1" x14ac:dyDescent="0.25">
      <c r="A2500" s="29" t="s">
        <v>4930</v>
      </c>
      <c r="C2500" s="37" t="s">
        <v>2183</v>
      </c>
      <c r="E2500" s="37" t="s">
        <v>2831</v>
      </c>
      <c r="F2500" s="24" t="s">
        <v>2108</v>
      </c>
      <c r="H2500" s="38" t="s">
        <v>3526</v>
      </c>
      <c r="P2500" s="37" t="s">
        <v>3506</v>
      </c>
      <c r="U2500" s="22">
        <v>1</v>
      </c>
      <c r="V2500" s="22">
        <v>1</v>
      </c>
      <c r="W2500" s="73">
        <f t="shared" si="134"/>
        <v>125</v>
      </c>
      <c r="X2500" s="80">
        <f t="shared" si="135"/>
        <v>6110</v>
      </c>
      <c r="Y2500" s="82" t="s">
        <v>3590</v>
      </c>
      <c r="AA2500" s="178"/>
      <c r="AB2500" s="178">
        <v>42685</v>
      </c>
      <c r="AC2500" s="84" t="s">
        <v>2885</v>
      </c>
    </row>
    <row r="2501" spans="1:37" ht="15.45" customHeight="1" x14ac:dyDescent="0.25">
      <c r="A2501" s="29" t="s">
        <v>3527</v>
      </c>
      <c r="C2501" s="37" t="s">
        <v>2154</v>
      </c>
      <c r="E2501" s="37" t="s">
        <v>2831</v>
      </c>
      <c r="F2501" s="24" t="s">
        <v>2108</v>
      </c>
      <c r="J2501" s="215">
        <v>1959</v>
      </c>
      <c r="N2501" s="37" t="s">
        <v>2620</v>
      </c>
      <c r="P2501" s="37" t="s">
        <v>3506</v>
      </c>
      <c r="S2501" s="190"/>
      <c r="U2501" s="22">
        <v>1</v>
      </c>
      <c r="V2501" s="22">
        <v>1</v>
      </c>
      <c r="W2501" s="73">
        <f t="shared" si="134"/>
        <v>126</v>
      </c>
      <c r="X2501" s="80">
        <f t="shared" si="135"/>
        <v>6111</v>
      </c>
      <c r="Y2501" s="82" t="s">
        <v>3590</v>
      </c>
      <c r="AA2501" s="178"/>
      <c r="AB2501" s="178">
        <v>42686</v>
      </c>
      <c r="AC2501" s="84" t="s">
        <v>2885</v>
      </c>
    </row>
    <row r="2502" spans="1:37" ht="15.45" customHeight="1" x14ac:dyDescent="0.25">
      <c r="A2502" s="29" t="s">
        <v>2185</v>
      </c>
      <c r="C2502" s="37" t="s">
        <v>1946</v>
      </c>
      <c r="E2502" s="37" t="s">
        <v>2831</v>
      </c>
      <c r="F2502" s="24" t="s">
        <v>2108</v>
      </c>
      <c r="H2502" s="38" t="s">
        <v>3043</v>
      </c>
      <c r="N2502" s="37" t="s">
        <v>2187</v>
      </c>
      <c r="P2502" s="37" t="s">
        <v>3506</v>
      </c>
      <c r="U2502" s="22">
        <v>1</v>
      </c>
      <c r="V2502" s="22">
        <v>1</v>
      </c>
      <c r="W2502" s="73">
        <f t="shared" si="134"/>
        <v>127</v>
      </c>
      <c r="X2502" s="80">
        <f t="shared" si="135"/>
        <v>6112</v>
      </c>
      <c r="Y2502" s="82" t="s">
        <v>3590</v>
      </c>
      <c r="AA2502" s="178"/>
      <c r="AB2502" s="178">
        <v>42687</v>
      </c>
      <c r="AC2502" s="84" t="s">
        <v>2885</v>
      </c>
    </row>
    <row r="2503" spans="1:37" ht="15.45" customHeight="1" x14ac:dyDescent="0.25">
      <c r="A2503" s="29" t="s">
        <v>2186</v>
      </c>
      <c r="C2503" s="37" t="s">
        <v>1946</v>
      </c>
      <c r="E2503" s="37" t="s">
        <v>2831</v>
      </c>
      <c r="F2503" s="24" t="s">
        <v>2108</v>
      </c>
      <c r="N2503" s="37" t="s">
        <v>3044</v>
      </c>
      <c r="P2503" s="37" t="s">
        <v>3506</v>
      </c>
      <c r="U2503" s="22">
        <v>1</v>
      </c>
      <c r="V2503" s="22">
        <v>1</v>
      </c>
      <c r="W2503" s="73">
        <f t="shared" si="134"/>
        <v>128</v>
      </c>
      <c r="X2503" s="80">
        <f t="shared" si="135"/>
        <v>6113</v>
      </c>
      <c r="Y2503" s="82" t="s">
        <v>3590</v>
      </c>
      <c r="AA2503" s="178"/>
      <c r="AB2503" s="178">
        <v>42688</v>
      </c>
      <c r="AC2503" s="84" t="s">
        <v>2885</v>
      </c>
    </row>
    <row r="2504" spans="1:37" s="51" customFormat="1" ht="15.45" customHeight="1" x14ac:dyDescent="0.25">
      <c r="A2504" s="45" t="s">
        <v>2105</v>
      </c>
      <c r="B2504" s="50"/>
      <c r="C2504" s="49"/>
      <c r="D2504" s="49"/>
      <c r="E2504" s="49"/>
      <c r="F2504" s="50"/>
      <c r="G2504" s="50"/>
      <c r="H2504" s="46"/>
      <c r="I2504" s="109"/>
      <c r="J2504" s="212"/>
      <c r="K2504" s="56"/>
      <c r="L2504" s="100"/>
      <c r="M2504" s="100"/>
      <c r="N2504" s="49"/>
      <c r="O2504" s="49"/>
      <c r="P2504" s="49"/>
      <c r="Q2504" s="49"/>
      <c r="R2504" s="49"/>
      <c r="S2504" s="47"/>
      <c r="T2504" s="47"/>
      <c r="U2504" s="48"/>
      <c r="V2504" s="48"/>
      <c r="W2504" s="74"/>
      <c r="X2504" s="81"/>
      <c r="Y2504" s="132"/>
      <c r="Z2504" s="50"/>
      <c r="AA2504" s="173"/>
      <c r="AB2504" s="173"/>
      <c r="AC2504" s="137"/>
      <c r="AD2504" s="137"/>
      <c r="AE2504" s="83"/>
      <c r="AF2504" s="47"/>
      <c r="AG2504" s="47"/>
      <c r="AH2504" s="47"/>
      <c r="AI2504" s="47"/>
      <c r="AJ2504" s="47"/>
      <c r="AK2504" s="47"/>
    </row>
    <row r="2505" spans="1:37" ht="15.45" customHeight="1" x14ac:dyDescent="0.25">
      <c r="A2505" s="29" t="s">
        <v>5077</v>
      </c>
      <c r="C2505" s="37" t="s">
        <v>2150</v>
      </c>
      <c r="E2505" s="37" t="s">
        <v>2830</v>
      </c>
      <c r="F2505" s="24" t="s">
        <v>2246</v>
      </c>
      <c r="J2505" s="214" t="s">
        <v>5082</v>
      </c>
      <c r="S2505" s="10" t="s">
        <v>2980</v>
      </c>
      <c r="U2505" s="22">
        <v>3</v>
      </c>
      <c r="V2505" s="22">
        <v>3</v>
      </c>
      <c r="W2505" s="73">
        <f t="shared" ref="W2505:W2553" si="136">W2504+V2505</f>
        <v>3</v>
      </c>
      <c r="X2505" s="80">
        <f>V2505+X2503</f>
        <v>6116</v>
      </c>
      <c r="Y2505" s="82" t="s">
        <v>3584</v>
      </c>
    </row>
    <row r="2506" spans="1:37" ht="15.45" customHeight="1" x14ac:dyDescent="0.25">
      <c r="A2506" s="29" t="s">
        <v>5079</v>
      </c>
      <c r="C2506" s="37" t="s">
        <v>2150</v>
      </c>
      <c r="E2506" s="37" t="s">
        <v>2830</v>
      </c>
      <c r="F2506" s="24" t="s">
        <v>2246</v>
      </c>
      <c r="H2506" s="38" t="s">
        <v>4048</v>
      </c>
      <c r="J2506" s="214" t="s">
        <v>5080</v>
      </c>
      <c r="K2506" s="10" t="s">
        <v>5081</v>
      </c>
      <c r="P2506" s="37" t="s">
        <v>4049</v>
      </c>
      <c r="S2506" s="10" t="s">
        <v>2980</v>
      </c>
      <c r="U2506" s="22">
        <v>1</v>
      </c>
      <c r="V2506" s="22">
        <v>1</v>
      </c>
      <c r="W2506" s="73">
        <f t="shared" si="136"/>
        <v>4</v>
      </c>
      <c r="X2506" s="80">
        <f t="shared" ref="X2506:X2553" si="137">V2506+X2505</f>
        <v>6117</v>
      </c>
      <c r="Y2506" s="82" t="s">
        <v>3584</v>
      </c>
    </row>
    <row r="2507" spans="1:37" ht="15.45" customHeight="1" x14ac:dyDescent="0.25">
      <c r="A2507" s="29" t="s">
        <v>5083</v>
      </c>
      <c r="B2507" s="24" t="s">
        <v>5078</v>
      </c>
      <c r="C2507" s="37" t="s">
        <v>2150</v>
      </c>
      <c r="E2507" s="37" t="s">
        <v>2830</v>
      </c>
      <c r="F2507" s="24" t="s">
        <v>2246</v>
      </c>
      <c r="Q2507" s="37" t="s">
        <v>3506</v>
      </c>
      <c r="S2507" s="10" t="s">
        <v>2981</v>
      </c>
      <c r="T2507" s="10" t="s">
        <v>5084</v>
      </c>
      <c r="U2507" s="22">
        <v>1</v>
      </c>
      <c r="V2507" s="22">
        <v>1</v>
      </c>
      <c r="W2507" s="73">
        <f t="shared" si="136"/>
        <v>5</v>
      </c>
      <c r="X2507" s="80">
        <f t="shared" si="137"/>
        <v>6118</v>
      </c>
      <c r="Y2507" s="82" t="s">
        <v>3584</v>
      </c>
      <c r="AB2507" s="177">
        <v>42078</v>
      </c>
      <c r="AC2507" s="84" t="s">
        <v>2885</v>
      </c>
    </row>
    <row r="2508" spans="1:37" ht="15.45" customHeight="1" x14ac:dyDescent="0.25">
      <c r="A2508" s="29" t="s">
        <v>5083</v>
      </c>
      <c r="B2508" s="24" t="s">
        <v>5078</v>
      </c>
      <c r="S2508" s="10" t="s">
        <v>2982</v>
      </c>
      <c r="T2508" s="10" t="s">
        <v>5085</v>
      </c>
      <c r="U2508" s="22">
        <v>1</v>
      </c>
      <c r="V2508" s="22">
        <v>1</v>
      </c>
      <c r="W2508" s="73">
        <f t="shared" si="136"/>
        <v>6</v>
      </c>
      <c r="X2508" s="80">
        <f t="shared" si="137"/>
        <v>6119</v>
      </c>
      <c r="Y2508" s="82" t="s">
        <v>3584</v>
      </c>
      <c r="AB2508" s="177">
        <v>42078</v>
      </c>
      <c r="AC2508" s="84" t="s">
        <v>2885</v>
      </c>
    </row>
    <row r="2509" spans="1:37" ht="15.45" customHeight="1" x14ac:dyDescent="0.25">
      <c r="A2509" s="29" t="s">
        <v>318</v>
      </c>
      <c r="C2509" s="37" t="s">
        <v>2150</v>
      </c>
      <c r="E2509" s="37" t="s">
        <v>2830</v>
      </c>
      <c r="F2509" s="24" t="s">
        <v>2246</v>
      </c>
      <c r="U2509" s="22">
        <v>1</v>
      </c>
      <c r="V2509" s="22">
        <v>1</v>
      </c>
      <c r="W2509" s="73">
        <f t="shared" si="136"/>
        <v>7</v>
      </c>
      <c r="X2509" s="80">
        <f t="shared" si="137"/>
        <v>6120</v>
      </c>
      <c r="Y2509" s="82" t="s">
        <v>3584</v>
      </c>
    </row>
    <row r="2510" spans="1:37" ht="15.45" customHeight="1" x14ac:dyDescent="0.25">
      <c r="A2510" s="29" t="s">
        <v>4220</v>
      </c>
      <c r="C2510" s="37" t="s">
        <v>2150</v>
      </c>
      <c r="E2510" s="37" t="s">
        <v>2830</v>
      </c>
      <c r="F2510" s="24" t="s">
        <v>2246</v>
      </c>
      <c r="S2510" s="10" t="s">
        <v>2981</v>
      </c>
      <c r="T2510" s="10" t="s">
        <v>4221</v>
      </c>
      <c r="U2510" s="22">
        <v>1</v>
      </c>
      <c r="V2510" s="22">
        <v>1</v>
      </c>
      <c r="W2510" s="73">
        <f t="shared" si="136"/>
        <v>8</v>
      </c>
      <c r="X2510" s="80">
        <f t="shared" si="137"/>
        <v>6121</v>
      </c>
      <c r="Y2510" s="82" t="s">
        <v>3584</v>
      </c>
    </row>
    <row r="2511" spans="1:37" ht="15.45" customHeight="1" x14ac:dyDescent="0.25">
      <c r="A2511" s="29" t="s">
        <v>2161</v>
      </c>
      <c r="C2511" s="37" t="s">
        <v>2150</v>
      </c>
      <c r="E2511" s="37" t="s">
        <v>2830</v>
      </c>
      <c r="F2511" s="24" t="s">
        <v>2246</v>
      </c>
      <c r="U2511" s="22">
        <v>4</v>
      </c>
      <c r="V2511" s="22">
        <v>4</v>
      </c>
      <c r="W2511" s="73">
        <f t="shared" si="136"/>
        <v>12</v>
      </c>
      <c r="X2511" s="80">
        <f t="shared" si="137"/>
        <v>6125</v>
      </c>
      <c r="Y2511" s="82" t="s">
        <v>3584</v>
      </c>
      <c r="AB2511" s="177">
        <v>42078</v>
      </c>
      <c r="AC2511" s="84" t="s">
        <v>2885</v>
      </c>
      <c r="AH2511" s="10" t="s">
        <v>4196</v>
      </c>
      <c r="AI2511" s="10" t="s">
        <v>2750</v>
      </c>
    </row>
    <row r="2512" spans="1:37" ht="15.45" customHeight="1" x14ac:dyDescent="0.25">
      <c r="A2512" s="29" t="s">
        <v>2159</v>
      </c>
      <c r="B2512" s="24" t="s">
        <v>2169</v>
      </c>
      <c r="C2512" s="37" t="s">
        <v>2150</v>
      </c>
      <c r="E2512" s="37" t="s">
        <v>2830</v>
      </c>
      <c r="F2512" s="24" t="s">
        <v>2246</v>
      </c>
      <c r="H2512" s="38" t="s">
        <v>5076</v>
      </c>
      <c r="J2512" s="219"/>
      <c r="N2512" s="151"/>
      <c r="O2512" s="151"/>
      <c r="S2512" s="10" t="s">
        <v>2981</v>
      </c>
      <c r="T2512" s="10" t="s">
        <v>2793</v>
      </c>
      <c r="U2512" s="22">
        <v>2</v>
      </c>
      <c r="V2512" s="22">
        <v>2</v>
      </c>
      <c r="W2512" s="73">
        <f t="shared" si="136"/>
        <v>14</v>
      </c>
      <c r="X2512" s="80">
        <f t="shared" si="137"/>
        <v>6127</v>
      </c>
      <c r="Y2512" s="82" t="s">
        <v>3592</v>
      </c>
      <c r="Z2512" s="26" t="s">
        <v>2884</v>
      </c>
      <c r="AA2512" s="183"/>
      <c r="AB2512" s="183"/>
      <c r="AC2512" s="88"/>
      <c r="AD2512" s="88"/>
    </row>
    <row r="2513" spans="1:38" ht="15.45" customHeight="1" x14ac:dyDescent="0.25">
      <c r="A2513" s="29" t="s">
        <v>3528</v>
      </c>
      <c r="B2513" s="24" t="s">
        <v>3529</v>
      </c>
      <c r="C2513" s="37" t="s">
        <v>2150</v>
      </c>
      <c r="E2513" s="37" t="s">
        <v>2830</v>
      </c>
      <c r="F2513" s="24" t="s">
        <v>2246</v>
      </c>
      <c r="H2513" s="38" t="s">
        <v>3530</v>
      </c>
      <c r="J2513" s="219"/>
      <c r="N2513" s="151"/>
      <c r="O2513" s="151"/>
      <c r="S2513" s="10" t="s">
        <v>3412</v>
      </c>
      <c r="U2513" s="22">
        <v>1</v>
      </c>
      <c r="V2513" s="22">
        <v>4</v>
      </c>
      <c r="W2513" s="73">
        <f t="shared" si="136"/>
        <v>18</v>
      </c>
      <c r="X2513" s="80">
        <f t="shared" si="137"/>
        <v>6131</v>
      </c>
      <c r="Y2513" s="82" t="s">
        <v>3592</v>
      </c>
      <c r="Z2513" s="26" t="s">
        <v>2884</v>
      </c>
      <c r="AA2513" s="183"/>
      <c r="AB2513" s="183"/>
      <c r="AC2513" s="88"/>
      <c r="AD2513" s="88"/>
    </row>
    <row r="2514" spans="1:38" ht="15.45" customHeight="1" x14ac:dyDescent="0.25">
      <c r="A2514" s="29" t="s">
        <v>4198</v>
      </c>
      <c r="B2514" s="24" t="s">
        <v>295</v>
      </c>
      <c r="C2514" s="37" t="s">
        <v>2150</v>
      </c>
      <c r="E2514" s="37" t="s">
        <v>2830</v>
      </c>
      <c r="F2514" s="24" t="s">
        <v>2252</v>
      </c>
      <c r="G2514" s="28"/>
      <c r="H2514" s="38" t="s">
        <v>4777</v>
      </c>
      <c r="J2514" s="219" t="s">
        <v>3691</v>
      </c>
      <c r="K2514" s="10" t="s">
        <v>3717</v>
      </c>
      <c r="N2514" s="151"/>
      <c r="O2514" s="151"/>
      <c r="S2514" s="10" t="s">
        <v>3412</v>
      </c>
      <c r="T2514" s="10" t="s">
        <v>2751</v>
      </c>
      <c r="U2514" s="21">
        <v>1</v>
      </c>
      <c r="V2514" s="21">
        <v>1</v>
      </c>
      <c r="W2514" s="73">
        <f t="shared" si="136"/>
        <v>19</v>
      </c>
      <c r="X2514" s="80">
        <f t="shared" si="137"/>
        <v>6132</v>
      </c>
      <c r="Y2514" s="82" t="s">
        <v>3584</v>
      </c>
      <c r="AA2514" s="183"/>
      <c r="AB2514" s="183"/>
      <c r="AC2514" s="88"/>
      <c r="AD2514" s="88"/>
      <c r="AH2514" s="10" t="s">
        <v>4196</v>
      </c>
      <c r="AI2514" s="10" t="s">
        <v>2749</v>
      </c>
    </row>
    <row r="2515" spans="1:38" ht="15.45" customHeight="1" x14ac:dyDescent="0.25">
      <c r="A2515" s="29" t="s">
        <v>5065</v>
      </c>
      <c r="B2515" s="24" t="s">
        <v>2166</v>
      </c>
      <c r="C2515" s="37" t="s">
        <v>2150</v>
      </c>
      <c r="E2515" s="37" t="s">
        <v>2830</v>
      </c>
      <c r="F2515" s="24" t="s">
        <v>2246</v>
      </c>
      <c r="H2515" s="38" t="s">
        <v>6153</v>
      </c>
      <c r="J2515" s="219" t="s">
        <v>3718</v>
      </c>
      <c r="K2515" s="10" t="s">
        <v>3719</v>
      </c>
      <c r="S2515" s="10" t="s">
        <v>3412</v>
      </c>
      <c r="T2515" s="10" t="s">
        <v>2752</v>
      </c>
      <c r="U2515" s="22">
        <v>1</v>
      </c>
      <c r="V2515" s="22">
        <v>2</v>
      </c>
      <c r="W2515" s="73">
        <f t="shared" si="136"/>
        <v>21</v>
      </c>
      <c r="X2515" s="80">
        <f t="shared" si="137"/>
        <v>6134</v>
      </c>
      <c r="Y2515" s="82" t="s">
        <v>3591</v>
      </c>
      <c r="Z2515" s="24" t="s">
        <v>4142</v>
      </c>
      <c r="AI2515" s="10" t="s">
        <v>2549</v>
      </c>
    </row>
    <row r="2516" spans="1:38" ht="15.45" customHeight="1" x14ac:dyDescent="0.25">
      <c r="A2516" s="29" t="s">
        <v>6233</v>
      </c>
      <c r="B2516" s="24" t="s">
        <v>7244</v>
      </c>
      <c r="C2516" s="37" t="s">
        <v>2150</v>
      </c>
      <c r="E2516" s="37" t="s">
        <v>2830</v>
      </c>
      <c r="F2516" s="24" t="s">
        <v>2246</v>
      </c>
      <c r="H2516" s="38" t="s">
        <v>7243</v>
      </c>
      <c r="J2516" s="214" t="s">
        <v>3690</v>
      </c>
      <c r="K2516" s="10" t="s">
        <v>3685</v>
      </c>
      <c r="Q2516" s="37" t="s">
        <v>6235</v>
      </c>
      <c r="R2516" s="37" t="s">
        <v>1811</v>
      </c>
      <c r="S2516" s="10" t="s">
        <v>3412</v>
      </c>
      <c r="T2516" s="10" t="s">
        <v>2755</v>
      </c>
      <c r="U2516" s="22">
        <v>1</v>
      </c>
      <c r="V2516" s="22">
        <v>2</v>
      </c>
      <c r="W2516" s="73">
        <f t="shared" si="136"/>
        <v>23</v>
      </c>
      <c r="X2516" s="80">
        <f t="shared" si="137"/>
        <v>6136</v>
      </c>
      <c r="Y2516" s="82" t="s">
        <v>3584</v>
      </c>
      <c r="AH2516" s="10" t="s">
        <v>5222</v>
      </c>
    </row>
    <row r="2517" spans="1:38" ht="15.45" customHeight="1" x14ac:dyDescent="0.25">
      <c r="A2517" s="29" t="s">
        <v>6234</v>
      </c>
      <c r="B2517" s="24" t="s">
        <v>7244</v>
      </c>
      <c r="C2517" s="37" t="s">
        <v>2150</v>
      </c>
      <c r="E2517" s="37" t="s">
        <v>2830</v>
      </c>
      <c r="F2517" s="24" t="s">
        <v>2246</v>
      </c>
      <c r="H2517" s="38" t="s">
        <v>7245</v>
      </c>
      <c r="J2517" s="214" t="s">
        <v>3690</v>
      </c>
      <c r="K2517" s="10" t="s">
        <v>3685</v>
      </c>
      <c r="Q2517" s="37" t="s">
        <v>6235</v>
      </c>
      <c r="R2517" s="37" t="s">
        <v>1811</v>
      </c>
      <c r="S2517" s="10" t="s">
        <v>3412</v>
      </c>
      <c r="T2517" s="10" t="s">
        <v>2756</v>
      </c>
      <c r="U2517" s="22">
        <v>8</v>
      </c>
      <c r="V2517" s="22">
        <v>24</v>
      </c>
      <c r="W2517" s="73">
        <f t="shared" si="136"/>
        <v>47</v>
      </c>
      <c r="X2517" s="80">
        <f t="shared" si="137"/>
        <v>6160</v>
      </c>
      <c r="Y2517" s="82" t="s">
        <v>3584</v>
      </c>
      <c r="AH2517" s="10" t="s">
        <v>5222</v>
      </c>
    </row>
    <row r="2518" spans="1:38" ht="15.45" customHeight="1" x14ac:dyDescent="0.25">
      <c r="A2518" s="29" t="s">
        <v>5066</v>
      </c>
      <c r="B2518" s="24" t="s">
        <v>2165</v>
      </c>
      <c r="C2518" s="37" t="s">
        <v>2150</v>
      </c>
      <c r="E2518" s="37" t="s">
        <v>2830</v>
      </c>
      <c r="F2518" s="24" t="s">
        <v>2247</v>
      </c>
      <c r="P2518" s="37" t="s">
        <v>71</v>
      </c>
      <c r="S2518" s="10" t="s">
        <v>2980</v>
      </c>
      <c r="T2518" s="10" t="s">
        <v>2754</v>
      </c>
      <c r="U2518" s="22">
        <v>1</v>
      </c>
      <c r="V2518" s="22">
        <v>1</v>
      </c>
      <c r="W2518" s="73">
        <f t="shared" si="136"/>
        <v>48</v>
      </c>
      <c r="X2518" s="80">
        <f t="shared" si="137"/>
        <v>6161</v>
      </c>
      <c r="Y2518" s="82" t="s">
        <v>3591</v>
      </c>
      <c r="Z2518" s="24" t="s">
        <v>140</v>
      </c>
    </row>
    <row r="2519" spans="1:38" ht="15.45" customHeight="1" x14ac:dyDescent="0.25">
      <c r="A2519" s="29" t="s">
        <v>5067</v>
      </c>
      <c r="B2519" s="24" t="s">
        <v>2164</v>
      </c>
      <c r="C2519" s="37" t="s">
        <v>2150</v>
      </c>
      <c r="E2519" s="37" t="s">
        <v>2830</v>
      </c>
      <c r="F2519" s="24" t="s">
        <v>2246</v>
      </c>
      <c r="S2519" s="10" t="s">
        <v>2983</v>
      </c>
      <c r="T2519" s="10" t="s">
        <v>5060</v>
      </c>
      <c r="U2519" s="22">
        <v>1</v>
      </c>
      <c r="V2519" s="22">
        <v>1</v>
      </c>
      <c r="W2519" s="73">
        <f t="shared" si="136"/>
        <v>49</v>
      </c>
      <c r="X2519" s="80">
        <f t="shared" si="137"/>
        <v>6162</v>
      </c>
      <c r="Y2519" s="82" t="s">
        <v>3591</v>
      </c>
      <c r="Z2519" s="24" t="s">
        <v>2079</v>
      </c>
    </row>
    <row r="2520" spans="1:38" ht="15.45" customHeight="1" x14ac:dyDescent="0.25">
      <c r="A2520" s="29" t="s">
        <v>6127</v>
      </c>
      <c r="B2520" s="24" t="s">
        <v>2163</v>
      </c>
      <c r="C2520" s="37" t="s">
        <v>2150</v>
      </c>
      <c r="E2520" s="37" t="s">
        <v>2830</v>
      </c>
      <c r="F2520" s="24" t="s">
        <v>2246</v>
      </c>
      <c r="J2520" s="214" t="s">
        <v>3691</v>
      </c>
      <c r="K2520" s="10" t="s">
        <v>3717</v>
      </c>
      <c r="P2520" s="37" t="s">
        <v>3531</v>
      </c>
      <c r="S2520" s="10" t="s">
        <v>2983</v>
      </c>
      <c r="T2520" s="10" t="s">
        <v>2753</v>
      </c>
      <c r="U2520" s="22">
        <v>1</v>
      </c>
      <c r="V2520" s="22">
        <v>2</v>
      </c>
      <c r="W2520" s="73">
        <f t="shared" si="136"/>
        <v>51</v>
      </c>
      <c r="X2520" s="80">
        <f t="shared" si="137"/>
        <v>6164</v>
      </c>
      <c r="Y2520" s="82" t="s">
        <v>3584</v>
      </c>
    </row>
    <row r="2521" spans="1:38" ht="15.45" customHeight="1" x14ac:dyDescent="0.25">
      <c r="A2521" s="29" t="s">
        <v>6128</v>
      </c>
      <c r="B2521" s="24" t="s">
        <v>6130</v>
      </c>
      <c r="C2521" s="37" t="s">
        <v>2150</v>
      </c>
      <c r="E2521" s="37" t="s">
        <v>2830</v>
      </c>
      <c r="F2521" s="24" t="s">
        <v>2119</v>
      </c>
      <c r="H2521" s="201" t="s">
        <v>6129</v>
      </c>
      <c r="J2521" s="214" t="s">
        <v>6122</v>
      </c>
      <c r="O2521" s="37" t="s">
        <v>6131</v>
      </c>
      <c r="P2521" s="37" t="s">
        <v>5472</v>
      </c>
      <c r="S2521" s="10" t="s">
        <v>3412</v>
      </c>
      <c r="U2521" s="22">
        <v>2</v>
      </c>
      <c r="V2521" s="22">
        <v>2</v>
      </c>
      <c r="W2521" s="73">
        <f t="shared" si="136"/>
        <v>53</v>
      </c>
      <c r="X2521" s="80">
        <f t="shared" si="137"/>
        <v>6166</v>
      </c>
      <c r="Y2521" s="82" t="s">
        <v>3591</v>
      </c>
      <c r="Z2521" s="24" t="s">
        <v>2885</v>
      </c>
      <c r="AB2521" s="177">
        <v>44479</v>
      </c>
      <c r="AC2521" s="84" t="s">
        <v>5308</v>
      </c>
    </row>
    <row r="2522" spans="1:38" ht="15.45" customHeight="1" x14ac:dyDescent="0.25">
      <c r="A2522" s="29" t="s">
        <v>5068</v>
      </c>
      <c r="B2522" s="24" t="s">
        <v>2167</v>
      </c>
      <c r="C2522" s="37" t="s">
        <v>2150</v>
      </c>
      <c r="E2522" s="37" t="s">
        <v>2925</v>
      </c>
      <c r="F2522" s="24" t="s">
        <v>2247</v>
      </c>
      <c r="P2522" s="37" t="s">
        <v>1463</v>
      </c>
      <c r="Q2522" s="37" t="s">
        <v>4150</v>
      </c>
      <c r="S2522" s="10" t="s">
        <v>3436</v>
      </c>
      <c r="U2522" s="22">
        <v>1</v>
      </c>
      <c r="V2522" s="22">
        <v>2</v>
      </c>
      <c r="W2522" s="73">
        <f t="shared" si="136"/>
        <v>55</v>
      </c>
      <c r="X2522" s="80">
        <f t="shared" si="137"/>
        <v>6168</v>
      </c>
      <c r="Y2522" s="82" t="s">
        <v>3584</v>
      </c>
    </row>
    <row r="2523" spans="1:38" ht="15.45" customHeight="1" x14ac:dyDescent="0.25">
      <c r="A2523" s="29" t="s">
        <v>6032</v>
      </c>
      <c r="B2523" s="24" t="s">
        <v>5053</v>
      </c>
      <c r="C2523" s="37" t="s">
        <v>2150</v>
      </c>
      <c r="E2523" s="37" t="s">
        <v>2925</v>
      </c>
      <c r="F2523" s="24" t="s">
        <v>2247</v>
      </c>
      <c r="H2523" s="38" t="s">
        <v>5057</v>
      </c>
      <c r="J2523" s="215">
        <v>1979</v>
      </c>
      <c r="P2523" s="37" t="s">
        <v>5058</v>
      </c>
      <c r="S2523" s="10" t="s">
        <v>3436</v>
      </c>
      <c r="U2523" s="22">
        <v>2</v>
      </c>
      <c r="V2523" s="22">
        <v>4</v>
      </c>
      <c r="W2523" s="73">
        <f t="shared" si="136"/>
        <v>59</v>
      </c>
      <c r="X2523" s="80">
        <f t="shared" si="137"/>
        <v>6172</v>
      </c>
      <c r="Y2523" s="82" t="s">
        <v>3591</v>
      </c>
      <c r="Z2523" s="24" t="s">
        <v>2885</v>
      </c>
      <c r="AB2523" s="177">
        <v>42430</v>
      </c>
      <c r="AC2523" s="84" t="s">
        <v>2885</v>
      </c>
    </row>
    <row r="2524" spans="1:38" ht="15.45" customHeight="1" x14ac:dyDescent="0.25">
      <c r="A2524" s="29" t="s">
        <v>5069</v>
      </c>
      <c r="B2524" s="24" t="s">
        <v>5053</v>
      </c>
      <c r="C2524" s="37" t="s">
        <v>2150</v>
      </c>
      <c r="E2524" s="37" t="s">
        <v>2925</v>
      </c>
      <c r="F2524" s="24" t="s">
        <v>2247</v>
      </c>
      <c r="H2524" s="38" t="s">
        <v>5057</v>
      </c>
      <c r="J2524" s="215">
        <v>1979</v>
      </c>
      <c r="P2524" s="37" t="s">
        <v>5058</v>
      </c>
      <c r="S2524" s="10" t="s">
        <v>2983</v>
      </c>
      <c r="U2524" s="22">
        <v>1</v>
      </c>
      <c r="V2524" s="22">
        <v>1</v>
      </c>
      <c r="W2524" s="73">
        <f t="shared" si="136"/>
        <v>60</v>
      </c>
      <c r="X2524" s="80">
        <f t="shared" si="137"/>
        <v>6173</v>
      </c>
      <c r="Y2524" s="82" t="s">
        <v>3591</v>
      </c>
      <c r="Z2524" s="24" t="s">
        <v>2885</v>
      </c>
      <c r="AB2524" s="177">
        <v>42430</v>
      </c>
      <c r="AC2524" s="84" t="s">
        <v>2885</v>
      </c>
    </row>
    <row r="2525" spans="1:38" ht="15.45" customHeight="1" x14ac:dyDescent="0.25">
      <c r="A2525" s="29" t="s">
        <v>5056</v>
      </c>
      <c r="B2525" s="24" t="s">
        <v>5053</v>
      </c>
      <c r="C2525" s="37" t="s">
        <v>2150</v>
      </c>
      <c r="E2525" s="37" t="s">
        <v>2925</v>
      </c>
      <c r="F2525" s="24" t="s">
        <v>2247</v>
      </c>
      <c r="H2525" s="38" t="s">
        <v>5057</v>
      </c>
      <c r="J2525" s="215">
        <v>1979</v>
      </c>
      <c r="P2525" s="37" t="s">
        <v>5058</v>
      </c>
      <c r="S2525" s="10" t="s">
        <v>3436</v>
      </c>
      <c r="U2525" s="22">
        <v>2</v>
      </c>
      <c r="V2525" s="22">
        <v>2</v>
      </c>
      <c r="W2525" s="73">
        <f t="shared" si="136"/>
        <v>62</v>
      </c>
      <c r="X2525" s="80">
        <f t="shared" si="137"/>
        <v>6175</v>
      </c>
      <c r="Y2525" s="82" t="s">
        <v>3591</v>
      </c>
      <c r="Z2525" s="24" t="s">
        <v>2885</v>
      </c>
      <c r="AB2525" s="177">
        <v>42430</v>
      </c>
      <c r="AC2525" s="84" t="s">
        <v>2885</v>
      </c>
    </row>
    <row r="2526" spans="1:38" ht="15.45" customHeight="1" x14ac:dyDescent="0.25">
      <c r="A2526" s="29" t="s">
        <v>5070</v>
      </c>
      <c r="B2526" s="24" t="s">
        <v>5053</v>
      </c>
      <c r="C2526" s="37" t="s">
        <v>2150</v>
      </c>
      <c r="E2526" s="37" t="s">
        <v>2925</v>
      </c>
      <c r="F2526" s="24" t="s">
        <v>2120</v>
      </c>
      <c r="H2526" s="38" t="s">
        <v>5057</v>
      </c>
      <c r="J2526" s="215">
        <v>1979</v>
      </c>
      <c r="P2526" s="37" t="s">
        <v>5058</v>
      </c>
      <c r="S2526" s="10" t="s">
        <v>3412</v>
      </c>
      <c r="U2526" s="22">
        <v>2</v>
      </c>
      <c r="V2526" s="22">
        <v>2</v>
      </c>
      <c r="W2526" s="73">
        <f t="shared" si="136"/>
        <v>64</v>
      </c>
      <c r="X2526" s="80">
        <f t="shared" si="137"/>
        <v>6177</v>
      </c>
      <c r="Y2526" s="82" t="s">
        <v>3591</v>
      </c>
      <c r="Z2526" s="24" t="s">
        <v>2885</v>
      </c>
      <c r="AB2526" s="177">
        <v>42430</v>
      </c>
      <c r="AC2526" s="84" t="s">
        <v>2885</v>
      </c>
    </row>
    <row r="2527" spans="1:38" ht="15.45" customHeight="1" x14ac:dyDescent="0.25">
      <c r="A2527" s="29" t="s">
        <v>5071</v>
      </c>
      <c r="B2527" s="24" t="s">
        <v>1786</v>
      </c>
      <c r="C2527" s="37" t="s">
        <v>2150</v>
      </c>
      <c r="E2527" s="37" t="s">
        <v>2830</v>
      </c>
      <c r="F2527" s="24" t="s">
        <v>2246</v>
      </c>
      <c r="H2527" s="38" t="s">
        <v>6154</v>
      </c>
      <c r="J2527" s="214" t="s">
        <v>5177</v>
      </c>
      <c r="K2527" s="10" t="s">
        <v>4042</v>
      </c>
      <c r="S2527" s="10" t="s">
        <v>3412</v>
      </c>
      <c r="T2527" s="10" t="s">
        <v>4197</v>
      </c>
      <c r="U2527" s="22">
        <v>1</v>
      </c>
      <c r="V2527" s="22">
        <v>2</v>
      </c>
      <c r="W2527" s="73">
        <f t="shared" si="136"/>
        <v>66</v>
      </c>
      <c r="X2527" s="80">
        <f t="shared" si="137"/>
        <v>6179</v>
      </c>
      <c r="Y2527" s="82" t="s">
        <v>3584</v>
      </c>
      <c r="AJ2527" s="127">
        <v>43215</v>
      </c>
      <c r="AK2527" s="10" t="s">
        <v>4196</v>
      </c>
      <c r="AL2527" t="s">
        <v>6155</v>
      </c>
    </row>
    <row r="2528" spans="1:38" ht="15.45" customHeight="1" x14ac:dyDescent="0.25">
      <c r="A2528" s="29" t="s">
        <v>5054</v>
      </c>
      <c r="B2528" s="24" t="s">
        <v>1786</v>
      </c>
      <c r="C2528" s="37" t="s">
        <v>2150</v>
      </c>
      <c r="E2528" s="37" t="s">
        <v>2830</v>
      </c>
      <c r="F2528" s="24" t="s">
        <v>2246</v>
      </c>
      <c r="H2528" s="38" t="s">
        <v>5199</v>
      </c>
      <c r="J2528" s="214" t="s">
        <v>5177</v>
      </c>
      <c r="K2528" s="10" t="s">
        <v>5164</v>
      </c>
      <c r="U2528" s="22">
        <v>10</v>
      </c>
      <c r="V2528" s="22">
        <v>10</v>
      </c>
      <c r="W2528" s="73">
        <f t="shared" si="136"/>
        <v>76</v>
      </c>
      <c r="X2528" s="80">
        <f t="shared" si="137"/>
        <v>6189</v>
      </c>
      <c r="Y2528" s="82" t="s">
        <v>3584</v>
      </c>
    </row>
    <row r="2529" spans="1:37" ht="15.45" customHeight="1" x14ac:dyDescent="0.25">
      <c r="A2529" s="29" t="s">
        <v>3727</v>
      </c>
      <c r="B2529" s="24" t="s">
        <v>1786</v>
      </c>
      <c r="C2529" s="37" t="s">
        <v>2150</v>
      </c>
      <c r="E2529" s="37" t="s">
        <v>2830</v>
      </c>
      <c r="F2529" s="24" t="s">
        <v>2246</v>
      </c>
      <c r="J2529" s="219"/>
      <c r="N2529" s="151"/>
      <c r="O2529" s="151"/>
      <c r="P2529" s="37" t="s">
        <v>2014</v>
      </c>
      <c r="U2529" s="21">
        <v>1</v>
      </c>
      <c r="V2529" s="21">
        <v>1</v>
      </c>
      <c r="W2529" s="73">
        <f t="shared" si="136"/>
        <v>77</v>
      </c>
      <c r="X2529" s="80">
        <f t="shared" si="137"/>
        <v>6190</v>
      </c>
      <c r="Y2529" s="82" t="s">
        <v>3584</v>
      </c>
      <c r="AA2529" s="183"/>
      <c r="AB2529" s="183"/>
      <c r="AC2529" s="88"/>
      <c r="AD2529" s="88"/>
    </row>
    <row r="2530" spans="1:37" ht="15.45" customHeight="1" x14ac:dyDescent="0.25">
      <c r="A2530" s="29" t="s">
        <v>5072</v>
      </c>
      <c r="B2530" s="24" t="s">
        <v>4218</v>
      </c>
      <c r="C2530" s="37" t="s">
        <v>2150</v>
      </c>
      <c r="E2530" s="37" t="s">
        <v>2830</v>
      </c>
      <c r="F2530" s="24" t="s">
        <v>2246</v>
      </c>
      <c r="H2530" s="38" t="s">
        <v>4219</v>
      </c>
      <c r="S2530" s="10" t="s">
        <v>2757</v>
      </c>
      <c r="U2530" s="22">
        <v>1</v>
      </c>
      <c r="V2530" s="22">
        <v>2</v>
      </c>
      <c r="W2530" s="73">
        <f t="shared" si="136"/>
        <v>79</v>
      </c>
      <c r="X2530" s="80">
        <f t="shared" si="137"/>
        <v>6192</v>
      </c>
      <c r="Y2530" s="82" t="s">
        <v>3584</v>
      </c>
      <c r="AB2530" s="177">
        <v>43243</v>
      </c>
      <c r="AC2530" s="84" t="s">
        <v>2885</v>
      </c>
    </row>
    <row r="2531" spans="1:37" ht="15.45" customHeight="1" x14ac:dyDescent="0.25">
      <c r="A2531" s="29" t="s">
        <v>5073</v>
      </c>
      <c r="B2531" s="24" t="s">
        <v>4288</v>
      </c>
      <c r="C2531" s="37" t="s">
        <v>2150</v>
      </c>
      <c r="E2531" s="37" t="s">
        <v>2925</v>
      </c>
      <c r="F2531" s="24" t="s">
        <v>2246</v>
      </c>
      <c r="H2531" s="38" t="s">
        <v>4294</v>
      </c>
      <c r="J2531" s="215">
        <v>2006</v>
      </c>
      <c r="P2531" s="37" t="s">
        <v>4293</v>
      </c>
      <c r="Q2531" s="37" t="s">
        <v>3506</v>
      </c>
      <c r="S2531" s="10" t="s">
        <v>3412</v>
      </c>
      <c r="T2531" s="10" t="s">
        <v>4289</v>
      </c>
      <c r="U2531" s="22">
        <v>1</v>
      </c>
      <c r="V2531" s="22">
        <v>2</v>
      </c>
      <c r="W2531" s="73">
        <f t="shared" si="136"/>
        <v>81</v>
      </c>
      <c r="X2531" s="80">
        <f t="shared" si="137"/>
        <v>6194</v>
      </c>
      <c r="Y2531" s="82" t="s">
        <v>3591</v>
      </c>
      <c r="Z2531" s="24" t="s">
        <v>4290</v>
      </c>
      <c r="AB2531" s="177">
        <v>43273</v>
      </c>
      <c r="AC2531" s="84" t="s">
        <v>2885</v>
      </c>
      <c r="AF2531" s="10" t="s">
        <v>2945</v>
      </c>
      <c r="AG2531" s="161">
        <v>43252</v>
      </c>
      <c r="AH2531" s="10" t="s">
        <v>4196</v>
      </c>
      <c r="AI2531" s="10" t="s">
        <v>2946</v>
      </c>
      <c r="AJ2531" s="161">
        <v>43252</v>
      </c>
      <c r="AK2531" s="10" t="s">
        <v>4196</v>
      </c>
    </row>
    <row r="2532" spans="1:37" ht="15.45" customHeight="1" x14ac:dyDescent="0.25">
      <c r="A2532" s="29" t="s">
        <v>6344</v>
      </c>
      <c r="B2532" s="24" t="s">
        <v>6136</v>
      </c>
      <c r="C2532" s="37" t="s">
        <v>2150</v>
      </c>
      <c r="E2532" s="37" t="s">
        <v>2925</v>
      </c>
      <c r="F2532" s="24" t="s">
        <v>2246</v>
      </c>
      <c r="H2532" s="201" t="s">
        <v>6139</v>
      </c>
      <c r="J2532" s="215">
        <v>1981</v>
      </c>
      <c r="O2532" s="37" t="s">
        <v>6137</v>
      </c>
      <c r="P2532" s="37" t="s">
        <v>1463</v>
      </c>
      <c r="Q2532" s="37" t="s">
        <v>3506</v>
      </c>
      <c r="S2532" s="10" t="s">
        <v>2981</v>
      </c>
      <c r="T2532" s="201" t="s">
        <v>6138</v>
      </c>
      <c r="U2532" s="22">
        <v>1</v>
      </c>
      <c r="V2532" s="22">
        <v>1</v>
      </c>
      <c r="W2532" s="73">
        <f t="shared" si="136"/>
        <v>82</v>
      </c>
      <c r="X2532" s="80">
        <f t="shared" si="137"/>
        <v>6195</v>
      </c>
      <c r="Y2532" s="82" t="s">
        <v>3591</v>
      </c>
      <c r="Z2532" s="24" t="s">
        <v>2885</v>
      </c>
      <c r="AB2532" s="177">
        <v>44479</v>
      </c>
      <c r="AC2532" s="84" t="s">
        <v>5308</v>
      </c>
      <c r="AF2532" s="10" t="s">
        <v>2945</v>
      </c>
      <c r="AG2532" s="127"/>
      <c r="AH2532" s="10" t="s">
        <v>4196</v>
      </c>
      <c r="AI2532" s="10" t="s">
        <v>2946</v>
      </c>
      <c r="AJ2532" s="161"/>
    </row>
    <row r="2533" spans="1:37" ht="15.45" customHeight="1" x14ac:dyDescent="0.25">
      <c r="A2533" s="29" t="s">
        <v>5050</v>
      </c>
      <c r="B2533" s="24" t="s">
        <v>705</v>
      </c>
      <c r="C2533" s="37" t="s">
        <v>2150</v>
      </c>
      <c r="E2533" s="37" t="s">
        <v>2830</v>
      </c>
      <c r="F2533" s="24" t="s">
        <v>2246</v>
      </c>
      <c r="H2533" s="38" t="s">
        <v>4222</v>
      </c>
      <c r="J2533" s="219" t="s">
        <v>3691</v>
      </c>
      <c r="K2533" s="10" t="s">
        <v>3717</v>
      </c>
      <c r="N2533" s="151"/>
      <c r="O2533" s="151"/>
      <c r="U2533" s="21">
        <v>1</v>
      </c>
      <c r="V2533" s="21">
        <v>2</v>
      </c>
      <c r="W2533" s="73">
        <f t="shared" si="136"/>
        <v>84</v>
      </c>
      <c r="X2533" s="80">
        <f t="shared" si="137"/>
        <v>6197</v>
      </c>
      <c r="Y2533" s="82" t="s">
        <v>3584</v>
      </c>
      <c r="Z2533" s="26"/>
      <c r="AA2533" s="183"/>
      <c r="AB2533" s="183"/>
      <c r="AC2533" s="88"/>
      <c r="AD2533" s="88"/>
    </row>
    <row r="2534" spans="1:37" ht="15.45" customHeight="1" x14ac:dyDescent="0.25">
      <c r="A2534" s="29" t="s">
        <v>5074</v>
      </c>
      <c r="B2534" s="24" t="s">
        <v>7247</v>
      </c>
      <c r="C2534" s="37" t="s">
        <v>2150</v>
      </c>
      <c r="E2534" s="37" t="s">
        <v>2830</v>
      </c>
      <c r="F2534" s="24" t="s">
        <v>2848</v>
      </c>
      <c r="H2534" s="38" t="s">
        <v>7246</v>
      </c>
      <c r="J2534" s="219" t="s">
        <v>3691</v>
      </c>
      <c r="K2534" s="10" t="s">
        <v>3717</v>
      </c>
      <c r="N2534" s="151"/>
      <c r="O2534" s="151"/>
      <c r="P2534" s="37" t="s">
        <v>1463</v>
      </c>
      <c r="Q2534" s="37" t="s">
        <v>4150</v>
      </c>
      <c r="U2534" s="21">
        <v>1</v>
      </c>
      <c r="V2534" s="21">
        <v>3</v>
      </c>
      <c r="W2534" s="73">
        <f t="shared" si="136"/>
        <v>87</v>
      </c>
      <c r="X2534" s="80">
        <f t="shared" si="137"/>
        <v>6200</v>
      </c>
      <c r="Y2534" s="82" t="s">
        <v>3584</v>
      </c>
      <c r="AA2534" s="183"/>
      <c r="AB2534" s="183"/>
      <c r="AC2534" s="88"/>
      <c r="AD2534" s="88"/>
    </row>
    <row r="2535" spans="1:37" ht="15.45" customHeight="1" x14ac:dyDescent="0.25">
      <c r="A2535" s="29" t="s">
        <v>5064</v>
      </c>
      <c r="B2535" s="24" t="s">
        <v>4329</v>
      </c>
      <c r="C2535" s="37" t="s">
        <v>2150</v>
      </c>
      <c r="E2535" s="37" t="s">
        <v>2830</v>
      </c>
      <c r="F2535" s="24" t="s">
        <v>2246</v>
      </c>
      <c r="H2535" s="38" t="s">
        <v>6033</v>
      </c>
      <c r="J2535" s="221">
        <v>1986</v>
      </c>
      <c r="N2535" s="151"/>
      <c r="O2535" s="151"/>
      <c r="P2535" s="37" t="s">
        <v>1463</v>
      </c>
      <c r="S2535" s="10" t="s">
        <v>2980</v>
      </c>
      <c r="T2535" s="10" t="s">
        <v>5063</v>
      </c>
      <c r="U2535" s="21">
        <v>1</v>
      </c>
      <c r="V2535" s="21">
        <v>1</v>
      </c>
      <c r="W2535" s="73">
        <f t="shared" si="136"/>
        <v>88</v>
      </c>
      <c r="X2535" s="80">
        <f t="shared" si="137"/>
        <v>6201</v>
      </c>
      <c r="Y2535" s="82" t="s">
        <v>3591</v>
      </c>
      <c r="Z2535" s="24" t="s">
        <v>2885</v>
      </c>
      <c r="AA2535" s="183"/>
      <c r="AB2535" s="183">
        <v>43363</v>
      </c>
      <c r="AC2535" s="84" t="s">
        <v>2885</v>
      </c>
      <c r="AD2535" s="88"/>
      <c r="AF2535" s="10" t="s">
        <v>2945</v>
      </c>
      <c r="AG2535" s="127">
        <v>43362</v>
      </c>
      <c r="AH2535" s="10" t="s">
        <v>4196</v>
      </c>
      <c r="AI2535" s="10" t="s">
        <v>2946</v>
      </c>
    </row>
    <row r="2536" spans="1:37" ht="15.45" customHeight="1" x14ac:dyDescent="0.25">
      <c r="A2536" s="29" t="s">
        <v>676</v>
      </c>
      <c r="B2536" s="24" t="s">
        <v>698</v>
      </c>
      <c r="C2536" s="37" t="s">
        <v>2150</v>
      </c>
      <c r="E2536" s="37" t="s">
        <v>2830</v>
      </c>
      <c r="F2536" s="24" t="s">
        <v>2848</v>
      </c>
      <c r="J2536" s="219" t="s">
        <v>5109</v>
      </c>
      <c r="K2536" s="10" t="s">
        <v>5110</v>
      </c>
      <c r="N2536" s="151"/>
      <c r="O2536" s="151"/>
      <c r="P2536" s="37" t="s">
        <v>1463</v>
      </c>
      <c r="Q2536" s="37" t="s">
        <v>4150</v>
      </c>
      <c r="U2536" s="21">
        <v>1</v>
      </c>
      <c r="V2536" s="21">
        <v>1</v>
      </c>
      <c r="W2536" s="73">
        <f t="shared" si="136"/>
        <v>89</v>
      </c>
      <c r="X2536" s="80">
        <f t="shared" si="137"/>
        <v>6202</v>
      </c>
      <c r="Y2536" s="82" t="s">
        <v>3584</v>
      </c>
      <c r="AA2536" s="183"/>
      <c r="AB2536" s="183"/>
      <c r="AC2536" s="88"/>
      <c r="AD2536" s="88"/>
    </row>
    <row r="2537" spans="1:37" ht="15.45" customHeight="1" x14ac:dyDescent="0.25">
      <c r="A2537" s="29" t="s">
        <v>4224</v>
      </c>
      <c r="B2537" s="24" t="s">
        <v>1438</v>
      </c>
      <c r="C2537" s="37" t="s">
        <v>2150</v>
      </c>
      <c r="E2537" s="37" t="s">
        <v>2830</v>
      </c>
      <c r="F2537" s="24" t="s">
        <v>2848</v>
      </c>
      <c r="H2537" s="38" t="s">
        <v>4223</v>
      </c>
      <c r="J2537" s="219"/>
      <c r="N2537" s="151"/>
      <c r="O2537" s="151"/>
      <c r="P2537" s="37" t="s">
        <v>4151</v>
      </c>
      <c r="Q2537" s="37" t="s">
        <v>3506</v>
      </c>
      <c r="U2537" s="21">
        <v>2</v>
      </c>
      <c r="V2537" s="21">
        <v>3</v>
      </c>
      <c r="W2537" s="73">
        <f t="shared" si="136"/>
        <v>92</v>
      </c>
      <c r="X2537" s="80">
        <f t="shared" si="137"/>
        <v>6205</v>
      </c>
      <c r="Y2537" s="82" t="s">
        <v>3584</v>
      </c>
      <c r="AA2537" s="183"/>
      <c r="AB2537" s="183"/>
      <c r="AC2537" s="88"/>
      <c r="AD2537" s="88"/>
    </row>
    <row r="2538" spans="1:37" ht="15.45" customHeight="1" x14ac:dyDescent="0.25">
      <c r="A2538" s="29" t="s">
        <v>4224</v>
      </c>
      <c r="B2538" s="24" t="s">
        <v>1438</v>
      </c>
      <c r="F2538" s="24" t="s">
        <v>2848</v>
      </c>
      <c r="H2538" s="38" t="s">
        <v>4225</v>
      </c>
      <c r="J2538" s="219"/>
      <c r="N2538" s="151"/>
      <c r="O2538" s="151"/>
      <c r="P2538" s="37" t="s">
        <v>4151</v>
      </c>
      <c r="Q2538" s="37" t="s">
        <v>3506</v>
      </c>
      <c r="U2538" s="21">
        <v>1</v>
      </c>
      <c r="V2538" s="21">
        <v>1</v>
      </c>
      <c r="W2538" s="73">
        <f t="shared" si="136"/>
        <v>93</v>
      </c>
      <c r="X2538" s="80">
        <f t="shared" si="137"/>
        <v>6206</v>
      </c>
      <c r="Y2538" s="82" t="s">
        <v>3584</v>
      </c>
      <c r="AA2538" s="183"/>
      <c r="AB2538" s="183"/>
      <c r="AC2538" s="88"/>
      <c r="AD2538" s="88"/>
    </row>
    <row r="2539" spans="1:37" ht="15.45" customHeight="1" x14ac:dyDescent="0.25">
      <c r="A2539" s="29" t="s">
        <v>4147</v>
      </c>
      <c r="B2539" s="24" t="s">
        <v>3232</v>
      </c>
      <c r="C2539" s="37" t="s">
        <v>2150</v>
      </c>
      <c r="E2539" s="37" t="s">
        <v>2830</v>
      </c>
      <c r="F2539" s="24" t="s">
        <v>2848</v>
      </c>
      <c r="H2539" s="38" t="s">
        <v>4148</v>
      </c>
      <c r="J2539" s="219" t="s">
        <v>3749</v>
      </c>
      <c r="K2539" s="10" t="s">
        <v>3750</v>
      </c>
      <c r="N2539" s="151"/>
      <c r="O2539" s="151"/>
      <c r="P2539" s="37" t="s">
        <v>1810</v>
      </c>
      <c r="U2539" s="21">
        <v>1</v>
      </c>
      <c r="V2539" s="21">
        <v>1</v>
      </c>
      <c r="W2539" s="73">
        <f t="shared" si="136"/>
        <v>94</v>
      </c>
      <c r="X2539" s="80">
        <f t="shared" si="137"/>
        <v>6207</v>
      </c>
      <c r="Y2539" s="82" t="s">
        <v>3584</v>
      </c>
      <c r="AA2539" s="183"/>
      <c r="AB2539" s="183"/>
      <c r="AC2539" s="88"/>
      <c r="AD2539" s="88"/>
    </row>
    <row r="2540" spans="1:37" ht="15.45" customHeight="1" x14ac:dyDescent="0.25">
      <c r="A2540" s="29" t="s">
        <v>3230</v>
      </c>
      <c r="B2540" s="24" t="s">
        <v>3231</v>
      </c>
      <c r="C2540" s="37" t="s">
        <v>2150</v>
      </c>
      <c r="E2540" s="37" t="s">
        <v>2830</v>
      </c>
      <c r="F2540" s="24" t="s">
        <v>2852</v>
      </c>
      <c r="G2540" s="28"/>
      <c r="H2540" s="38" t="s">
        <v>2975</v>
      </c>
      <c r="J2540" s="219"/>
      <c r="N2540" s="151"/>
      <c r="O2540" s="151"/>
      <c r="P2540" s="37" t="s">
        <v>2014</v>
      </c>
      <c r="U2540" s="22">
        <v>1</v>
      </c>
      <c r="V2540" s="22">
        <v>1</v>
      </c>
      <c r="W2540" s="73">
        <f t="shared" si="136"/>
        <v>95</v>
      </c>
      <c r="X2540" s="80">
        <f t="shared" si="137"/>
        <v>6208</v>
      </c>
      <c r="Y2540" s="82" t="s">
        <v>3584</v>
      </c>
      <c r="AA2540" s="183"/>
      <c r="AB2540" s="183"/>
      <c r="AC2540" s="88"/>
      <c r="AD2540" s="88"/>
    </row>
    <row r="2541" spans="1:37" ht="15.45" customHeight="1" x14ac:dyDescent="0.25">
      <c r="A2541" s="29" t="s">
        <v>3728</v>
      </c>
      <c r="B2541" s="24" t="s">
        <v>2162</v>
      </c>
      <c r="C2541" s="37" t="s">
        <v>2150</v>
      </c>
      <c r="E2541" s="37" t="s">
        <v>2830</v>
      </c>
      <c r="F2541" s="24" t="s">
        <v>2247</v>
      </c>
      <c r="H2541" s="38" t="s">
        <v>4229</v>
      </c>
      <c r="J2541" s="214" t="s">
        <v>3691</v>
      </c>
      <c r="K2541" s="10" t="s">
        <v>3717</v>
      </c>
      <c r="S2541" s="10" t="s">
        <v>2512</v>
      </c>
      <c r="T2541" s="10" t="s">
        <v>2622</v>
      </c>
      <c r="U2541" s="22">
        <v>1</v>
      </c>
      <c r="V2541" s="22">
        <v>2</v>
      </c>
      <c r="W2541" s="73">
        <f t="shared" si="136"/>
        <v>97</v>
      </c>
      <c r="X2541" s="80">
        <f t="shared" si="137"/>
        <v>6210</v>
      </c>
      <c r="Y2541" s="82" t="s">
        <v>3584</v>
      </c>
      <c r="AB2541" s="177">
        <v>44475</v>
      </c>
      <c r="AC2541" s="84" t="s">
        <v>2885</v>
      </c>
      <c r="AI2541" s="10" t="s">
        <v>2151</v>
      </c>
    </row>
    <row r="2542" spans="1:37" ht="15.45" customHeight="1" x14ac:dyDescent="0.25">
      <c r="A2542" s="29" t="s">
        <v>3729</v>
      </c>
      <c r="B2542" s="24" t="s">
        <v>640</v>
      </c>
      <c r="C2542" s="37" t="s">
        <v>2150</v>
      </c>
      <c r="E2542" s="37" t="s">
        <v>2828</v>
      </c>
      <c r="H2542" s="38" t="s">
        <v>2974</v>
      </c>
      <c r="J2542" s="214" t="s">
        <v>3691</v>
      </c>
      <c r="K2542" s="10" t="s">
        <v>3717</v>
      </c>
      <c r="S2542" s="10" t="s">
        <v>2621</v>
      </c>
      <c r="U2542" s="22">
        <v>1</v>
      </c>
      <c r="V2542" s="22">
        <v>1</v>
      </c>
      <c r="W2542" s="73">
        <f t="shared" si="136"/>
        <v>98</v>
      </c>
      <c r="X2542" s="80">
        <f t="shared" si="137"/>
        <v>6211</v>
      </c>
      <c r="Y2542" s="82" t="s">
        <v>3584</v>
      </c>
      <c r="AB2542" s="177">
        <v>44475</v>
      </c>
      <c r="AC2542" s="84" t="s">
        <v>2885</v>
      </c>
      <c r="AI2542" s="10" t="s">
        <v>2204</v>
      </c>
    </row>
    <row r="2543" spans="1:37" ht="15.45" customHeight="1" x14ac:dyDescent="0.25">
      <c r="A2543" s="29" t="s">
        <v>5051</v>
      </c>
      <c r="B2543" s="24" t="s">
        <v>413</v>
      </c>
      <c r="C2543" s="37" t="s">
        <v>1223</v>
      </c>
      <c r="E2543" s="37" t="s">
        <v>2832</v>
      </c>
      <c r="F2543" s="24" t="s">
        <v>2247</v>
      </c>
      <c r="H2543" s="38" t="s">
        <v>4229</v>
      </c>
      <c r="S2543" s="10" t="s">
        <v>2390</v>
      </c>
      <c r="T2543" s="10" t="s">
        <v>5221</v>
      </c>
      <c r="U2543" s="22">
        <v>1</v>
      </c>
      <c r="V2543" s="21">
        <v>2</v>
      </c>
      <c r="W2543" s="73">
        <f t="shared" si="136"/>
        <v>100</v>
      </c>
      <c r="X2543" s="80">
        <f t="shared" si="137"/>
        <v>6213</v>
      </c>
      <c r="Y2543" s="82" t="s">
        <v>3584</v>
      </c>
      <c r="AH2543" s="10" t="s">
        <v>5222</v>
      </c>
    </row>
    <row r="2544" spans="1:37" ht="15.45" customHeight="1" x14ac:dyDescent="0.25">
      <c r="A2544" s="29" t="s">
        <v>3200</v>
      </c>
      <c r="B2544" s="24" t="s">
        <v>3201</v>
      </c>
      <c r="C2544" s="37" t="s">
        <v>1334</v>
      </c>
      <c r="E2544" s="37" t="s">
        <v>2832</v>
      </c>
      <c r="F2544" s="24" t="s">
        <v>2655</v>
      </c>
      <c r="H2544" s="38" t="s">
        <v>4227</v>
      </c>
      <c r="J2544" s="214" t="s">
        <v>3691</v>
      </c>
      <c r="K2544" s="10" t="s">
        <v>3717</v>
      </c>
      <c r="N2544" s="37" t="s">
        <v>6576</v>
      </c>
      <c r="P2544" s="37" t="s">
        <v>1482</v>
      </c>
      <c r="Q2544" s="37" t="s">
        <v>1998</v>
      </c>
      <c r="S2544" s="10" t="s">
        <v>2390</v>
      </c>
      <c r="T2544" s="10" t="s">
        <v>4226</v>
      </c>
      <c r="U2544" s="22">
        <v>1</v>
      </c>
      <c r="V2544" s="21">
        <v>3</v>
      </c>
      <c r="W2544" s="73">
        <f t="shared" si="136"/>
        <v>103</v>
      </c>
      <c r="X2544" s="80">
        <f t="shared" si="137"/>
        <v>6216</v>
      </c>
      <c r="Y2544" s="82" t="s">
        <v>3584</v>
      </c>
    </row>
    <row r="2545" spans="1:37" ht="15.45" customHeight="1" x14ac:dyDescent="0.25">
      <c r="A2545" s="29" t="s">
        <v>4194</v>
      </c>
      <c r="B2545" s="24" t="s">
        <v>971</v>
      </c>
      <c r="C2545" s="37" t="s">
        <v>1334</v>
      </c>
      <c r="E2545" s="37" t="s">
        <v>2832</v>
      </c>
      <c r="F2545" s="24" t="s">
        <v>2247</v>
      </c>
      <c r="H2545" s="38" t="s">
        <v>4228</v>
      </c>
      <c r="J2545" s="214" t="s">
        <v>3691</v>
      </c>
      <c r="K2545" s="10" t="s">
        <v>3717</v>
      </c>
      <c r="N2545" s="37" t="s">
        <v>6576</v>
      </c>
      <c r="P2545" s="37" t="s">
        <v>1482</v>
      </c>
      <c r="Q2545" s="37" t="s">
        <v>1998</v>
      </c>
      <c r="S2545" s="10" t="s">
        <v>2390</v>
      </c>
      <c r="U2545" s="22">
        <v>1</v>
      </c>
      <c r="V2545" s="21">
        <v>2</v>
      </c>
      <c r="W2545" s="73">
        <f t="shared" si="136"/>
        <v>105</v>
      </c>
      <c r="X2545" s="80">
        <f t="shared" si="137"/>
        <v>6218</v>
      </c>
      <c r="Y2545" s="82" t="s">
        <v>3584</v>
      </c>
    </row>
    <row r="2546" spans="1:37" ht="15.45" customHeight="1" x14ac:dyDescent="0.25">
      <c r="A2546" s="29" t="s">
        <v>6574</v>
      </c>
      <c r="B2546" s="24" t="s">
        <v>752</v>
      </c>
      <c r="C2546" s="37" t="s">
        <v>2150</v>
      </c>
      <c r="E2546" s="37" t="s">
        <v>2830</v>
      </c>
      <c r="F2546" s="24" t="s">
        <v>2247</v>
      </c>
      <c r="H2546" s="38" t="s">
        <v>6575</v>
      </c>
      <c r="J2546" s="214" t="s">
        <v>3691</v>
      </c>
      <c r="K2546" s="10" t="s">
        <v>3717</v>
      </c>
      <c r="N2546" s="37" t="s">
        <v>6576</v>
      </c>
      <c r="P2546" s="37" t="s">
        <v>1482</v>
      </c>
      <c r="Q2546" s="37" t="s">
        <v>1998</v>
      </c>
      <c r="S2546" s="10" t="s">
        <v>3412</v>
      </c>
      <c r="U2546" s="22">
        <v>1</v>
      </c>
      <c r="V2546" s="22">
        <v>2</v>
      </c>
      <c r="W2546" s="73">
        <f t="shared" si="136"/>
        <v>107</v>
      </c>
      <c r="X2546" s="80">
        <f t="shared" si="137"/>
        <v>6220</v>
      </c>
      <c r="Y2546" s="82" t="s">
        <v>3584</v>
      </c>
      <c r="AH2546" s="10" t="s">
        <v>5222</v>
      </c>
    </row>
    <row r="2547" spans="1:37" ht="15.45" customHeight="1" x14ac:dyDescent="0.25">
      <c r="A2547" s="29" t="s">
        <v>6132</v>
      </c>
      <c r="C2547" s="37" t="s">
        <v>2150</v>
      </c>
      <c r="E2547" s="37" t="s">
        <v>2830</v>
      </c>
      <c r="H2547" s="201" t="s">
        <v>6133</v>
      </c>
      <c r="J2547" s="214" t="s">
        <v>6122</v>
      </c>
      <c r="O2547" s="37" t="s">
        <v>6134</v>
      </c>
      <c r="P2547" s="37" t="s">
        <v>2056</v>
      </c>
      <c r="S2547" s="10" t="s">
        <v>2983</v>
      </c>
      <c r="T2547" s="201" t="s">
        <v>6135</v>
      </c>
      <c r="U2547" s="22">
        <v>1</v>
      </c>
      <c r="V2547" s="22">
        <v>2</v>
      </c>
      <c r="W2547" s="73">
        <f t="shared" si="136"/>
        <v>109</v>
      </c>
      <c r="X2547" s="80">
        <f t="shared" si="137"/>
        <v>6222</v>
      </c>
      <c r="Y2547" s="82" t="s">
        <v>3591</v>
      </c>
      <c r="Z2547" s="24" t="s">
        <v>2885</v>
      </c>
      <c r="AB2547" s="177">
        <v>44479</v>
      </c>
      <c r="AC2547" s="84" t="s">
        <v>5308</v>
      </c>
    </row>
    <row r="2548" spans="1:37" ht="15.45" customHeight="1" x14ac:dyDescent="0.25">
      <c r="A2548" s="29" t="s">
        <v>6115</v>
      </c>
      <c r="B2548" s="24" t="s">
        <v>6116</v>
      </c>
      <c r="C2548" s="37" t="s">
        <v>2150</v>
      </c>
      <c r="E2548" s="37" t="s">
        <v>2830</v>
      </c>
      <c r="F2548" s="24" t="s">
        <v>2120</v>
      </c>
      <c r="H2548" s="201" t="s">
        <v>6117</v>
      </c>
      <c r="J2548" s="214" t="s">
        <v>5312</v>
      </c>
      <c r="O2548" s="37" t="s">
        <v>6118</v>
      </c>
      <c r="P2548" s="37" t="s">
        <v>1463</v>
      </c>
      <c r="Q2548" s="37" t="s">
        <v>3506</v>
      </c>
      <c r="R2548" s="37" t="s">
        <v>1792</v>
      </c>
      <c r="S2548" s="10" t="s">
        <v>3412</v>
      </c>
      <c r="U2548" s="22">
        <v>1</v>
      </c>
      <c r="V2548" s="22">
        <v>1</v>
      </c>
      <c r="W2548" s="73">
        <f t="shared" si="136"/>
        <v>110</v>
      </c>
      <c r="X2548" s="80">
        <f t="shared" si="137"/>
        <v>6223</v>
      </c>
      <c r="Y2548" s="82" t="s">
        <v>3591</v>
      </c>
      <c r="Z2548" s="24" t="s">
        <v>2885</v>
      </c>
      <c r="AB2548" s="177">
        <v>44467</v>
      </c>
      <c r="AC2548" s="84" t="s">
        <v>5308</v>
      </c>
    </row>
    <row r="2549" spans="1:37" ht="15.45" customHeight="1" x14ac:dyDescent="0.25">
      <c r="A2549" s="29" t="s">
        <v>3730</v>
      </c>
      <c r="B2549" s="24" t="s">
        <v>2160</v>
      </c>
      <c r="C2549" s="37" t="s">
        <v>2150</v>
      </c>
      <c r="E2549" s="37" t="s">
        <v>2830</v>
      </c>
      <c r="F2549" s="24" t="s">
        <v>2247</v>
      </c>
      <c r="H2549" s="38" t="s">
        <v>4230</v>
      </c>
      <c r="J2549" s="214" t="s">
        <v>3718</v>
      </c>
      <c r="K2549" s="10" t="s">
        <v>3719</v>
      </c>
      <c r="U2549" s="22">
        <v>1</v>
      </c>
      <c r="V2549" s="22">
        <v>2</v>
      </c>
      <c r="W2549" s="73">
        <f t="shared" si="136"/>
        <v>112</v>
      </c>
      <c r="X2549" s="80">
        <f t="shared" si="137"/>
        <v>6225</v>
      </c>
      <c r="Y2549" s="82" t="s">
        <v>3584</v>
      </c>
    </row>
    <row r="2550" spans="1:37" ht="15.45" customHeight="1" x14ac:dyDescent="0.25">
      <c r="A2550" s="29" t="s">
        <v>5059</v>
      </c>
      <c r="B2550" s="24" t="s">
        <v>5055</v>
      </c>
      <c r="C2550" s="37" t="s">
        <v>1223</v>
      </c>
      <c r="E2550" s="37" t="s">
        <v>2832</v>
      </c>
      <c r="F2550" s="24" t="s">
        <v>2247</v>
      </c>
      <c r="H2550" s="41" t="s">
        <v>2541</v>
      </c>
      <c r="I2550" s="114"/>
      <c r="J2550" s="215">
        <v>1995</v>
      </c>
      <c r="K2550" s="10" t="s">
        <v>3591</v>
      </c>
      <c r="O2550" s="37" t="s">
        <v>4512</v>
      </c>
      <c r="S2550" s="10" t="s">
        <v>2390</v>
      </c>
      <c r="T2550" s="13"/>
      <c r="U2550" s="22">
        <v>1</v>
      </c>
      <c r="V2550" s="22">
        <v>1</v>
      </c>
      <c r="W2550" s="73">
        <f t="shared" si="136"/>
        <v>113</v>
      </c>
      <c r="X2550" s="80">
        <f t="shared" si="137"/>
        <v>6226</v>
      </c>
      <c r="Y2550" s="82" t="s">
        <v>3591</v>
      </c>
      <c r="Z2550" s="24" t="s">
        <v>2885</v>
      </c>
      <c r="AB2550" s="177">
        <v>42401</v>
      </c>
      <c r="AC2550" s="84" t="s">
        <v>2885</v>
      </c>
      <c r="AF2550" s="13"/>
      <c r="AG2550" s="13"/>
      <c r="AH2550" s="13"/>
      <c r="AI2550" s="13"/>
      <c r="AJ2550" s="13"/>
      <c r="AK2550" s="13"/>
    </row>
    <row r="2551" spans="1:37" ht="15.45" customHeight="1" x14ac:dyDescent="0.25">
      <c r="A2551" s="31" t="s">
        <v>5075</v>
      </c>
      <c r="B2551" s="25" t="s">
        <v>1078</v>
      </c>
      <c r="C2551" s="37" t="s">
        <v>1223</v>
      </c>
      <c r="E2551" s="37" t="s">
        <v>2832</v>
      </c>
      <c r="F2551" s="24" t="s">
        <v>2318</v>
      </c>
      <c r="H2551" s="38" t="s">
        <v>3806</v>
      </c>
      <c r="L2551" s="103"/>
      <c r="M2551" s="103"/>
      <c r="P2551" s="37" t="s">
        <v>1857</v>
      </c>
      <c r="S2551" s="10" t="s">
        <v>2390</v>
      </c>
      <c r="T2551" s="11"/>
      <c r="U2551" s="22">
        <v>1</v>
      </c>
      <c r="V2551" s="21">
        <v>1</v>
      </c>
      <c r="W2551" s="73">
        <f t="shared" si="136"/>
        <v>114</v>
      </c>
      <c r="X2551" s="80">
        <f t="shared" si="137"/>
        <v>6227</v>
      </c>
      <c r="Y2551" s="82" t="s">
        <v>3584</v>
      </c>
      <c r="AA2551" s="178"/>
      <c r="AB2551" s="178"/>
      <c r="AF2551" s="11"/>
      <c r="AG2551" s="11"/>
      <c r="AH2551" s="11"/>
      <c r="AI2551" s="11"/>
      <c r="AJ2551" s="11"/>
      <c r="AK2551" s="11"/>
    </row>
    <row r="2552" spans="1:37" ht="15.45" customHeight="1" x14ac:dyDescent="0.25">
      <c r="A2552" s="31" t="s">
        <v>6097</v>
      </c>
      <c r="B2552" s="25" t="s">
        <v>6098</v>
      </c>
      <c r="C2552" s="37" t="s">
        <v>2150</v>
      </c>
      <c r="E2552" s="37" t="s">
        <v>5301</v>
      </c>
      <c r="F2552" s="24" t="s">
        <v>4401</v>
      </c>
      <c r="H2552" s="38" t="s">
        <v>6099</v>
      </c>
      <c r="J2552" s="214" t="s">
        <v>5312</v>
      </c>
      <c r="L2552" s="103"/>
      <c r="M2552" s="103"/>
      <c r="P2552" s="37" t="s">
        <v>1463</v>
      </c>
      <c r="S2552" s="10" t="s">
        <v>3412</v>
      </c>
      <c r="T2552" s="11"/>
      <c r="U2552" s="22">
        <v>1</v>
      </c>
      <c r="V2552" s="21">
        <v>1</v>
      </c>
      <c r="W2552" s="73">
        <f t="shared" si="136"/>
        <v>115</v>
      </c>
      <c r="X2552" s="80">
        <f t="shared" si="137"/>
        <v>6228</v>
      </c>
      <c r="Y2552" s="82" t="s">
        <v>3591</v>
      </c>
      <c r="Z2552" s="24" t="s">
        <v>2885</v>
      </c>
      <c r="AA2552" s="178"/>
      <c r="AB2552" s="178">
        <v>43497</v>
      </c>
      <c r="AC2552" s="84" t="s">
        <v>5308</v>
      </c>
      <c r="AF2552" s="11"/>
      <c r="AG2552" s="11"/>
      <c r="AH2552" s="11"/>
      <c r="AI2552" s="11"/>
      <c r="AJ2552" s="11"/>
      <c r="AK2552" s="11"/>
    </row>
    <row r="2553" spans="1:37" ht="15.45" customHeight="1" x14ac:dyDescent="0.25">
      <c r="A2553" s="29" t="s">
        <v>5052</v>
      </c>
      <c r="B2553" s="24" t="s">
        <v>3725</v>
      </c>
      <c r="C2553" s="37" t="s">
        <v>2150</v>
      </c>
      <c r="E2553" s="37" t="s">
        <v>2925</v>
      </c>
      <c r="F2553" s="24" t="s">
        <v>2247</v>
      </c>
      <c r="H2553" s="38" t="s">
        <v>3726</v>
      </c>
      <c r="J2553" s="214" t="s">
        <v>3691</v>
      </c>
      <c r="K2553" s="10" t="s">
        <v>3717</v>
      </c>
      <c r="T2553" s="10" t="s">
        <v>2204</v>
      </c>
      <c r="U2553" s="22">
        <v>1</v>
      </c>
      <c r="V2553" s="22">
        <v>2</v>
      </c>
      <c r="W2553" s="73">
        <f t="shared" si="136"/>
        <v>117</v>
      </c>
      <c r="X2553" s="80">
        <f t="shared" si="137"/>
        <v>6230</v>
      </c>
      <c r="Y2553" s="82" t="s">
        <v>3584</v>
      </c>
      <c r="AB2553" s="177">
        <v>43193</v>
      </c>
      <c r="AC2553" s="84" t="s">
        <v>2885</v>
      </c>
    </row>
    <row r="2554" spans="1:37" s="51" customFormat="1" ht="15.45" customHeight="1" x14ac:dyDescent="0.25">
      <c r="A2554" s="45" t="s">
        <v>2307</v>
      </c>
      <c r="B2554" s="50"/>
      <c r="C2554" s="49"/>
      <c r="D2554" s="49"/>
      <c r="E2554" s="49"/>
      <c r="F2554" s="50"/>
      <c r="G2554" s="50"/>
      <c r="H2554" s="46" t="s">
        <v>3755</v>
      </c>
      <c r="I2554" s="109"/>
      <c r="J2554" s="212"/>
      <c r="K2554" s="56"/>
      <c r="L2554" s="100"/>
      <c r="M2554" s="100"/>
      <c r="N2554" s="49"/>
      <c r="O2554" s="49"/>
      <c r="P2554" s="49"/>
      <c r="Q2554" s="49"/>
      <c r="R2554" s="49"/>
      <c r="S2554" s="47"/>
      <c r="T2554" s="47"/>
      <c r="U2554" s="48"/>
      <c r="V2554" s="48"/>
      <c r="W2554" s="74"/>
      <c r="X2554" s="81"/>
      <c r="Y2554" s="132"/>
      <c r="Z2554" s="50"/>
      <c r="AA2554" s="173"/>
      <c r="AB2554" s="173"/>
      <c r="AC2554" s="137"/>
      <c r="AD2554" s="137"/>
      <c r="AE2554" s="83"/>
      <c r="AF2554" s="47"/>
      <c r="AG2554" s="47"/>
      <c r="AH2554" s="47"/>
      <c r="AI2554" s="47"/>
      <c r="AJ2554" s="47"/>
      <c r="AK2554" s="47"/>
    </row>
    <row r="2555" spans="1:37" s="8" customFormat="1" ht="15.45" customHeight="1" x14ac:dyDescent="0.25">
      <c r="A2555" s="29" t="s">
        <v>2629</v>
      </c>
      <c r="B2555" s="9"/>
      <c r="C2555" s="37" t="s">
        <v>2152</v>
      </c>
      <c r="D2555" s="37"/>
      <c r="E2555" s="37" t="s">
        <v>2830</v>
      </c>
      <c r="F2555" s="24"/>
      <c r="G2555" s="24"/>
      <c r="H2555" s="38"/>
      <c r="I2555" s="111"/>
      <c r="J2555" s="214" t="s">
        <v>3749</v>
      </c>
      <c r="K2555" s="10" t="s">
        <v>3750</v>
      </c>
      <c r="L2555" s="106"/>
      <c r="M2555" s="106"/>
      <c r="N2555" s="37"/>
      <c r="O2555" s="37"/>
      <c r="P2555" s="37"/>
      <c r="Q2555" s="37"/>
      <c r="R2555" s="37"/>
      <c r="S2555" s="10" t="s">
        <v>2983</v>
      </c>
      <c r="T2555" s="10"/>
      <c r="U2555" s="22">
        <v>325</v>
      </c>
      <c r="V2555" s="22">
        <v>325</v>
      </c>
      <c r="W2555" s="73">
        <v>325</v>
      </c>
      <c r="X2555" s="80">
        <f>V2555+X2553</f>
        <v>6555</v>
      </c>
      <c r="Y2555" s="82" t="s">
        <v>3584</v>
      </c>
      <c r="Z2555" s="9"/>
      <c r="AA2555" s="186"/>
      <c r="AB2555" s="186"/>
      <c r="AC2555" s="89"/>
      <c r="AD2555" s="89"/>
      <c r="AE2555" s="9"/>
      <c r="AF2555" s="10"/>
      <c r="AG2555" s="10"/>
      <c r="AH2555" s="10"/>
      <c r="AI2555" s="10"/>
      <c r="AJ2555" s="10"/>
      <c r="AK2555" s="10"/>
    </row>
    <row r="2556" spans="1:37" s="8" customFormat="1" ht="15.45" customHeight="1" x14ac:dyDescent="0.25">
      <c r="A2556" s="29" t="s">
        <v>2630</v>
      </c>
      <c r="B2556" s="9"/>
      <c r="C2556" s="37" t="s">
        <v>2152</v>
      </c>
      <c r="D2556" s="37"/>
      <c r="E2556" s="37" t="s">
        <v>2830</v>
      </c>
      <c r="F2556" s="24"/>
      <c r="G2556" s="24"/>
      <c r="H2556" s="38"/>
      <c r="I2556" s="111"/>
      <c r="J2556" s="214" t="s">
        <v>3690</v>
      </c>
      <c r="K2556" s="10" t="s">
        <v>3685</v>
      </c>
      <c r="L2556" s="106"/>
      <c r="M2556" s="106"/>
      <c r="N2556" s="37"/>
      <c r="O2556" s="37"/>
      <c r="P2556" s="37"/>
      <c r="Q2556" s="37"/>
      <c r="R2556" s="37"/>
      <c r="S2556" s="10" t="s">
        <v>2983</v>
      </c>
      <c r="T2556" s="10"/>
      <c r="U2556" s="22">
        <v>292</v>
      </c>
      <c r="V2556" s="22">
        <v>292</v>
      </c>
      <c r="W2556" s="73">
        <f t="shared" ref="W2556:W2563" si="138">W2555+V2556</f>
        <v>617</v>
      </c>
      <c r="X2556" s="80">
        <f t="shared" ref="X2556:X2565" si="139">V2556+X2555</f>
        <v>6847</v>
      </c>
      <c r="Y2556" s="82" t="s">
        <v>3584</v>
      </c>
      <c r="Z2556" s="9"/>
      <c r="AA2556" s="186"/>
      <c r="AB2556" s="186"/>
      <c r="AC2556" s="89"/>
      <c r="AD2556" s="89"/>
      <c r="AE2556" s="9"/>
      <c r="AF2556" s="10"/>
      <c r="AG2556" s="10"/>
      <c r="AH2556" s="10"/>
      <c r="AI2556" s="10"/>
      <c r="AJ2556" s="10"/>
      <c r="AK2556" s="10"/>
    </row>
    <row r="2557" spans="1:37" s="8" customFormat="1" ht="15.45" customHeight="1" x14ac:dyDescent="0.25">
      <c r="A2557" s="29" t="s">
        <v>2631</v>
      </c>
      <c r="B2557" s="9"/>
      <c r="C2557" s="37" t="s">
        <v>2152</v>
      </c>
      <c r="D2557" s="37"/>
      <c r="E2557" s="37" t="s">
        <v>2832</v>
      </c>
      <c r="F2557" s="24"/>
      <c r="G2557" s="24"/>
      <c r="H2557" s="38"/>
      <c r="I2557" s="111"/>
      <c r="J2557" s="214" t="s">
        <v>3749</v>
      </c>
      <c r="K2557" s="10" t="s">
        <v>3750</v>
      </c>
      <c r="L2557" s="106"/>
      <c r="M2557" s="106"/>
      <c r="N2557" s="37"/>
      <c r="O2557" s="37"/>
      <c r="P2557" s="37"/>
      <c r="Q2557" s="37"/>
      <c r="R2557" s="37"/>
      <c r="S2557" s="10" t="s">
        <v>2983</v>
      </c>
      <c r="T2557" s="10"/>
      <c r="U2557" s="22">
        <v>294</v>
      </c>
      <c r="V2557" s="22">
        <v>294</v>
      </c>
      <c r="W2557" s="73">
        <f t="shared" si="138"/>
        <v>911</v>
      </c>
      <c r="X2557" s="80">
        <f t="shared" si="139"/>
        <v>7141</v>
      </c>
      <c r="Y2557" s="82" t="s">
        <v>3584</v>
      </c>
      <c r="Z2557" s="9"/>
      <c r="AA2557" s="186"/>
      <c r="AB2557" s="186"/>
      <c r="AC2557" s="89"/>
      <c r="AD2557" s="89"/>
      <c r="AE2557" s="9"/>
      <c r="AF2557" s="10"/>
      <c r="AG2557" s="10"/>
      <c r="AH2557" s="10"/>
      <c r="AI2557" s="10"/>
      <c r="AJ2557" s="10"/>
      <c r="AK2557" s="10"/>
    </row>
    <row r="2558" spans="1:37" s="8" customFormat="1" ht="15.45" customHeight="1" x14ac:dyDescent="0.25">
      <c r="A2558" s="29" t="s">
        <v>2632</v>
      </c>
      <c r="B2558" s="9"/>
      <c r="C2558" s="37" t="s">
        <v>2152</v>
      </c>
      <c r="D2558" s="37"/>
      <c r="E2558" s="37" t="s">
        <v>2832</v>
      </c>
      <c r="F2558" s="24"/>
      <c r="G2558" s="24"/>
      <c r="H2558" s="38"/>
      <c r="I2558" s="111"/>
      <c r="J2558" s="214" t="s">
        <v>3749</v>
      </c>
      <c r="K2558" s="10" t="s">
        <v>3750</v>
      </c>
      <c r="L2558" s="106"/>
      <c r="M2558" s="106"/>
      <c r="N2558" s="37"/>
      <c r="O2558" s="37"/>
      <c r="P2558" s="37"/>
      <c r="Q2558" s="37"/>
      <c r="R2558" s="37"/>
      <c r="S2558" s="10" t="s">
        <v>2983</v>
      </c>
      <c r="T2558" s="10"/>
      <c r="U2558" s="22">
        <v>231</v>
      </c>
      <c r="V2558" s="22">
        <v>231</v>
      </c>
      <c r="W2558" s="73">
        <f t="shared" si="138"/>
        <v>1142</v>
      </c>
      <c r="X2558" s="80">
        <f t="shared" si="139"/>
        <v>7372</v>
      </c>
      <c r="Y2558" s="82" t="s">
        <v>3584</v>
      </c>
      <c r="Z2558" s="9"/>
      <c r="AA2558" s="186"/>
      <c r="AB2558" s="186"/>
      <c r="AC2558" s="89"/>
      <c r="AD2558" s="89"/>
      <c r="AE2558" s="9"/>
      <c r="AF2558" s="10"/>
      <c r="AG2558" s="10"/>
      <c r="AH2558" s="10"/>
      <c r="AI2558" s="10"/>
      <c r="AJ2558" s="10"/>
      <c r="AK2558" s="10"/>
    </row>
    <row r="2559" spans="1:37" s="8" customFormat="1" ht="15.45" customHeight="1" x14ac:dyDescent="0.25">
      <c r="A2559" s="29" t="s">
        <v>4788</v>
      </c>
      <c r="B2559" s="9"/>
      <c r="C2559" s="37"/>
      <c r="D2559" s="37"/>
      <c r="E2559" s="37"/>
      <c r="F2559" s="24"/>
      <c r="G2559" s="24"/>
      <c r="H2559" s="38"/>
      <c r="I2559" s="111"/>
      <c r="J2559" s="214"/>
      <c r="K2559" s="10"/>
      <c r="L2559" s="106"/>
      <c r="M2559" s="106"/>
      <c r="N2559" s="37"/>
      <c r="O2559" s="37"/>
      <c r="P2559" s="37"/>
      <c r="Q2559" s="37"/>
      <c r="R2559" s="37"/>
      <c r="S2559" s="10"/>
      <c r="T2559" s="10"/>
      <c r="U2559" s="22">
        <v>0</v>
      </c>
      <c r="V2559" s="22">
        <v>0</v>
      </c>
      <c r="W2559" s="73">
        <f t="shared" si="138"/>
        <v>1142</v>
      </c>
      <c r="X2559" s="80">
        <f t="shared" si="139"/>
        <v>7372</v>
      </c>
      <c r="Y2559" s="82" t="s">
        <v>3584</v>
      </c>
      <c r="Z2559" s="9"/>
      <c r="AA2559" s="186"/>
      <c r="AB2559" s="186"/>
      <c r="AC2559" s="89"/>
      <c r="AD2559" s="89"/>
      <c r="AE2559" s="9"/>
      <c r="AF2559" s="10"/>
      <c r="AG2559" s="10"/>
      <c r="AH2559" s="10"/>
      <c r="AI2559" s="10"/>
      <c r="AJ2559" s="10"/>
      <c r="AK2559" s="10"/>
    </row>
    <row r="2560" spans="1:37" s="8" customFormat="1" ht="15.45" customHeight="1" x14ac:dyDescent="0.25">
      <c r="A2560" s="29" t="s">
        <v>4786</v>
      </c>
      <c r="B2560" s="9"/>
      <c r="C2560" s="37"/>
      <c r="D2560" s="37"/>
      <c r="E2560" s="37"/>
      <c r="F2560" s="24"/>
      <c r="G2560" s="24"/>
      <c r="H2560" s="38"/>
      <c r="I2560" s="111"/>
      <c r="J2560" s="214"/>
      <c r="K2560" s="10"/>
      <c r="L2560" s="106"/>
      <c r="M2560" s="106"/>
      <c r="N2560" s="37"/>
      <c r="O2560" s="37"/>
      <c r="P2560" s="37"/>
      <c r="Q2560" s="37"/>
      <c r="R2560" s="37"/>
      <c r="S2560" s="10"/>
      <c r="T2560" s="10"/>
      <c r="U2560" s="22">
        <v>0</v>
      </c>
      <c r="V2560" s="22">
        <v>0</v>
      </c>
      <c r="W2560" s="73">
        <f t="shared" si="138"/>
        <v>1142</v>
      </c>
      <c r="X2560" s="80">
        <f t="shared" si="139"/>
        <v>7372</v>
      </c>
      <c r="Y2560" s="82" t="s">
        <v>3584</v>
      </c>
      <c r="Z2560" s="9"/>
      <c r="AA2560" s="186"/>
      <c r="AB2560" s="186"/>
      <c r="AC2560" s="89"/>
      <c r="AD2560" s="89"/>
      <c r="AE2560" s="9"/>
      <c r="AF2560" s="10"/>
      <c r="AG2560" s="10"/>
      <c r="AH2560" s="10"/>
      <c r="AI2560" s="10"/>
      <c r="AJ2560" s="10"/>
      <c r="AK2560" s="10"/>
    </row>
    <row r="2561" spans="1:37" s="8" customFormat="1" ht="15.45" customHeight="1" x14ac:dyDescent="0.25">
      <c r="A2561" s="29" t="s">
        <v>4787</v>
      </c>
      <c r="B2561" s="9"/>
      <c r="C2561" s="37"/>
      <c r="D2561" s="37"/>
      <c r="E2561" s="37"/>
      <c r="F2561" s="24"/>
      <c r="G2561" s="24"/>
      <c r="H2561" s="38"/>
      <c r="I2561" s="111"/>
      <c r="J2561" s="214"/>
      <c r="K2561" s="10"/>
      <c r="L2561" s="106"/>
      <c r="M2561" s="106"/>
      <c r="N2561" s="37"/>
      <c r="O2561" s="37"/>
      <c r="P2561" s="37"/>
      <c r="Q2561" s="37"/>
      <c r="R2561" s="37"/>
      <c r="S2561" s="10"/>
      <c r="T2561" s="10"/>
      <c r="U2561" s="22">
        <v>0</v>
      </c>
      <c r="V2561" s="22">
        <v>0</v>
      </c>
      <c r="W2561" s="73">
        <f t="shared" si="138"/>
        <v>1142</v>
      </c>
      <c r="X2561" s="80">
        <f t="shared" si="139"/>
        <v>7372</v>
      </c>
      <c r="Y2561" s="82" t="s">
        <v>3584</v>
      </c>
      <c r="Z2561" s="9"/>
      <c r="AA2561" s="186"/>
      <c r="AB2561" s="186"/>
      <c r="AC2561" s="89"/>
      <c r="AD2561" s="89"/>
      <c r="AE2561" s="9"/>
      <c r="AF2561" s="10"/>
      <c r="AG2561" s="10"/>
      <c r="AH2561" s="10"/>
      <c r="AI2561" s="10"/>
      <c r="AJ2561" s="10"/>
      <c r="AK2561" s="10"/>
    </row>
    <row r="2562" spans="1:37" s="8" customFormat="1" ht="15.45" customHeight="1" x14ac:dyDescent="0.25">
      <c r="A2562" s="29" t="s">
        <v>4784</v>
      </c>
      <c r="B2562" s="9"/>
      <c r="C2562" s="37"/>
      <c r="D2562" s="37"/>
      <c r="E2562" s="37"/>
      <c r="F2562" s="24"/>
      <c r="G2562" s="24"/>
      <c r="H2562" s="38"/>
      <c r="I2562" s="111"/>
      <c r="J2562" s="214"/>
      <c r="K2562" s="10"/>
      <c r="L2562" s="106"/>
      <c r="M2562" s="106"/>
      <c r="N2562" s="37"/>
      <c r="O2562" s="37"/>
      <c r="P2562" s="37"/>
      <c r="Q2562" s="37"/>
      <c r="R2562" s="37"/>
      <c r="S2562" s="10"/>
      <c r="T2562" s="10"/>
      <c r="U2562" s="22">
        <v>0</v>
      </c>
      <c r="V2562" s="22">
        <v>0</v>
      </c>
      <c r="W2562" s="73">
        <f t="shared" si="138"/>
        <v>1142</v>
      </c>
      <c r="X2562" s="80">
        <f t="shared" si="139"/>
        <v>7372</v>
      </c>
      <c r="Y2562" s="82" t="s">
        <v>3584</v>
      </c>
      <c r="Z2562" s="9"/>
      <c r="AA2562" s="186"/>
      <c r="AB2562" s="186"/>
      <c r="AC2562" s="89"/>
      <c r="AD2562" s="89"/>
      <c r="AE2562" s="9"/>
      <c r="AF2562" s="10"/>
      <c r="AG2562" s="10"/>
      <c r="AH2562" s="10"/>
      <c r="AI2562" s="10"/>
      <c r="AJ2562" s="10"/>
      <c r="AK2562" s="10"/>
    </row>
    <row r="2563" spans="1:37" s="8" customFormat="1" ht="15.45" customHeight="1" x14ac:dyDescent="0.25">
      <c r="A2563" s="29" t="s">
        <v>4785</v>
      </c>
      <c r="B2563" s="9"/>
      <c r="C2563" s="37"/>
      <c r="D2563" s="37"/>
      <c r="E2563" s="37"/>
      <c r="F2563" s="24"/>
      <c r="G2563" s="24"/>
      <c r="H2563" s="38"/>
      <c r="I2563" s="111"/>
      <c r="J2563" s="214"/>
      <c r="K2563" s="10"/>
      <c r="L2563" s="106"/>
      <c r="M2563" s="106"/>
      <c r="N2563" s="37"/>
      <c r="O2563" s="37"/>
      <c r="P2563" s="37"/>
      <c r="Q2563" s="37"/>
      <c r="R2563" s="37"/>
      <c r="S2563" s="10"/>
      <c r="T2563" s="10"/>
      <c r="U2563" s="22">
        <v>0</v>
      </c>
      <c r="V2563" s="22">
        <v>0</v>
      </c>
      <c r="W2563" s="73">
        <f t="shared" si="138"/>
        <v>1142</v>
      </c>
      <c r="X2563" s="80">
        <f t="shared" si="139"/>
        <v>7372</v>
      </c>
      <c r="Y2563" s="82" t="s">
        <v>3584</v>
      </c>
      <c r="Z2563" s="9"/>
      <c r="AA2563" s="186"/>
      <c r="AB2563" s="186"/>
      <c r="AC2563" s="89"/>
      <c r="AD2563" s="89"/>
      <c r="AE2563" s="9"/>
      <c r="AF2563" s="10"/>
      <c r="AG2563" s="10"/>
      <c r="AH2563" s="10"/>
      <c r="AI2563" s="10"/>
      <c r="AJ2563" s="10"/>
      <c r="AK2563" s="10"/>
    </row>
    <row r="2564" spans="1:37" s="8" customFormat="1" ht="15.45" customHeight="1" x14ac:dyDescent="0.25">
      <c r="A2564" s="29" t="s">
        <v>2094</v>
      </c>
      <c r="B2564" s="9"/>
      <c r="C2564" s="37" t="s">
        <v>2152</v>
      </c>
      <c r="D2564" s="37"/>
      <c r="E2564" s="37" t="s">
        <v>2832</v>
      </c>
      <c r="F2564" s="24"/>
      <c r="G2564" s="24"/>
      <c r="H2564" s="38"/>
      <c r="I2564" s="111"/>
      <c r="J2564" s="214" t="s">
        <v>3749</v>
      </c>
      <c r="K2564" s="10" t="s">
        <v>3750</v>
      </c>
      <c r="L2564" s="106"/>
      <c r="M2564" s="106"/>
      <c r="N2564" s="37"/>
      <c r="O2564" s="37"/>
      <c r="P2564" s="37"/>
      <c r="Q2564" s="37"/>
      <c r="R2564" s="37"/>
      <c r="S2564" s="10" t="s">
        <v>2983</v>
      </c>
      <c r="T2564" s="10"/>
      <c r="U2564" s="22">
        <v>130</v>
      </c>
      <c r="V2564" s="22">
        <v>130</v>
      </c>
      <c r="W2564" s="73">
        <f>W2562+V2564</f>
        <v>1272</v>
      </c>
      <c r="X2564" s="80">
        <f t="shared" si="139"/>
        <v>7502</v>
      </c>
      <c r="Y2564" s="82" t="s">
        <v>3584</v>
      </c>
      <c r="Z2564" s="9"/>
      <c r="AA2564" s="186"/>
      <c r="AB2564" s="186"/>
      <c r="AC2564" s="89"/>
      <c r="AD2564" s="89"/>
      <c r="AE2564" s="9"/>
      <c r="AF2564" s="10"/>
      <c r="AG2564" s="10"/>
      <c r="AH2564" s="10"/>
      <c r="AI2564" s="10"/>
      <c r="AJ2564" s="10"/>
      <c r="AK2564" s="10"/>
    </row>
    <row r="2565" spans="1:37" s="8" customFormat="1" ht="15.45" customHeight="1" x14ac:dyDescent="0.25">
      <c r="A2565" s="29" t="s">
        <v>6083</v>
      </c>
      <c r="B2565" s="9"/>
      <c r="C2565" s="37" t="s">
        <v>2152</v>
      </c>
      <c r="D2565" s="37"/>
      <c r="E2565" s="37" t="s">
        <v>5301</v>
      </c>
      <c r="F2565" s="24" t="s">
        <v>6086</v>
      </c>
      <c r="G2565" s="24"/>
      <c r="H2565" s="38" t="s">
        <v>6084</v>
      </c>
      <c r="I2565" s="111"/>
      <c r="J2565" s="214" t="s">
        <v>6085</v>
      </c>
      <c r="K2565" s="10"/>
      <c r="L2565" s="106"/>
      <c r="M2565" s="106"/>
      <c r="N2565" s="37"/>
      <c r="O2565" s="37"/>
      <c r="P2565" s="37"/>
      <c r="Q2565" s="37"/>
      <c r="R2565" s="37"/>
      <c r="S2565" s="10" t="s">
        <v>2983</v>
      </c>
      <c r="T2565" s="10"/>
      <c r="U2565" s="22">
        <v>1</v>
      </c>
      <c r="V2565" s="22">
        <v>1</v>
      </c>
      <c r="W2565" s="73">
        <f>W2563+V2565</f>
        <v>1143</v>
      </c>
      <c r="X2565" s="80">
        <f t="shared" si="139"/>
        <v>7503</v>
      </c>
      <c r="Y2565" s="82" t="s">
        <v>3584</v>
      </c>
      <c r="Z2565" s="9"/>
      <c r="AA2565" s="186"/>
      <c r="AB2565" s="186"/>
      <c r="AC2565" s="89"/>
      <c r="AD2565" s="89"/>
      <c r="AE2565" s="9"/>
      <c r="AF2565" s="10"/>
      <c r="AG2565" s="10"/>
      <c r="AH2565" s="10"/>
      <c r="AI2565" s="10"/>
      <c r="AJ2565" s="10"/>
      <c r="AK2565" s="10"/>
    </row>
    <row r="2566" spans="1:37" s="69" customFormat="1" ht="15.45" customHeight="1" x14ac:dyDescent="0.25">
      <c r="A2566" s="45" t="s">
        <v>2158</v>
      </c>
      <c r="B2566" s="90"/>
      <c r="C2566" s="49"/>
      <c r="D2566" s="49"/>
      <c r="E2566" s="49"/>
      <c r="F2566" s="50"/>
      <c r="G2566" s="50"/>
      <c r="H2566" s="46"/>
      <c r="I2566" s="109"/>
      <c r="J2566" s="226"/>
      <c r="K2566" s="129"/>
      <c r="L2566" s="101"/>
      <c r="M2566" s="101"/>
      <c r="N2566" s="49"/>
      <c r="O2566" s="49"/>
      <c r="P2566" s="49"/>
      <c r="Q2566" s="49"/>
      <c r="R2566" s="49"/>
      <c r="S2566" s="47"/>
      <c r="T2566" s="47"/>
      <c r="U2566" s="48"/>
      <c r="V2566" s="48"/>
      <c r="W2566" s="74"/>
      <c r="X2566" s="81"/>
      <c r="Y2566" s="92"/>
      <c r="Z2566" s="90"/>
      <c r="AA2566" s="187"/>
      <c r="AB2566" s="187"/>
      <c r="AC2566" s="91"/>
      <c r="AD2566" s="91"/>
      <c r="AE2566" s="90"/>
      <c r="AF2566" s="47"/>
      <c r="AG2566" s="47"/>
      <c r="AH2566" s="47"/>
      <c r="AI2566" s="47"/>
      <c r="AJ2566" s="47"/>
      <c r="AK2566" s="47"/>
    </row>
    <row r="2567" spans="1:37" ht="15.45" customHeight="1" x14ac:dyDescent="0.25">
      <c r="A2567" s="29" t="s">
        <v>3372</v>
      </c>
      <c r="C2567" s="37" t="s">
        <v>2153</v>
      </c>
      <c r="E2567" s="37" t="s">
        <v>2828</v>
      </c>
      <c r="F2567" s="24" t="s">
        <v>6702</v>
      </c>
      <c r="J2567" s="214" t="s">
        <v>3669</v>
      </c>
      <c r="U2567" s="22">
        <v>46</v>
      </c>
      <c r="V2567" s="22">
        <v>46</v>
      </c>
      <c r="W2567" s="73">
        <v>46</v>
      </c>
      <c r="X2567" s="80">
        <f>V2567+X2565</f>
        <v>7549</v>
      </c>
      <c r="Y2567" s="82" t="s">
        <v>3584</v>
      </c>
      <c r="AA2567" s="178"/>
      <c r="AB2567" s="178"/>
    </row>
    <row r="2568" spans="1:37" ht="15.45" customHeight="1" x14ac:dyDescent="0.25">
      <c r="A2568" s="29" t="s">
        <v>3373</v>
      </c>
      <c r="C2568" s="37" t="s">
        <v>2153</v>
      </c>
      <c r="E2568" s="37" t="s">
        <v>2828</v>
      </c>
      <c r="F2568" s="24" t="s">
        <v>6702</v>
      </c>
      <c r="J2568" s="214" t="s">
        <v>3669</v>
      </c>
      <c r="U2568" s="22">
        <v>54</v>
      </c>
      <c r="V2568" s="22">
        <v>54</v>
      </c>
      <c r="W2568" s="73">
        <f t="shared" ref="W2568:W2576" si="140">W2567+V2568</f>
        <v>100</v>
      </c>
      <c r="X2568" s="80">
        <f t="shared" ref="X2568:X2576" si="141">V2568+X2567</f>
        <v>7603</v>
      </c>
      <c r="Y2568" s="82" t="s">
        <v>3584</v>
      </c>
      <c r="AA2568" s="178"/>
      <c r="AB2568" s="178"/>
    </row>
    <row r="2569" spans="1:37" ht="15.45" customHeight="1" x14ac:dyDescent="0.25">
      <c r="A2569" s="29" t="s">
        <v>3374</v>
      </c>
      <c r="C2569" s="37" t="s">
        <v>2153</v>
      </c>
      <c r="E2569" s="37" t="s">
        <v>2828</v>
      </c>
      <c r="F2569" s="24" t="s">
        <v>6702</v>
      </c>
      <c r="J2569" s="214" t="s">
        <v>3669</v>
      </c>
      <c r="U2569" s="22">
        <v>65</v>
      </c>
      <c r="V2569" s="22">
        <v>65</v>
      </c>
      <c r="W2569" s="73">
        <f t="shared" si="140"/>
        <v>165</v>
      </c>
      <c r="X2569" s="80">
        <f t="shared" si="141"/>
        <v>7668</v>
      </c>
      <c r="Y2569" s="82" t="s">
        <v>3584</v>
      </c>
      <c r="AA2569" s="178"/>
      <c r="AB2569" s="178"/>
    </row>
    <row r="2570" spans="1:37" ht="15.45" customHeight="1" x14ac:dyDescent="0.25">
      <c r="A2570" s="29" t="s">
        <v>3375</v>
      </c>
      <c r="B2570" s="24" t="s">
        <v>6701</v>
      </c>
      <c r="C2570" s="37" t="s">
        <v>2153</v>
      </c>
      <c r="E2570" s="37" t="s">
        <v>2828</v>
      </c>
      <c r="F2570" s="24" t="s">
        <v>6702</v>
      </c>
      <c r="J2570" s="214" t="s">
        <v>3669</v>
      </c>
      <c r="U2570" s="22">
        <v>0</v>
      </c>
      <c r="V2570" s="22">
        <v>0</v>
      </c>
      <c r="W2570" s="73">
        <f t="shared" si="140"/>
        <v>165</v>
      </c>
      <c r="X2570" s="80">
        <f t="shared" si="141"/>
        <v>7668</v>
      </c>
      <c r="Y2570" s="82" t="s">
        <v>3584</v>
      </c>
      <c r="AA2570" s="178"/>
      <c r="AB2570" s="178"/>
    </row>
    <row r="2571" spans="1:37" ht="15.45" customHeight="1" x14ac:dyDescent="0.25">
      <c r="A2571" s="29" t="s">
        <v>3376</v>
      </c>
      <c r="C2571" s="37" t="s">
        <v>2153</v>
      </c>
      <c r="E2571" s="37" t="s">
        <v>2828</v>
      </c>
      <c r="F2571" s="24" t="s">
        <v>6702</v>
      </c>
      <c r="J2571" s="214" t="s">
        <v>3669</v>
      </c>
      <c r="U2571" s="22">
        <v>24</v>
      </c>
      <c r="V2571" s="22">
        <v>24</v>
      </c>
      <c r="W2571" s="73">
        <f t="shared" si="140"/>
        <v>189</v>
      </c>
      <c r="X2571" s="80">
        <f t="shared" si="141"/>
        <v>7692</v>
      </c>
      <c r="Y2571" s="82" t="s">
        <v>3584</v>
      </c>
      <c r="AA2571" s="178"/>
      <c r="AB2571" s="178"/>
    </row>
    <row r="2572" spans="1:37" ht="15.45" customHeight="1" x14ac:dyDescent="0.25">
      <c r="A2572" s="29" t="s">
        <v>2216</v>
      </c>
      <c r="C2572" s="37" t="s">
        <v>2153</v>
      </c>
      <c r="E2572" s="37" t="s">
        <v>2828</v>
      </c>
      <c r="F2572" s="24" t="s">
        <v>6702</v>
      </c>
      <c r="J2572" s="214" t="s">
        <v>3669</v>
      </c>
      <c r="U2572" s="22">
        <v>41</v>
      </c>
      <c r="V2572" s="22">
        <v>41</v>
      </c>
      <c r="W2572" s="73">
        <f t="shared" si="140"/>
        <v>230</v>
      </c>
      <c r="X2572" s="80">
        <f t="shared" si="141"/>
        <v>7733</v>
      </c>
      <c r="Y2572" s="82" t="s">
        <v>3584</v>
      </c>
      <c r="AA2572" s="178"/>
      <c r="AB2572" s="178"/>
    </row>
    <row r="2573" spans="1:37" ht="15.45" customHeight="1" x14ac:dyDescent="0.25">
      <c r="A2573" s="29" t="s">
        <v>2217</v>
      </c>
      <c r="C2573" s="37" t="s">
        <v>2153</v>
      </c>
      <c r="E2573" s="37" t="s">
        <v>2828</v>
      </c>
      <c r="F2573" s="24" t="s">
        <v>6702</v>
      </c>
      <c r="J2573" s="214" t="s">
        <v>3669</v>
      </c>
      <c r="U2573" s="22">
        <v>37</v>
      </c>
      <c r="V2573" s="22">
        <v>37</v>
      </c>
      <c r="W2573" s="73">
        <f t="shared" si="140"/>
        <v>267</v>
      </c>
      <c r="X2573" s="80">
        <f t="shared" si="141"/>
        <v>7770</v>
      </c>
      <c r="Y2573" s="82" t="s">
        <v>3584</v>
      </c>
      <c r="AA2573" s="178"/>
      <c r="AB2573" s="178"/>
    </row>
    <row r="2574" spans="1:37" ht="15.45" customHeight="1" x14ac:dyDescent="0.25">
      <c r="A2574" s="9" t="s">
        <v>2218</v>
      </c>
      <c r="C2574" s="37" t="s">
        <v>2153</v>
      </c>
      <c r="E2574" s="37" t="s">
        <v>2828</v>
      </c>
      <c r="F2574" s="24" t="s">
        <v>6702</v>
      </c>
      <c r="J2574" s="214" t="s">
        <v>3669</v>
      </c>
      <c r="U2574" s="22">
        <v>20</v>
      </c>
      <c r="V2574" s="22">
        <v>20</v>
      </c>
      <c r="W2574" s="73">
        <f t="shared" si="140"/>
        <v>287</v>
      </c>
      <c r="X2574" s="80">
        <f t="shared" si="141"/>
        <v>7790</v>
      </c>
      <c r="Y2574" s="82" t="s">
        <v>3584</v>
      </c>
      <c r="AA2574" s="178"/>
      <c r="AB2574" s="178"/>
    </row>
    <row r="2575" spans="1:37" ht="15.45" customHeight="1" x14ac:dyDescent="0.25">
      <c r="A2575" s="29" t="s">
        <v>6073</v>
      </c>
      <c r="C2575" s="37" t="s">
        <v>2153</v>
      </c>
      <c r="E2575" s="37" t="s">
        <v>5301</v>
      </c>
      <c r="F2575" s="24" t="s">
        <v>6070</v>
      </c>
      <c r="H2575" s="38" t="s">
        <v>6074</v>
      </c>
      <c r="J2575" s="214" t="s">
        <v>6076</v>
      </c>
      <c r="N2575" s="37" t="s">
        <v>6075</v>
      </c>
      <c r="P2575" s="37" t="s">
        <v>1781</v>
      </c>
      <c r="Q2575" s="37" t="s">
        <v>3506</v>
      </c>
      <c r="S2575" s="10" t="s">
        <v>3436</v>
      </c>
      <c r="U2575" s="22">
        <v>1</v>
      </c>
      <c r="V2575" s="22">
        <v>1</v>
      </c>
      <c r="W2575" s="73">
        <f t="shared" si="140"/>
        <v>288</v>
      </c>
      <c r="X2575" s="80">
        <f t="shared" si="141"/>
        <v>7791</v>
      </c>
      <c r="Y2575" s="82" t="s">
        <v>3584</v>
      </c>
      <c r="AA2575" s="178"/>
      <c r="AB2575" s="178">
        <v>44455</v>
      </c>
      <c r="AC2575" s="84" t="s">
        <v>5308</v>
      </c>
    </row>
    <row r="2576" spans="1:37" ht="15.45" customHeight="1" x14ac:dyDescent="0.25">
      <c r="A2576" s="29" t="s">
        <v>2215</v>
      </c>
      <c r="C2576" s="37" t="s">
        <v>2153</v>
      </c>
      <c r="E2576" s="37" t="s">
        <v>2828</v>
      </c>
      <c r="F2576" s="24" t="s">
        <v>6702</v>
      </c>
      <c r="J2576" s="214" t="s">
        <v>3669</v>
      </c>
      <c r="U2576" s="22">
        <v>25</v>
      </c>
      <c r="V2576" s="22">
        <v>25</v>
      </c>
      <c r="W2576" s="73">
        <f t="shared" si="140"/>
        <v>313</v>
      </c>
      <c r="X2576" s="80">
        <f t="shared" si="141"/>
        <v>7816</v>
      </c>
      <c r="Y2576" s="82" t="s">
        <v>3584</v>
      </c>
      <c r="AA2576" s="178"/>
      <c r="AB2576" s="178"/>
    </row>
    <row r="2577" spans="1:37" s="51" customFormat="1" ht="15.45" customHeight="1" x14ac:dyDescent="0.25">
      <c r="A2577" s="45" t="s">
        <v>4947</v>
      </c>
      <c r="B2577" s="50"/>
      <c r="C2577" s="49"/>
      <c r="D2577" s="49"/>
      <c r="E2577" s="49"/>
      <c r="F2577" s="50"/>
      <c r="G2577" s="50"/>
      <c r="H2577" s="46"/>
      <c r="I2577" s="109"/>
      <c r="J2577" s="212"/>
      <c r="K2577" s="56"/>
      <c r="L2577" s="100"/>
      <c r="M2577" s="100"/>
      <c r="N2577" s="49"/>
      <c r="O2577" s="49"/>
      <c r="P2577" s="49"/>
      <c r="Q2577" s="49"/>
      <c r="R2577" s="49"/>
      <c r="S2577" s="47"/>
      <c r="T2577" s="47"/>
      <c r="U2577" s="48"/>
      <c r="V2577" s="48"/>
      <c r="W2577" s="74"/>
      <c r="X2577" s="81"/>
      <c r="Y2577" s="132"/>
      <c r="Z2577" s="50"/>
      <c r="AA2577" s="173"/>
      <c r="AB2577" s="173"/>
      <c r="AC2577" s="137"/>
      <c r="AD2577" s="137"/>
      <c r="AE2577" s="83"/>
      <c r="AF2577" s="47"/>
      <c r="AG2577" s="47"/>
      <c r="AH2577" s="47"/>
      <c r="AI2577" s="47"/>
      <c r="AJ2577" s="47"/>
      <c r="AK2577" s="47"/>
    </row>
    <row r="2578" spans="1:37" ht="15.45" customHeight="1" x14ac:dyDescent="0.25">
      <c r="A2578" s="29" t="s">
        <v>3463</v>
      </c>
      <c r="C2578" s="37" t="s">
        <v>2154</v>
      </c>
      <c r="E2578" s="37" t="s">
        <v>2832</v>
      </c>
      <c r="F2578" s="24" t="s">
        <v>5258</v>
      </c>
      <c r="H2578" s="38" t="s">
        <v>3462</v>
      </c>
      <c r="J2578" s="215">
        <v>1879</v>
      </c>
      <c r="N2578" s="37" t="s">
        <v>3466</v>
      </c>
      <c r="Q2578" s="37" t="s">
        <v>3506</v>
      </c>
      <c r="U2578" s="22">
        <v>1</v>
      </c>
      <c r="V2578" s="22">
        <v>1</v>
      </c>
      <c r="W2578" s="73">
        <f t="shared" ref="W2578:W2592" si="142">W2577+V2578</f>
        <v>1</v>
      </c>
      <c r="X2578" s="80">
        <f>V2578+X2576</f>
        <v>7817</v>
      </c>
      <c r="Y2578" s="82" t="s">
        <v>3584</v>
      </c>
    </row>
    <row r="2579" spans="1:37" ht="15.45" customHeight="1" x14ac:dyDescent="0.25">
      <c r="A2579" s="29" t="s">
        <v>3460</v>
      </c>
      <c r="B2579" s="24" t="s">
        <v>3461</v>
      </c>
      <c r="C2579" s="37" t="s">
        <v>2154</v>
      </c>
      <c r="E2579" s="37" t="s">
        <v>2827</v>
      </c>
      <c r="F2579" s="24" t="s">
        <v>1951</v>
      </c>
      <c r="H2579" s="38" t="s">
        <v>6498</v>
      </c>
      <c r="J2579" s="215">
        <v>1872</v>
      </c>
      <c r="N2579" s="37" t="s">
        <v>3465</v>
      </c>
      <c r="P2579" s="37" t="s">
        <v>1463</v>
      </c>
      <c r="Q2579" s="37" t="s">
        <v>3506</v>
      </c>
      <c r="U2579" s="22">
        <v>1</v>
      </c>
      <c r="V2579" s="22">
        <v>1</v>
      </c>
      <c r="W2579" s="73">
        <f t="shared" si="142"/>
        <v>2</v>
      </c>
      <c r="X2579" s="80">
        <f t="shared" ref="X2579:X2592" si="143">V2579+X2578</f>
        <v>7818</v>
      </c>
      <c r="AB2579" s="177">
        <v>43619</v>
      </c>
      <c r="AC2579" s="84" t="s">
        <v>2885</v>
      </c>
    </row>
    <row r="2580" spans="1:37" ht="15.45" customHeight="1" x14ac:dyDescent="0.25">
      <c r="A2580" s="29" t="s">
        <v>3464</v>
      </c>
      <c r="B2580" s="24" t="s">
        <v>4701</v>
      </c>
      <c r="C2580" s="37" t="s">
        <v>2154</v>
      </c>
      <c r="E2580" s="37" t="s">
        <v>2827</v>
      </c>
      <c r="F2580" s="24" t="s">
        <v>1951</v>
      </c>
      <c r="H2580" s="38" t="s">
        <v>4945</v>
      </c>
      <c r="J2580" s="215">
        <v>1883</v>
      </c>
      <c r="N2580" s="37" t="s">
        <v>3465</v>
      </c>
      <c r="P2580" s="37" t="s">
        <v>1463</v>
      </c>
      <c r="Q2580" s="37" t="s">
        <v>3506</v>
      </c>
      <c r="U2580" s="22">
        <v>1</v>
      </c>
      <c r="V2580" s="22">
        <v>1</v>
      </c>
      <c r="W2580" s="73">
        <f t="shared" si="142"/>
        <v>3</v>
      </c>
      <c r="X2580" s="80">
        <f t="shared" si="143"/>
        <v>7819</v>
      </c>
      <c r="Y2580" s="82" t="s">
        <v>2907</v>
      </c>
    </row>
    <row r="2581" spans="1:37" ht="15.45" customHeight="1" x14ac:dyDescent="0.25">
      <c r="A2581" s="29" t="s">
        <v>5657</v>
      </c>
      <c r="C2581" s="37" t="s">
        <v>2154</v>
      </c>
      <c r="E2581" s="37" t="s">
        <v>2827</v>
      </c>
      <c r="F2581" s="24" t="s">
        <v>4707</v>
      </c>
      <c r="H2581" s="38" t="s">
        <v>5658</v>
      </c>
      <c r="J2581" s="215">
        <v>1925</v>
      </c>
      <c r="K2581" s="10" t="s">
        <v>5659</v>
      </c>
      <c r="N2581" s="37" t="s">
        <v>5660</v>
      </c>
      <c r="P2581" s="37" t="s">
        <v>51</v>
      </c>
      <c r="Q2581" s="37" t="s">
        <v>3506</v>
      </c>
      <c r="S2581" s="10" t="s">
        <v>2983</v>
      </c>
      <c r="T2581" s="10" t="s">
        <v>5661</v>
      </c>
      <c r="U2581" s="22">
        <v>1</v>
      </c>
      <c r="V2581" s="22">
        <v>1</v>
      </c>
      <c r="W2581" s="73">
        <f t="shared" si="142"/>
        <v>4</v>
      </c>
      <c r="X2581" s="80">
        <f t="shared" si="143"/>
        <v>7820</v>
      </c>
      <c r="Y2581" s="82" t="s">
        <v>3584</v>
      </c>
      <c r="AB2581" s="177">
        <v>44330</v>
      </c>
      <c r="AC2581" s="84" t="s">
        <v>5308</v>
      </c>
    </row>
    <row r="2582" spans="1:37" ht="15.45" customHeight="1" x14ac:dyDescent="0.25">
      <c r="A2582" s="29" t="s">
        <v>4946</v>
      </c>
      <c r="C2582" s="37" t="s">
        <v>2154</v>
      </c>
      <c r="E2582" s="37" t="s">
        <v>2927</v>
      </c>
      <c r="F2582" s="24" t="s">
        <v>3166</v>
      </c>
      <c r="H2582" s="38" t="s">
        <v>4863</v>
      </c>
      <c r="J2582" s="215">
        <v>1963</v>
      </c>
      <c r="K2582" s="10" t="s">
        <v>4568</v>
      </c>
      <c r="N2582" s="37" t="s">
        <v>4864</v>
      </c>
      <c r="P2582" s="37" t="s">
        <v>1781</v>
      </c>
      <c r="Q2582" s="37" t="s">
        <v>3506</v>
      </c>
      <c r="S2582" s="10" t="s">
        <v>3412</v>
      </c>
      <c r="T2582" s="10" t="s">
        <v>4865</v>
      </c>
      <c r="U2582" s="22">
        <v>1</v>
      </c>
      <c r="V2582" s="22">
        <v>1</v>
      </c>
      <c r="W2582" s="73">
        <f t="shared" si="142"/>
        <v>5</v>
      </c>
      <c r="X2582" s="80">
        <f t="shared" si="143"/>
        <v>7821</v>
      </c>
      <c r="Y2582" s="82" t="s">
        <v>3588</v>
      </c>
      <c r="AB2582" s="177">
        <v>43619</v>
      </c>
      <c r="AC2582" s="84" t="s">
        <v>2885</v>
      </c>
    </row>
    <row r="2583" spans="1:37" ht="15.45" customHeight="1" x14ac:dyDescent="0.25">
      <c r="A2583" s="29" t="s">
        <v>2623</v>
      </c>
      <c r="C2583" s="37" t="s">
        <v>2154</v>
      </c>
      <c r="E2583" s="37" t="s">
        <v>2926</v>
      </c>
      <c r="F2583" s="24" t="s">
        <v>5258</v>
      </c>
      <c r="H2583" s="38" t="s">
        <v>3468</v>
      </c>
      <c r="J2583" s="215">
        <v>1890</v>
      </c>
      <c r="N2583" s="37" t="s">
        <v>3467</v>
      </c>
      <c r="P2583" s="37" t="s">
        <v>1463</v>
      </c>
      <c r="Q2583" s="37" t="s">
        <v>3506</v>
      </c>
      <c r="S2583" s="10" t="s">
        <v>3412</v>
      </c>
      <c r="U2583" s="22">
        <v>2</v>
      </c>
      <c r="V2583" s="22">
        <v>2</v>
      </c>
      <c r="W2583" s="73">
        <f t="shared" si="142"/>
        <v>7</v>
      </c>
      <c r="X2583" s="80">
        <f t="shared" si="143"/>
        <v>7823</v>
      </c>
      <c r="Y2583" s="82" t="s">
        <v>3591</v>
      </c>
      <c r="Z2583" s="24" t="s">
        <v>5787</v>
      </c>
      <c r="AB2583" s="177">
        <v>42402</v>
      </c>
      <c r="AC2583" s="84" t="s">
        <v>2885</v>
      </c>
    </row>
    <row r="2584" spans="1:37" ht="15.45" customHeight="1" x14ac:dyDescent="0.25">
      <c r="A2584" s="29" t="s">
        <v>4604</v>
      </c>
      <c r="C2584" s="37" t="s">
        <v>2154</v>
      </c>
      <c r="E2584" s="37" t="s">
        <v>2926</v>
      </c>
      <c r="F2584" s="24" t="s">
        <v>4606</v>
      </c>
      <c r="H2584" s="38" t="s">
        <v>4612</v>
      </c>
      <c r="J2584" s="215">
        <v>1947</v>
      </c>
      <c r="N2584" s="37" t="s">
        <v>4605</v>
      </c>
      <c r="P2584" s="37" t="s">
        <v>1463</v>
      </c>
      <c r="Q2584" s="37" t="s">
        <v>3506</v>
      </c>
      <c r="S2584" s="10" t="s">
        <v>3412</v>
      </c>
      <c r="U2584" s="22">
        <v>1</v>
      </c>
      <c r="V2584" s="22">
        <v>1</v>
      </c>
      <c r="W2584" s="73">
        <f t="shared" si="142"/>
        <v>8</v>
      </c>
      <c r="X2584" s="80">
        <f t="shared" si="143"/>
        <v>7824</v>
      </c>
      <c r="Y2584" s="82" t="s">
        <v>3591</v>
      </c>
      <c r="Z2584" s="24" t="s">
        <v>5787</v>
      </c>
      <c r="AB2584" s="177">
        <v>42402</v>
      </c>
      <c r="AC2584" s="84" t="s">
        <v>2885</v>
      </c>
    </row>
    <row r="2585" spans="1:37" ht="15.45" customHeight="1" x14ac:dyDescent="0.25">
      <c r="A2585" s="29" t="s">
        <v>4609</v>
      </c>
      <c r="C2585" s="37" t="s">
        <v>2154</v>
      </c>
      <c r="E2585" s="37" t="s">
        <v>2926</v>
      </c>
      <c r="F2585" s="24" t="s">
        <v>4606</v>
      </c>
      <c r="H2585" s="38" t="s">
        <v>4612</v>
      </c>
      <c r="J2585" s="215">
        <v>1944</v>
      </c>
      <c r="N2585" s="37" t="s">
        <v>4605</v>
      </c>
      <c r="P2585" s="37" t="s">
        <v>1463</v>
      </c>
      <c r="Q2585" s="37" t="s">
        <v>3506</v>
      </c>
      <c r="S2585" s="10" t="s">
        <v>3412</v>
      </c>
      <c r="U2585" s="22">
        <v>1</v>
      </c>
      <c r="V2585" s="22">
        <v>1</v>
      </c>
      <c r="W2585" s="73">
        <f t="shared" si="142"/>
        <v>9</v>
      </c>
      <c r="X2585" s="80">
        <f t="shared" si="143"/>
        <v>7825</v>
      </c>
      <c r="Y2585" s="82" t="s">
        <v>3591</v>
      </c>
      <c r="Z2585" s="24" t="s">
        <v>5787</v>
      </c>
      <c r="AB2585" s="177">
        <v>42402</v>
      </c>
      <c r="AC2585" s="84" t="s">
        <v>2885</v>
      </c>
    </row>
    <row r="2586" spans="1:37" ht="15.45" customHeight="1" x14ac:dyDescent="0.25">
      <c r="A2586" s="29" t="s">
        <v>4608</v>
      </c>
      <c r="C2586" s="37" t="s">
        <v>2154</v>
      </c>
      <c r="E2586" s="37" t="s">
        <v>2927</v>
      </c>
      <c r="F2586" s="24" t="s">
        <v>4949</v>
      </c>
      <c r="H2586" s="38" t="s">
        <v>4612</v>
      </c>
      <c r="J2586" s="215">
        <v>1950</v>
      </c>
      <c r="N2586" s="37" t="s">
        <v>4605</v>
      </c>
      <c r="P2586" s="37" t="s">
        <v>1463</v>
      </c>
      <c r="Q2586" s="37" t="s">
        <v>3506</v>
      </c>
      <c r="S2586" s="10" t="s">
        <v>3412</v>
      </c>
      <c r="U2586" s="22">
        <v>1</v>
      </c>
      <c r="V2586" s="22">
        <v>1</v>
      </c>
      <c r="W2586" s="73">
        <f t="shared" si="142"/>
        <v>10</v>
      </c>
      <c r="X2586" s="80">
        <f t="shared" si="143"/>
        <v>7826</v>
      </c>
      <c r="Y2586" s="82" t="s">
        <v>3591</v>
      </c>
      <c r="Z2586" s="24" t="s">
        <v>5787</v>
      </c>
      <c r="AB2586" s="177">
        <v>42402</v>
      </c>
      <c r="AC2586" s="84" t="s">
        <v>2885</v>
      </c>
    </row>
    <row r="2587" spans="1:37" ht="15.45" customHeight="1" x14ac:dyDescent="0.25">
      <c r="A2587" s="29" t="s">
        <v>5118</v>
      </c>
      <c r="C2587" s="37" t="s">
        <v>2154</v>
      </c>
      <c r="E2587" s="37" t="s">
        <v>2928</v>
      </c>
      <c r="F2587" s="24" t="s">
        <v>5117</v>
      </c>
      <c r="H2587" s="38" t="s">
        <v>5119</v>
      </c>
      <c r="J2587" s="215">
        <v>1938</v>
      </c>
      <c r="N2587" s="37" t="s">
        <v>5121</v>
      </c>
      <c r="S2587" s="10" t="s">
        <v>2983</v>
      </c>
      <c r="T2587" s="10" t="s">
        <v>5120</v>
      </c>
      <c r="U2587" s="22">
        <v>1</v>
      </c>
      <c r="V2587" s="22">
        <v>1</v>
      </c>
      <c r="W2587" s="73">
        <f t="shared" si="142"/>
        <v>11</v>
      </c>
      <c r="X2587" s="80">
        <f t="shared" si="143"/>
        <v>7827</v>
      </c>
      <c r="Y2587" s="82" t="s">
        <v>3587</v>
      </c>
      <c r="AB2587" s="177">
        <v>43868</v>
      </c>
      <c r="AC2587" s="84" t="s">
        <v>2885</v>
      </c>
    </row>
    <row r="2588" spans="1:37" ht="15.45" customHeight="1" x14ac:dyDescent="0.25">
      <c r="A2588" s="29" t="s">
        <v>5122</v>
      </c>
      <c r="C2588" s="37" t="s">
        <v>2154</v>
      </c>
      <c r="E2588" s="37" t="s">
        <v>2928</v>
      </c>
      <c r="F2588" s="24" t="s">
        <v>5117</v>
      </c>
      <c r="H2588" s="38" t="s">
        <v>5119</v>
      </c>
      <c r="J2588" s="215">
        <v>1938</v>
      </c>
      <c r="N2588" s="37" t="s">
        <v>5121</v>
      </c>
      <c r="S2588" s="10" t="s">
        <v>2983</v>
      </c>
      <c r="U2588" s="22">
        <v>1</v>
      </c>
      <c r="V2588" s="22">
        <v>1</v>
      </c>
      <c r="W2588" s="73">
        <f t="shared" si="142"/>
        <v>12</v>
      </c>
      <c r="X2588" s="80">
        <f t="shared" si="143"/>
        <v>7828</v>
      </c>
      <c r="Y2588" s="82" t="s">
        <v>3587</v>
      </c>
      <c r="AB2588" s="177">
        <v>43868</v>
      </c>
      <c r="AC2588" s="84" t="s">
        <v>2885</v>
      </c>
    </row>
    <row r="2589" spans="1:37" ht="15.45" customHeight="1" x14ac:dyDescent="0.25">
      <c r="A2589" s="29" t="s">
        <v>5123</v>
      </c>
      <c r="C2589" s="37" t="s">
        <v>2154</v>
      </c>
      <c r="E2589" s="37" t="s">
        <v>2928</v>
      </c>
      <c r="F2589" s="24" t="s">
        <v>5117</v>
      </c>
      <c r="H2589" s="38" t="s">
        <v>5124</v>
      </c>
      <c r="J2589" s="215">
        <v>1938</v>
      </c>
      <c r="N2589" s="37" t="s">
        <v>5121</v>
      </c>
      <c r="S2589" s="10" t="s">
        <v>2983</v>
      </c>
      <c r="U2589" s="22">
        <v>1</v>
      </c>
      <c r="V2589" s="22">
        <v>1</v>
      </c>
      <c r="W2589" s="73">
        <f t="shared" si="142"/>
        <v>13</v>
      </c>
      <c r="X2589" s="80">
        <f t="shared" si="143"/>
        <v>7829</v>
      </c>
      <c r="Y2589" s="82" t="s">
        <v>3587</v>
      </c>
      <c r="AB2589" s="177">
        <v>43868</v>
      </c>
      <c r="AC2589" s="84" t="s">
        <v>2885</v>
      </c>
    </row>
    <row r="2590" spans="1:37" ht="15.45" customHeight="1" x14ac:dyDescent="0.25">
      <c r="A2590" s="29" t="s">
        <v>6647</v>
      </c>
      <c r="C2590" s="37" t="s">
        <v>2154</v>
      </c>
      <c r="E2590" s="37" t="s">
        <v>2927</v>
      </c>
      <c r="F2590" s="24" t="s">
        <v>2144</v>
      </c>
      <c r="H2590" s="38" t="s">
        <v>6650</v>
      </c>
      <c r="J2590" s="215">
        <v>1890</v>
      </c>
      <c r="N2590" s="37" t="s">
        <v>6648</v>
      </c>
      <c r="P2590" s="37" t="s">
        <v>1482</v>
      </c>
      <c r="Q2590" s="37" t="s">
        <v>1998</v>
      </c>
      <c r="S2590" s="10" t="s">
        <v>2980</v>
      </c>
      <c r="T2590" s="10" t="s">
        <v>6649</v>
      </c>
      <c r="U2590" s="22">
        <v>1</v>
      </c>
      <c r="V2590" s="22">
        <v>1</v>
      </c>
      <c r="W2590" s="73">
        <f t="shared" si="142"/>
        <v>14</v>
      </c>
      <c r="X2590" s="80">
        <f t="shared" si="143"/>
        <v>7830</v>
      </c>
      <c r="Y2590" s="82" t="s">
        <v>2986</v>
      </c>
      <c r="AB2590" s="177">
        <v>44655</v>
      </c>
      <c r="AC2590" s="84" t="s">
        <v>2885</v>
      </c>
    </row>
    <row r="2591" spans="1:37" ht="15.45" customHeight="1" x14ac:dyDescent="0.25">
      <c r="A2591" s="29" t="s">
        <v>6634</v>
      </c>
      <c r="C2591" s="37" t="s">
        <v>2154</v>
      </c>
      <c r="E2591" s="37" t="s">
        <v>2927</v>
      </c>
      <c r="F2591" s="24" t="s">
        <v>4948</v>
      </c>
      <c r="H2591" s="38" t="s">
        <v>4611</v>
      </c>
      <c r="J2591" s="215">
        <v>1953</v>
      </c>
      <c r="N2591" s="37" t="s">
        <v>4610</v>
      </c>
      <c r="P2591" s="37" t="s">
        <v>1463</v>
      </c>
      <c r="Q2591" s="37" t="s">
        <v>3506</v>
      </c>
      <c r="S2591" s="10" t="s">
        <v>3412</v>
      </c>
      <c r="U2591" s="22">
        <v>2</v>
      </c>
      <c r="V2591" s="22">
        <v>2</v>
      </c>
      <c r="W2591" s="73">
        <f t="shared" si="142"/>
        <v>16</v>
      </c>
      <c r="X2591" s="80">
        <f t="shared" si="143"/>
        <v>7832</v>
      </c>
      <c r="Y2591" s="82" t="s">
        <v>3591</v>
      </c>
      <c r="Z2591" s="24" t="s">
        <v>5787</v>
      </c>
      <c r="AB2591" s="177">
        <v>42402</v>
      </c>
      <c r="AC2591" s="84" t="s">
        <v>5308</v>
      </c>
    </row>
    <row r="2592" spans="1:37" ht="15.45" customHeight="1" x14ac:dyDescent="0.25">
      <c r="A2592" s="29" t="s">
        <v>4607</v>
      </c>
      <c r="C2592" s="37" t="s">
        <v>2154</v>
      </c>
      <c r="E2592" s="37" t="s">
        <v>2927</v>
      </c>
      <c r="F2592" s="24" t="s">
        <v>4401</v>
      </c>
      <c r="H2592" s="38" t="s">
        <v>4567</v>
      </c>
      <c r="J2592" s="215">
        <v>1962</v>
      </c>
      <c r="K2592" s="10" t="s">
        <v>4568</v>
      </c>
      <c r="N2592" s="37" t="s">
        <v>4569</v>
      </c>
      <c r="P2592" s="37" t="s">
        <v>1781</v>
      </c>
      <c r="Q2592" s="37" t="s">
        <v>3506</v>
      </c>
      <c r="S2592" s="10" t="s">
        <v>3412</v>
      </c>
      <c r="U2592" s="22">
        <v>1</v>
      </c>
      <c r="V2592" s="22">
        <v>1</v>
      </c>
      <c r="W2592" s="73">
        <f t="shared" si="142"/>
        <v>17</v>
      </c>
      <c r="X2592" s="80">
        <f t="shared" si="143"/>
        <v>7833</v>
      </c>
      <c r="Y2592" s="82" t="s">
        <v>3584</v>
      </c>
      <c r="AB2592" s="177">
        <v>43494</v>
      </c>
      <c r="AC2592" s="84" t="s">
        <v>2885</v>
      </c>
    </row>
    <row r="2593" spans="1:37" s="51" customFormat="1" ht="15.45" customHeight="1" x14ac:dyDescent="0.25">
      <c r="A2593" s="45" t="s">
        <v>6699</v>
      </c>
      <c r="B2593" s="50"/>
      <c r="C2593" s="49"/>
      <c r="D2593" s="49"/>
      <c r="E2593" s="49"/>
      <c r="F2593" s="50"/>
      <c r="G2593" s="50"/>
      <c r="H2593" s="55"/>
      <c r="I2593" s="110"/>
      <c r="J2593" s="212"/>
      <c r="K2593" s="56"/>
      <c r="L2593" s="100"/>
      <c r="M2593" s="100"/>
      <c r="N2593" s="49"/>
      <c r="O2593" s="49"/>
      <c r="P2593" s="49"/>
      <c r="Q2593" s="49"/>
      <c r="R2593" s="49"/>
      <c r="S2593" s="56"/>
      <c r="T2593" s="56"/>
      <c r="U2593" s="48"/>
      <c r="V2593" s="48"/>
      <c r="W2593" s="74"/>
      <c r="X2593" s="81"/>
      <c r="Y2593" s="132"/>
      <c r="Z2593" s="50"/>
      <c r="AA2593" s="173"/>
      <c r="AB2593" s="173"/>
      <c r="AC2593" s="137"/>
      <c r="AD2593" s="137"/>
      <c r="AE2593" s="83"/>
      <c r="AF2593" s="56"/>
      <c r="AG2593" s="56"/>
      <c r="AH2593" s="56"/>
      <c r="AI2593" s="56"/>
      <c r="AJ2593" s="56"/>
      <c r="AK2593" s="56"/>
    </row>
    <row r="2594" spans="1:37" ht="15.45" customHeight="1" x14ac:dyDescent="0.25">
      <c r="A2594" s="29" t="s">
        <v>5127</v>
      </c>
      <c r="C2594" s="37" t="s">
        <v>2154</v>
      </c>
      <c r="E2594" s="37" t="s">
        <v>2832</v>
      </c>
      <c r="F2594" s="24" t="s">
        <v>5258</v>
      </c>
      <c r="H2594" s="38" t="s">
        <v>5128</v>
      </c>
      <c r="J2594" s="215" t="s">
        <v>5126</v>
      </c>
      <c r="K2594" s="10" t="s">
        <v>5081</v>
      </c>
      <c r="N2594" s="37" t="s">
        <v>3465</v>
      </c>
      <c r="P2594" s="37" t="s">
        <v>1463</v>
      </c>
      <c r="Q2594" s="37" t="s">
        <v>3506</v>
      </c>
      <c r="U2594" s="22">
        <v>2</v>
      </c>
      <c r="V2594" s="22">
        <v>2</v>
      </c>
      <c r="W2594" s="73">
        <f>W2593+V2594</f>
        <v>2</v>
      </c>
      <c r="X2594" s="80">
        <f>V2594+X2592</f>
        <v>7835</v>
      </c>
      <c r="Y2594" s="82" t="s">
        <v>3584</v>
      </c>
      <c r="AB2594" s="177">
        <v>44580</v>
      </c>
      <c r="AC2594" s="84" t="s">
        <v>2885</v>
      </c>
    </row>
    <row r="2595" spans="1:37" ht="15.45" customHeight="1" x14ac:dyDescent="0.25">
      <c r="A2595" s="29" t="s">
        <v>2547</v>
      </c>
      <c r="C2595" s="37" t="s">
        <v>2154</v>
      </c>
      <c r="E2595" s="37" t="s">
        <v>2831</v>
      </c>
      <c r="F2595" s="24" t="s">
        <v>2515</v>
      </c>
      <c r="H2595" s="38" t="s">
        <v>6700</v>
      </c>
      <c r="J2595" s="214" t="s">
        <v>4378</v>
      </c>
      <c r="Q2595" s="37" t="s">
        <v>3506</v>
      </c>
      <c r="S2595" s="10" t="s">
        <v>2548</v>
      </c>
      <c r="U2595" s="22">
        <v>1</v>
      </c>
      <c r="V2595" s="22">
        <v>1</v>
      </c>
      <c r="W2595" s="73">
        <f>W2594+V2595</f>
        <v>3</v>
      </c>
      <c r="X2595" s="80">
        <f>V2595+X2594</f>
        <v>7836</v>
      </c>
      <c r="Y2595" s="82" t="s">
        <v>3584</v>
      </c>
      <c r="AB2595" s="177">
        <v>44580</v>
      </c>
      <c r="AC2595" s="84" t="s">
        <v>2885</v>
      </c>
    </row>
    <row r="2596" spans="1:37" ht="15.45" customHeight="1" x14ac:dyDescent="0.25">
      <c r="A2596" s="29" t="s">
        <v>6458</v>
      </c>
      <c r="C2596" s="37" t="s">
        <v>2154</v>
      </c>
      <c r="E2596" s="37" t="s">
        <v>2928</v>
      </c>
      <c r="F2596" s="24" t="s">
        <v>6459</v>
      </c>
      <c r="H2596" s="38" t="s">
        <v>6460</v>
      </c>
      <c r="K2596" s="10">
        <v>2010</v>
      </c>
      <c r="N2596" s="37" t="s">
        <v>6461</v>
      </c>
      <c r="P2596" s="37" t="s">
        <v>1463</v>
      </c>
      <c r="Q2596" s="37" t="s">
        <v>3506</v>
      </c>
      <c r="S2596" s="10" t="s">
        <v>3436</v>
      </c>
      <c r="U2596" s="22">
        <v>1</v>
      </c>
      <c r="V2596" s="22">
        <v>1</v>
      </c>
      <c r="W2596" s="73">
        <f>W2595+V2596</f>
        <v>4</v>
      </c>
      <c r="X2596" s="80">
        <f>V2596+X2595</f>
        <v>7837</v>
      </c>
      <c r="Y2596" s="82" t="s">
        <v>3591</v>
      </c>
      <c r="Z2596" s="24" t="s">
        <v>2885</v>
      </c>
      <c r="AB2596" s="177">
        <v>44580</v>
      </c>
      <c r="AC2596" s="84" t="s">
        <v>2885</v>
      </c>
    </row>
    <row r="2597" spans="1:37" s="51" customFormat="1" ht="15.45" customHeight="1" x14ac:dyDescent="0.25">
      <c r="A2597" s="45" t="s">
        <v>6633</v>
      </c>
      <c r="B2597" s="50"/>
      <c r="C2597" s="49"/>
      <c r="D2597" s="49"/>
      <c r="E2597" s="49"/>
      <c r="F2597" s="50"/>
      <c r="G2597" s="50"/>
      <c r="H2597" s="55"/>
      <c r="I2597" s="110"/>
      <c r="J2597" s="212"/>
      <c r="K2597" s="56"/>
      <c r="L2597" s="100"/>
      <c r="M2597" s="100"/>
      <c r="N2597" s="49"/>
      <c r="O2597" s="49"/>
      <c r="P2597" s="49"/>
      <c r="Q2597" s="49"/>
      <c r="R2597" s="49"/>
      <c r="S2597" s="56"/>
      <c r="T2597" s="56"/>
      <c r="U2597" s="48"/>
      <c r="V2597" s="48"/>
      <c r="W2597" s="74"/>
      <c r="X2597" s="81"/>
      <c r="Y2597" s="132"/>
      <c r="Z2597" s="50"/>
      <c r="AA2597" s="173"/>
      <c r="AB2597" s="173"/>
      <c r="AC2597" s="137"/>
      <c r="AD2597" s="137"/>
      <c r="AE2597" s="83"/>
      <c r="AF2597" s="56"/>
      <c r="AG2597" s="56"/>
      <c r="AH2597" s="56"/>
      <c r="AI2597" s="56"/>
      <c r="AJ2597" s="56"/>
      <c r="AK2597" s="56"/>
    </row>
    <row r="2598" spans="1:37" ht="15.45" customHeight="1" x14ac:dyDescent="0.25">
      <c r="A2598" s="29" t="s">
        <v>6596</v>
      </c>
      <c r="C2598" s="37" t="s">
        <v>3618</v>
      </c>
      <c r="E2598" s="37" t="s">
        <v>2928</v>
      </c>
      <c r="F2598" s="24" t="s">
        <v>4909</v>
      </c>
      <c r="H2598" s="38" t="s">
        <v>4911</v>
      </c>
      <c r="J2598" s="215">
        <v>1884</v>
      </c>
      <c r="K2598" s="10" t="s">
        <v>3914</v>
      </c>
      <c r="N2598" s="37" t="s">
        <v>3465</v>
      </c>
      <c r="P2598" s="37" t="s">
        <v>1463</v>
      </c>
      <c r="Q2598" s="37" t="s">
        <v>3506</v>
      </c>
      <c r="R2598" s="37" t="s">
        <v>1792</v>
      </c>
      <c r="S2598" s="10" t="s">
        <v>2983</v>
      </c>
      <c r="T2598" s="10" t="s">
        <v>4913</v>
      </c>
      <c r="U2598" s="22">
        <v>1</v>
      </c>
      <c r="V2598" s="22">
        <v>1</v>
      </c>
      <c r="W2598" s="73">
        <v>1</v>
      </c>
      <c r="X2598" s="80">
        <f>V2598+X2596</f>
        <v>7838</v>
      </c>
      <c r="Y2598" s="82" t="s">
        <v>3592</v>
      </c>
      <c r="Z2598" s="24" t="s">
        <v>2884</v>
      </c>
      <c r="AB2598" s="177">
        <v>43174</v>
      </c>
      <c r="AC2598" s="84" t="s">
        <v>2885</v>
      </c>
    </row>
    <row r="2599" spans="1:37" ht="15.45" customHeight="1" x14ac:dyDescent="0.25">
      <c r="A2599" s="29" t="s">
        <v>7135</v>
      </c>
      <c r="C2599" s="37" t="s">
        <v>3618</v>
      </c>
      <c r="E2599" s="37" t="s">
        <v>2928</v>
      </c>
      <c r="F2599" s="24" t="s">
        <v>4909</v>
      </c>
      <c r="H2599" s="38" t="s">
        <v>7137</v>
      </c>
      <c r="J2599" s="215">
        <v>1930</v>
      </c>
      <c r="K2599" s="10" t="s">
        <v>3914</v>
      </c>
      <c r="N2599" s="37" t="s">
        <v>7136</v>
      </c>
      <c r="P2599" s="37" t="s">
        <v>1781</v>
      </c>
      <c r="Q2599" s="37" t="s">
        <v>3506</v>
      </c>
      <c r="R2599" s="37" t="s">
        <v>1792</v>
      </c>
      <c r="S2599" s="10" t="s">
        <v>2983</v>
      </c>
      <c r="U2599" s="22">
        <v>1</v>
      </c>
      <c r="V2599" s="22">
        <v>1</v>
      </c>
      <c r="W2599" s="73">
        <f>W2598+V2599</f>
        <v>2</v>
      </c>
      <c r="X2599" s="80">
        <f>V2599+X2598</f>
        <v>7839</v>
      </c>
      <c r="Y2599" s="82" t="s">
        <v>3591</v>
      </c>
      <c r="Z2599" s="24" t="s">
        <v>7133</v>
      </c>
      <c r="AA2599" s="177">
        <v>44896</v>
      </c>
      <c r="AB2599" s="177">
        <v>44897</v>
      </c>
      <c r="AC2599" s="84" t="s">
        <v>2885</v>
      </c>
    </row>
    <row r="2600" spans="1:37" ht="15.45" customHeight="1" x14ac:dyDescent="0.25">
      <c r="A2600" s="29" t="s">
        <v>6628</v>
      </c>
      <c r="C2600" s="37" t="s">
        <v>3618</v>
      </c>
      <c r="E2600" s="37" t="s">
        <v>2827</v>
      </c>
      <c r="F2600" s="24" t="s">
        <v>4909</v>
      </c>
      <c r="H2600" s="38" t="s">
        <v>6632</v>
      </c>
      <c r="J2600" s="215">
        <v>1944</v>
      </c>
      <c r="K2600" s="10" t="s">
        <v>4568</v>
      </c>
      <c r="N2600" s="37" t="s">
        <v>6620</v>
      </c>
      <c r="P2600" s="37" t="s">
        <v>1936</v>
      </c>
      <c r="Q2600" s="37" t="s">
        <v>3506</v>
      </c>
      <c r="R2600" s="37" t="s">
        <v>1792</v>
      </c>
      <c r="S2600" s="10" t="s">
        <v>2980</v>
      </c>
      <c r="T2600" s="10" t="s">
        <v>6629</v>
      </c>
      <c r="U2600" s="22">
        <v>1</v>
      </c>
      <c r="V2600" s="22">
        <v>1</v>
      </c>
      <c r="W2600" s="73">
        <f t="shared" ref="W2600:W2625" si="144">W2599+V2600</f>
        <v>3</v>
      </c>
      <c r="X2600" s="80">
        <f t="shared" ref="X2600:X2625" si="145">V2600+X2599</f>
        <v>7840</v>
      </c>
      <c r="Y2600" s="82" t="s">
        <v>3591</v>
      </c>
      <c r="Z2600" s="24" t="s">
        <v>6630</v>
      </c>
      <c r="AB2600" s="177">
        <v>44369</v>
      </c>
      <c r="AC2600" s="84" t="s">
        <v>2885</v>
      </c>
    </row>
    <row r="2601" spans="1:37" ht="15.45" customHeight="1" x14ac:dyDescent="0.25">
      <c r="A2601" s="29" t="s">
        <v>6639</v>
      </c>
      <c r="C2601" s="37" t="s">
        <v>3618</v>
      </c>
      <c r="E2601" s="37" t="s">
        <v>2928</v>
      </c>
      <c r="F2601" s="24" t="s">
        <v>4909</v>
      </c>
      <c r="H2601" s="38" t="s">
        <v>6640</v>
      </c>
      <c r="J2601" s="215">
        <v>1946</v>
      </c>
      <c r="K2601" s="10" t="s">
        <v>4568</v>
      </c>
      <c r="N2601" s="37" t="s">
        <v>6637</v>
      </c>
      <c r="P2601" s="37" t="s">
        <v>6638</v>
      </c>
      <c r="Q2601" s="37" t="s">
        <v>3506</v>
      </c>
      <c r="R2601" s="37" t="s">
        <v>1792</v>
      </c>
      <c r="S2601" s="10" t="s">
        <v>3412</v>
      </c>
      <c r="U2601" s="22">
        <v>1</v>
      </c>
      <c r="V2601" s="22">
        <v>1</v>
      </c>
      <c r="W2601" s="73">
        <f t="shared" si="144"/>
        <v>4</v>
      </c>
      <c r="X2601" s="80">
        <f t="shared" si="145"/>
        <v>7841</v>
      </c>
      <c r="Y2601" s="82" t="s">
        <v>3591</v>
      </c>
      <c r="Z2601" s="24" t="s">
        <v>6630</v>
      </c>
      <c r="AB2601" s="177">
        <v>44369</v>
      </c>
      <c r="AC2601" s="84" t="s">
        <v>2885</v>
      </c>
    </row>
    <row r="2602" spans="1:37" ht="15.45" customHeight="1" x14ac:dyDescent="0.25">
      <c r="A2602" s="29" t="s">
        <v>6670</v>
      </c>
      <c r="C2602" s="37" t="s">
        <v>3618</v>
      </c>
      <c r="E2602" s="37" t="s">
        <v>2928</v>
      </c>
      <c r="F2602" s="24" t="s">
        <v>4909</v>
      </c>
      <c r="H2602" s="38" t="s">
        <v>6641</v>
      </c>
      <c r="J2602" s="215">
        <v>1950</v>
      </c>
      <c r="K2602" s="10" t="s">
        <v>4568</v>
      </c>
      <c r="N2602" s="37" t="s">
        <v>6620</v>
      </c>
      <c r="P2602" s="37" t="s">
        <v>1936</v>
      </c>
      <c r="Q2602" s="37" t="s">
        <v>3506</v>
      </c>
      <c r="R2602" s="37" t="s">
        <v>1792</v>
      </c>
      <c r="S2602" s="10" t="s">
        <v>3412</v>
      </c>
      <c r="U2602" s="22">
        <v>1</v>
      </c>
      <c r="V2602" s="22">
        <v>1</v>
      </c>
      <c r="W2602" s="73">
        <f t="shared" si="144"/>
        <v>5</v>
      </c>
      <c r="X2602" s="80">
        <f t="shared" si="145"/>
        <v>7842</v>
      </c>
      <c r="Y2602" s="82" t="s">
        <v>3591</v>
      </c>
      <c r="Z2602" s="24" t="s">
        <v>6630</v>
      </c>
      <c r="AB2602" s="177">
        <v>44369</v>
      </c>
      <c r="AC2602" s="84" t="s">
        <v>2885</v>
      </c>
    </row>
    <row r="2603" spans="1:37" ht="15.45" customHeight="1" x14ac:dyDescent="0.25">
      <c r="A2603" s="29" t="s">
        <v>5768</v>
      </c>
      <c r="C2603" s="37" t="s">
        <v>6636</v>
      </c>
      <c r="E2603" s="37" t="s">
        <v>2827</v>
      </c>
      <c r="F2603" s="24" t="s">
        <v>4909</v>
      </c>
      <c r="H2603" s="38" t="s">
        <v>6591</v>
      </c>
      <c r="J2603" s="215">
        <v>1957</v>
      </c>
      <c r="K2603" s="10" t="s">
        <v>4568</v>
      </c>
      <c r="N2603" s="37" t="s">
        <v>6592</v>
      </c>
      <c r="O2603" s="37" t="s">
        <v>5769</v>
      </c>
      <c r="P2603" s="37" t="s">
        <v>1781</v>
      </c>
      <c r="Q2603" s="37" t="s">
        <v>3506</v>
      </c>
      <c r="R2603" s="37" t="s">
        <v>1792</v>
      </c>
      <c r="S2603" s="10" t="s">
        <v>2983</v>
      </c>
      <c r="U2603" s="22">
        <v>1</v>
      </c>
      <c r="V2603" s="22">
        <v>1</v>
      </c>
      <c r="W2603" s="73">
        <f t="shared" si="144"/>
        <v>6</v>
      </c>
      <c r="X2603" s="80">
        <f t="shared" si="145"/>
        <v>7843</v>
      </c>
      <c r="Y2603" s="82" t="s">
        <v>4060</v>
      </c>
      <c r="AB2603" s="177">
        <v>44369</v>
      </c>
      <c r="AC2603" s="84" t="s">
        <v>2885</v>
      </c>
    </row>
    <row r="2604" spans="1:37" ht="15.45" customHeight="1" x14ac:dyDescent="0.25">
      <c r="A2604" s="29" t="s">
        <v>6635</v>
      </c>
      <c r="C2604" s="37" t="s">
        <v>3618</v>
      </c>
      <c r="E2604" s="37" t="s">
        <v>2827</v>
      </c>
      <c r="F2604" s="24" t="s">
        <v>4909</v>
      </c>
      <c r="H2604" s="38" t="s">
        <v>6593</v>
      </c>
      <c r="J2604" s="215">
        <v>1958</v>
      </c>
      <c r="K2604" s="10" t="s">
        <v>4568</v>
      </c>
      <c r="N2604" s="37" t="s">
        <v>5676</v>
      </c>
      <c r="P2604" s="37" t="s">
        <v>1781</v>
      </c>
      <c r="Q2604" s="37" t="s">
        <v>3506</v>
      </c>
      <c r="R2604" s="37" t="s">
        <v>1792</v>
      </c>
      <c r="S2604" s="10" t="s">
        <v>3412</v>
      </c>
      <c r="U2604" s="22">
        <v>1</v>
      </c>
      <c r="V2604" s="22">
        <v>1</v>
      </c>
      <c r="W2604" s="73">
        <f t="shared" si="144"/>
        <v>7</v>
      </c>
      <c r="X2604" s="80">
        <f t="shared" si="145"/>
        <v>7844</v>
      </c>
      <c r="Y2604" s="82" t="s">
        <v>3591</v>
      </c>
      <c r="Z2604" s="24" t="s">
        <v>4912</v>
      </c>
      <c r="AB2604" s="177">
        <v>43174</v>
      </c>
      <c r="AC2604" s="84" t="s">
        <v>2885</v>
      </c>
    </row>
    <row r="2605" spans="1:37" ht="15.45" customHeight="1" x14ac:dyDescent="0.25">
      <c r="A2605" s="29" t="s">
        <v>6007</v>
      </c>
      <c r="C2605" s="37" t="s">
        <v>3618</v>
      </c>
      <c r="E2605" s="37" t="s">
        <v>2928</v>
      </c>
      <c r="F2605" s="24" t="s">
        <v>5117</v>
      </c>
      <c r="H2605" s="38" t="s">
        <v>6009</v>
      </c>
      <c r="J2605" s="215">
        <v>1959</v>
      </c>
      <c r="K2605" s="10" t="s">
        <v>6003</v>
      </c>
      <c r="N2605" s="37" t="s">
        <v>6675</v>
      </c>
      <c r="P2605" s="37" t="s">
        <v>1781</v>
      </c>
      <c r="Q2605" s="37" t="s">
        <v>3506</v>
      </c>
      <c r="S2605" s="10" t="s">
        <v>2983</v>
      </c>
      <c r="T2605" s="10" t="s">
        <v>6004</v>
      </c>
      <c r="U2605" s="22">
        <v>1</v>
      </c>
      <c r="V2605" s="22">
        <v>1</v>
      </c>
      <c r="W2605" s="73">
        <f t="shared" si="144"/>
        <v>8</v>
      </c>
      <c r="X2605" s="80">
        <f t="shared" si="145"/>
        <v>7845</v>
      </c>
      <c r="Y2605" s="82" t="s">
        <v>3591</v>
      </c>
      <c r="Z2605" s="24" t="s">
        <v>2885</v>
      </c>
      <c r="AB2605" s="177">
        <v>44447</v>
      </c>
      <c r="AC2605" s="84" t="s">
        <v>2885</v>
      </c>
    </row>
    <row r="2606" spans="1:37" ht="15.45" customHeight="1" x14ac:dyDescent="0.25">
      <c r="A2606" s="29" t="s">
        <v>6008</v>
      </c>
      <c r="C2606" s="37" t="s">
        <v>3618</v>
      </c>
      <c r="E2606" s="37" t="s">
        <v>2928</v>
      </c>
      <c r="F2606" s="24" t="s">
        <v>5117</v>
      </c>
      <c r="H2606" s="38" t="s">
        <v>6010</v>
      </c>
      <c r="J2606" s="215">
        <v>1959</v>
      </c>
      <c r="K2606" s="10" t="s">
        <v>6003</v>
      </c>
      <c r="N2606" s="37" t="s">
        <v>6675</v>
      </c>
      <c r="P2606" s="37" t="s">
        <v>1781</v>
      </c>
      <c r="Q2606" s="37" t="s">
        <v>3506</v>
      </c>
      <c r="S2606" s="10" t="s">
        <v>3412</v>
      </c>
      <c r="T2606" s="10" t="s">
        <v>6004</v>
      </c>
      <c r="U2606" s="22">
        <v>1</v>
      </c>
      <c r="V2606" s="22">
        <v>1</v>
      </c>
      <c r="W2606" s="73">
        <f t="shared" si="144"/>
        <v>9</v>
      </c>
      <c r="X2606" s="80">
        <f t="shared" si="145"/>
        <v>7846</v>
      </c>
      <c r="Y2606" s="82" t="s">
        <v>3591</v>
      </c>
      <c r="Z2606" s="24" t="s">
        <v>2885</v>
      </c>
      <c r="AB2606" s="177">
        <v>44447</v>
      </c>
      <c r="AC2606" s="84" t="s">
        <v>2885</v>
      </c>
    </row>
    <row r="2607" spans="1:37" ht="15.45" customHeight="1" x14ac:dyDescent="0.25">
      <c r="A2607" s="29" t="s">
        <v>6678</v>
      </c>
      <c r="C2607" s="37" t="s">
        <v>3618</v>
      </c>
      <c r="E2607" s="37" t="s">
        <v>2827</v>
      </c>
      <c r="F2607" s="24" t="s">
        <v>4909</v>
      </c>
      <c r="H2607" s="38" t="s">
        <v>6672</v>
      </c>
      <c r="J2607" s="215">
        <v>1964</v>
      </c>
      <c r="K2607" s="10" t="s">
        <v>4568</v>
      </c>
      <c r="N2607" s="37" t="s">
        <v>6671</v>
      </c>
      <c r="P2607" s="37" t="s">
        <v>1781</v>
      </c>
      <c r="Q2607" s="37" t="s">
        <v>3506</v>
      </c>
      <c r="R2607" s="37" t="s">
        <v>1792</v>
      </c>
      <c r="S2607" s="10" t="s">
        <v>2983</v>
      </c>
      <c r="U2607" s="22">
        <v>1</v>
      </c>
      <c r="V2607" s="22">
        <v>1</v>
      </c>
      <c r="W2607" s="73">
        <f t="shared" si="144"/>
        <v>10</v>
      </c>
      <c r="X2607" s="80">
        <f t="shared" si="145"/>
        <v>7847</v>
      </c>
      <c r="Y2607" s="82" t="s">
        <v>3591</v>
      </c>
      <c r="Z2607" s="24" t="s">
        <v>4912</v>
      </c>
      <c r="AB2607" s="177">
        <v>44369</v>
      </c>
      <c r="AC2607" s="84" t="s">
        <v>2885</v>
      </c>
    </row>
    <row r="2608" spans="1:37" ht="15.45" customHeight="1" x14ac:dyDescent="0.25">
      <c r="A2608" s="29" t="s">
        <v>6614</v>
      </c>
      <c r="C2608" s="37" t="s">
        <v>3618</v>
      </c>
      <c r="E2608" s="37" t="s">
        <v>2827</v>
      </c>
      <c r="F2608" s="24" t="s">
        <v>4909</v>
      </c>
      <c r="H2608" s="38" t="s">
        <v>5767</v>
      </c>
      <c r="J2608" s="215">
        <v>1967</v>
      </c>
      <c r="K2608" s="10" t="s">
        <v>4568</v>
      </c>
      <c r="N2608" s="37" t="s">
        <v>6594</v>
      </c>
      <c r="P2608" s="37" t="s">
        <v>1781</v>
      </c>
      <c r="Q2608" s="37" t="s">
        <v>3506</v>
      </c>
      <c r="R2608" s="37" t="s">
        <v>1792</v>
      </c>
      <c r="S2608" s="10" t="s">
        <v>2983</v>
      </c>
      <c r="U2608" s="22">
        <v>1</v>
      </c>
      <c r="V2608" s="22">
        <v>1</v>
      </c>
      <c r="W2608" s="73">
        <f t="shared" si="144"/>
        <v>11</v>
      </c>
      <c r="X2608" s="80">
        <f t="shared" si="145"/>
        <v>7848</v>
      </c>
      <c r="Y2608" s="82" t="s">
        <v>3591</v>
      </c>
      <c r="Z2608" s="24" t="s">
        <v>2885</v>
      </c>
      <c r="AB2608" s="177">
        <v>44369</v>
      </c>
      <c r="AC2608" s="84" t="s">
        <v>2885</v>
      </c>
    </row>
    <row r="2609" spans="1:29" ht="15.45" customHeight="1" x14ac:dyDescent="0.25">
      <c r="A2609" s="29" t="s">
        <v>5770</v>
      </c>
      <c r="C2609" s="37" t="s">
        <v>3618</v>
      </c>
      <c r="E2609" s="37" t="s">
        <v>2827</v>
      </c>
      <c r="F2609" s="24" t="s">
        <v>4909</v>
      </c>
      <c r="H2609" s="38" t="s">
        <v>5772</v>
      </c>
      <c r="J2609" s="215">
        <v>1968</v>
      </c>
      <c r="K2609" s="10" t="s">
        <v>4568</v>
      </c>
      <c r="N2609" s="37" t="s">
        <v>4910</v>
      </c>
      <c r="O2609" s="37" t="s">
        <v>5771</v>
      </c>
      <c r="P2609" s="37" t="s">
        <v>1781</v>
      </c>
      <c r="Q2609" s="37" t="s">
        <v>3506</v>
      </c>
      <c r="R2609" s="37" t="s">
        <v>1792</v>
      </c>
      <c r="S2609" s="10" t="s">
        <v>2983</v>
      </c>
      <c r="U2609" s="22">
        <v>1</v>
      </c>
      <c r="V2609" s="22">
        <v>1</v>
      </c>
      <c r="W2609" s="73">
        <f t="shared" si="144"/>
        <v>12</v>
      </c>
      <c r="X2609" s="80">
        <f t="shared" si="145"/>
        <v>7849</v>
      </c>
      <c r="Y2609" s="82" t="s">
        <v>3591</v>
      </c>
      <c r="Z2609" s="24" t="s">
        <v>3581</v>
      </c>
      <c r="AB2609" s="177">
        <v>43174</v>
      </c>
      <c r="AC2609" s="84" t="s">
        <v>2885</v>
      </c>
    </row>
    <row r="2610" spans="1:29" ht="15.45" customHeight="1" x14ac:dyDescent="0.25">
      <c r="A2610" s="29" t="s">
        <v>7152</v>
      </c>
      <c r="C2610" s="37" t="s">
        <v>3618</v>
      </c>
      <c r="E2610" s="37" t="s">
        <v>2827</v>
      </c>
      <c r="F2610" s="24" t="s">
        <v>4909</v>
      </c>
      <c r="H2610" s="38" t="s">
        <v>7153</v>
      </c>
      <c r="J2610" s="215">
        <v>1970</v>
      </c>
      <c r="K2610" s="10" t="s">
        <v>4568</v>
      </c>
      <c r="N2610" s="37" t="s">
        <v>7148</v>
      </c>
      <c r="P2610" s="37" t="s">
        <v>1781</v>
      </c>
      <c r="Q2610" s="37" t="s">
        <v>3506</v>
      </c>
      <c r="R2610" s="37" t="s">
        <v>1792</v>
      </c>
      <c r="S2610" s="10" t="s">
        <v>2983</v>
      </c>
      <c r="T2610" s="10" t="s">
        <v>7149</v>
      </c>
      <c r="U2610" s="22">
        <v>1</v>
      </c>
      <c r="V2610" s="22">
        <v>1</v>
      </c>
      <c r="W2610" s="73">
        <f t="shared" si="144"/>
        <v>13</v>
      </c>
      <c r="X2610" s="80">
        <f t="shared" si="145"/>
        <v>7850</v>
      </c>
      <c r="Y2610" s="82" t="s">
        <v>3591</v>
      </c>
      <c r="Z2610" s="24" t="s">
        <v>7150</v>
      </c>
      <c r="AA2610" s="177">
        <v>44866</v>
      </c>
      <c r="AB2610" s="177">
        <v>44909</v>
      </c>
      <c r="AC2610" s="84" t="s">
        <v>2885</v>
      </c>
    </row>
    <row r="2611" spans="1:29" ht="15.45" customHeight="1" x14ac:dyDescent="0.25">
      <c r="A2611" s="29" t="s">
        <v>6677</v>
      </c>
      <c r="C2611" s="37" t="s">
        <v>3618</v>
      </c>
      <c r="E2611" s="37" t="s">
        <v>2827</v>
      </c>
      <c r="F2611" s="24" t="s">
        <v>4909</v>
      </c>
      <c r="H2611" s="38" t="s">
        <v>6676</v>
      </c>
      <c r="J2611" s="215">
        <v>1971</v>
      </c>
      <c r="K2611" s="10" t="s">
        <v>4568</v>
      </c>
      <c r="N2611" s="37" t="s">
        <v>4910</v>
      </c>
      <c r="O2611" s="37" t="s">
        <v>5771</v>
      </c>
      <c r="P2611" s="37" t="s">
        <v>1781</v>
      </c>
      <c r="Q2611" s="37" t="s">
        <v>3506</v>
      </c>
      <c r="R2611" s="37" t="s">
        <v>1792</v>
      </c>
      <c r="S2611" s="10" t="s">
        <v>2983</v>
      </c>
      <c r="U2611" s="22">
        <v>1</v>
      </c>
      <c r="V2611" s="22">
        <v>1</v>
      </c>
      <c r="W2611" s="73">
        <f t="shared" si="144"/>
        <v>14</v>
      </c>
      <c r="X2611" s="80">
        <f t="shared" si="145"/>
        <v>7851</v>
      </c>
      <c r="Y2611" s="82" t="s">
        <v>3591</v>
      </c>
      <c r="Z2611" s="24" t="s">
        <v>3581</v>
      </c>
      <c r="AB2611" s="177">
        <v>43174</v>
      </c>
      <c r="AC2611" s="84" t="s">
        <v>2885</v>
      </c>
    </row>
    <row r="2612" spans="1:29" ht="15.45" customHeight="1" x14ac:dyDescent="0.25">
      <c r="A2612" s="29" t="s">
        <v>6719</v>
      </c>
      <c r="C2612" s="37" t="s">
        <v>3618</v>
      </c>
      <c r="E2612" s="37" t="s">
        <v>2827</v>
      </c>
      <c r="F2612" s="24" t="s">
        <v>4909</v>
      </c>
      <c r="H2612" s="38" t="s">
        <v>6720</v>
      </c>
      <c r="J2612" s="215">
        <v>1973</v>
      </c>
      <c r="K2612" s="10" t="s">
        <v>4568</v>
      </c>
      <c r="N2612" s="37" t="s">
        <v>6674</v>
      </c>
      <c r="P2612" s="37" t="s">
        <v>1781</v>
      </c>
      <c r="Q2612" s="37" t="s">
        <v>3506</v>
      </c>
      <c r="R2612" s="37" t="s">
        <v>1792</v>
      </c>
      <c r="S2612" s="10" t="s">
        <v>2983</v>
      </c>
      <c r="U2612" s="22">
        <v>1</v>
      </c>
      <c r="V2612" s="22">
        <v>1</v>
      </c>
      <c r="W2612" s="73">
        <f t="shared" si="144"/>
        <v>15</v>
      </c>
      <c r="X2612" s="80">
        <f t="shared" si="145"/>
        <v>7852</v>
      </c>
      <c r="Y2612" s="82" t="s">
        <v>3591</v>
      </c>
      <c r="Z2612" s="24" t="s">
        <v>2885</v>
      </c>
      <c r="AB2612" s="177">
        <v>44665</v>
      </c>
      <c r="AC2612" s="84" t="s">
        <v>2885</v>
      </c>
    </row>
    <row r="2613" spans="1:29" ht="15.45" customHeight="1" x14ac:dyDescent="0.25">
      <c r="A2613" s="29" t="s">
        <v>6716</v>
      </c>
      <c r="C2613" s="37" t="s">
        <v>3618</v>
      </c>
      <c r="E2613" s="37" t="s">
        <v>2827</v>
      </c>
      <c r="F2613" s="24" t="s">
        <v>4909</v>
      </c>
      <c r="H2613" s="38" t="s">
        <v>6598</v>
      </c>
      <c r="J2613" s="215">
        <v>1975</v>
      </c>
      <c r="K2613" s="10" t="s">
        <v>4568</v>
      </c>
      <c r="N2613" s="37" t="s">
        <v>6620</v>
      </c>
      <c r="O2613" s="37" t="s">
        <v>6613</v>
      </c>
      <c r="P2613" s="37" t="s">
        <v>1936</v>
      </c>
      <c r="Q2613" s="37" t="s">
        <v>3506</v>
      </c>
      <c r="R2613" s="37" t="s">
        <v>1792</v>
      </c>
      <c r="S2613" s="10" t="s">
        <v>2983</v>
      </c>
      <c r="U2613" s="22">
        <v>1</v>
      </c>
      <c r="V2613" s="22">
        <v>1</v>
      </c>
      <c r="W2613" s="73">
        <f t="shared" si="144"/>
        <v>16</v>
      </c>
      <c r="X2613" s="80">
        <f t="shared" si="145"/>
        <v>7853</v>
      </c>
      <c r="Y2613" s="82" t="s">
        <v>3591</v>
      </c>
      <c r="Z2613" s="24" t="s">
        <v>2885</v>
      </c>
      <c r="AB2613" s="177">
        <v>44369</v>
      </c>
      <c r="AC2613" s="84" t="s">
        <v>2885</v>
      </c>
    </row>
    <row r="2614" spans="1:29" ht="15.45" customHeight="1" x14ac:dyDescent="0.25">
      <c r="A2614" s="29" t="s">
        <v>6695</v>
      </c>
      <c r="C2614" s="37" t="s">
        <v>3618</v>
      </c>
      <c r="E2614" s="37" t="s">
        <v>2827</v>
      </c>
      <c r="F2614" s="24" t="s">
        <v>4909</v>
      </c>
      <c r="H2614" s="38" t="s">
        <v>6698</v>
      </c>
      <c r="J2614" s="215">
        <v>1977</v>
      </c>
      <c r="K2614" s="10" t="s">
        <v>4568</v>
      </c>
      <c r="N2614" s="37" t="s">
        <v>6697</v>
      </c>
      <c r="O2614" s="37" t="s">
        <v>6696</v>
      </c>
      <c r="P2614" s="37" t="s">
        <v>1463</v>
      </c>
      <c r="Q2614" s="37" t="s">
        <v>3506</v>
      </c>
      <c r="R2614" s="37" t="s">
        <v>1792</v>
      </c>
      <c r="S2614" s="10" t="s">
        <v>3412</v>
      </c>
      <c r="U2614" s="22">
        <v>1</v>
      </c>
      <c r="V2614" s="22">
        <v>1</v>
      </c>
      <c r="W2614" s="73">
        <f t="shared" si="144"/>
        <v>17</v>
      </c>
      <c r="X2614" s="80">
        <f t="shared" si="145"/>
        <v>7854</v>
      </c>
      <c r="Y2614" s="82" t="s">
        <v>3584</v>
      </c>
      <c r="AB2614" s="177">
        <v>44656</v>
      </c>
      <c r="AC2614" s="84" t="s">
        <v>2885</v>
      </c>
    </row>
    <row r="2615" spans="1:29" ht="15.45" customHeight="1" x14ac:dyDescent="0.25">
      <c r="A2615" s="29" t="s">
        <v>6667</v>
      </c>
      <c r="C2615" s="37" t="s">
        <v>3618</v>
      </c>
      <c r="E2615" s="37" t="s">
        <v>2827</v>
      </c>
      <c r="F2615" s="24" t="s">
        <v>4909</v>
      </c>
      <c r="H2615" s="38" t="s">
        <v>6665</v>
      </c>
      <c r="J2615" s="215">
        <v>1977</v>
      </c>
      <c r="K2615" s="10" t="s">
        <v>4568</v>
      </c>
      <c r="N2615" s="37" t="s">
        <v>6666</v>
      </c>
      <c r="P2615" s="37" t="s">
        <v>1781</v>
      </c>
      <c r="Q2615" s="37" t="s">
        <v>3506</v>
      </c>
      <c r="R2615" s="37" t="s">
        <v>1792</v>
      </c>
      <c r="S2615" s="10" t="s">
        <v>3412</v>
      </c>
      <c r="U2615" s="22">
        <v>6</v>
      </c>
      <c r="V2615" s="22">
        <v>6</v>
      </c>
      <c r="W2615" s="73">
        <f t="shared" si="144"/>
        <v>23</v>
      </c>
      <c r="X2615" s="80">
        <f t="shared" si="145"/>
        <v>7860</v>
      </c>
      <c r="Y2615" s="82" t="s">
        <v>3591</v>
      </c>
      <c r="Z2615" s="24" t="s">
        <v>2885</v>
      </c>
      <c r="AB2615" s="177">
        <v>44656</v>
      </c>
      <c r="AC2615" s="84" t="s">
        <v>2885</v>
      </c>
    </row>
    <row r="2616" spans="1:29" ht="15.45" customHeight="1" x14ac:dyDescent="0.25">
      <c r="A2616" s="29" t="s">
        <v>6661</v>
      </c>
      <c r="C2616" s="37" t="s">
        <v>3618</v>
      </c>
      <c r="E2616" s="37" t="s">
        <v>2827</v>
      </c>
      <c r="F2616" s="24" t="s">
        <v>4909</v>
      </c>
      <c r="H2616" s="38" t="s">
        <v>6627</v>
      </c>
      <c r="J2616" s="215">
        <v>1978</v>
      </c>
      <c r="K2616" s="10" t="s">
        <v>4568</v>
      </c>
      <c r="N2616" s="37" t="s">
        <v>6620</v>
      </c>
      <c r="P2616" s="37" t="s">
        <v>6621</v>
      </c>
      <c r="Q2616" s="37" t="s">
        <v>3506</v>
      </c>
      <c r="R2616" s="37" t="s">
        <v>1792</v>
      </c>
      <c r="S2616" s="10" t="s">
        <v>2983</v>
      </c>
      <c r="U2616" s="22">
        <v>1</v>
      </c>
      <c r="V2616" s="22">
        <v>1</v>
      </c>
      <c r="W2616" s="73">
        <f t="shared" si="144"/>
        <v>24</v>
      </c>
      <c r="X2616" s="80">
        <f t="shared" si="145"/>
        <v>7861</v>
      </c>
      <c r="Y2616" s="82" t="s">
        <v>3591</v>
      </c>
      <c r="AB2616" s="177">
        <v>44651</v>
      </c>
      <c r="AC2616" s="84" t="s">
        <v>2885</v>
      </c>
    </row>
    <row r="2617" spans="1:29" ht="15.45" customHeight="1" x14ac:dyDescent="0.25">
      <c r="A2617" s="29" t="s">
        <v>6662</v>
      </c>
      <c r="C2617" s="37" t="s">
        <v>3618</v>
      </c>
      <c r="E2617" s="37" t="s">
        <v>2827</v>
      </c>
      <c r="F2617" s="24" t="s">
        <v>4909</v>
      </c>
      <c r="H2617" s="38" t="s">
        <v>6619</v>
      </c>
      <c r="J2617" s="215">
        <v>1978</v>
      </c>
      <c r="K2617" s="10" t="s">
        <v>4568</v>
      </c>
      <c r="N2617" s="37" t="s">
        <v>6616</v>
      </c>
      <c r="O2617" s="37" t="s">
        <v>6617</v>
      </c>
      <c r="P2617" s="37" t="s">
        <v>6618</v>
      </c>
      <c r="Q2617" s="37" t="s">
        <v>3506</v>
      </c>
      <c r="R2617" s="37" t="s">
        <v>1792</v>
      </c>
      <c r="S2617" s="10" t="s">
        <v>2983</v>
      </c>
      <c r="U2617" s="22">
        <v>1</v>
      </c>
      <c r="V2617" s="22">
        <v>1</v>
      </c>
      <c r="W2617" s="73">
        <f t="shared" si="144"/>
        <v>25</v>
      </c>
      <c r="X2617" s="80">
        <f t="shared" si="145"/>
        <v>7862</v>
      </c>
      <c r="Y2617" s="82" t="s">
        <v>3591</v>
      </c>
      <c r="AB2617" s="177">
        <v>44651</v>
      </c>
      <c r="AC2617" s="84" t="s">
        <v>2885</v>
      </c>
    </row>
    <row r="2618" spans="1:29" ht="15.45" customHeight="1" x14ac:dyDescent="0.25">
      <c r="A2618" s="29" t="s">
        <v>6663</v>
      </c>
      <c r="C2618" s="37" t="s">
        <v>3618</v>
      </c>
      <c r="E2618" s="37" t="s">
        <v>2827</v>
      </c>
      <c r="F2618" s="24" t="s">
        <v>4909</v>
      </c>
      <c r="H2618" s="38" t="s">
        <v>6626</v>
      </c>
      <c r="J2618" s="215">
        <v>1981</v>
      </c>
      <c r="K2618" s="10" t="s">
        <v>4568</v>
      </c>
      <c r="N2618" s="37" t="s">
        <v>6623</v>
      </c>
      <c r="O2618" s="37" t="s">
        <v>6624</v>
      </c>
      <c r="P2618" s="37" t="s">
        <v>1687</v>
      </c>
      <c r="Q2618" s="37" t="s">
        <v>3506</v>
      </c>
      <c r="R2618" s="37" t="s">
        <v>1792</v>
      </c>
      <c r="S2618" s="10" t="s">
        <v>2983</v>
      </c>
      <c r="U2618" s="22">
        <v>1</v>
      </c>
      <c r="V2618" s="22">
        <v>1</v>
      </c>
      <c r="W2618" s="73">
        <f t="shared" si="144"/>
        <v>26</v>
      </c>
      <c r="X2618" s="80">
        <f t="shared" si="145"/>
        <v>7863</v>
      </c>
      <c r="Y2618" s="82" t="s">
        <v>3591</v>
      </c>
      <c r="AB2618" s="177">
        <v>44651</v>
      </c>
      <c r="AC2618" s="84" t="s">
        <v>2885</v>
      </c>
    </row>
    <row r="2619" spans="1:29" ht="15.45" customHeight="1" x14ac:dyDescent="0.25">
      <c r="A2619" s="29" t="s">
        <v>6668</v>
      </c>
      <c r="C2619" s="37" t="s">
        <v>3618</v>
      </c>
      <c r="E2619" s="37" t="s">
        <v>2827</v>
      </c>
      <c r="F2619" s="24" t="s">
        <v>4909</v>
      </c>
      <c r="H2619" s="38" t="s">
        <v>6669</v>
      </c>
      <c r="J2619" s="215">
        <v>1982</v>
      </c>
      <c r="K2619" s="10" t="s">
        <v>4568</v>
      </c>
      <c r="N2619" s="37" t="s">
        <v>6666</v>
      </c>
      <c r="P2619" s="37" t="s">
        <v>1781</v>
      </c>
      <c r="Q2619" s="37" t="s">
        <v>3506</v>
      </c>
      <c r="R2619" s="37" t="s">
        <v>1792</v>
      </c>
      <c r="S2619" s="10" t="s">
        <v>3412</v>
      </c>
      <c r="U2619" s="22">
        <v>1</v>
      </c>
      <c r="V2619" s="22">
        <v>1</v>
      </c>
      <c r="W2619" s="73">
        <f t="shared" si="144"/>
        <v>27</v>
      </c>
      <c r="X2619" s="80">
        <f t="shared" si="145"/>
        <v>7864</v>
      </c>
      <c r="Y2619" s="82" t="s">
        <v>3591</v>
      </c>
      <c r="Z2619" s="24" t="s">
        <v>2885</v>
      </c>
      <c r="AB2619" s="177">
        <v>44656</v>
      </c>
      <c r="AC2619" s="84" t="s">
        <v>2885</v>
      </c>
    </row>
    <row r="2620" spans="1:29" ht="15.45" customHeight="1" x14ac:dyDescent="0.25">
      <c r="A2620" s="29" t="s">
        <v>6658</v>
      </c>
      <c r="C2620" s="37" t="s">
        <v>3618</v>
      </c>
      <c r="E2620" s="37" t="s">
        <v>2827</v>
      </c>
      <c r="F2620" s="24" t="s">
        <v>4909</v>
      </c>
      <c r="H2620" s="38" t="s">
        <v>6664</v>
      </c>
      <c r="J2620" s="215">
        <v>1982</v>
      </c>
      <c r="K2620" s="10" t="s">
        <v>4568</v>
      </c>
      <c r="N2620" s="37" t="s">
        <v>6666</v>
      </c>
      <c r="P2620" s="37" t="s">
        <v>1781</v>
      </c>
      <c r="Q2620" s="37" t="s">
        <v>3506</v>
      </c>
      <c r="R2620" s="37" t="s">
        <v>1792</v>
      </c>
      <c r="S2620" s="10" t="s">
        <v>3412</v>
      </c>
      <c r="U2620" s="22">
        <v>1</v>
      </c>
      <c r="V2620" s="22">
        <v>1</v>
      </c>
      <c r="W2620" s="73">
        <f t="shared" si="144"/>
        <v>28</v>
      </c>
      <c r="X2620" s="80">
        <f t="shared" si="145"/>
        <v>7865</v>
      </c>
      <c r="Y2620" s="82" t="s">
        <v>3591</v>
      </c>
      <c r="Z2620" s="24" t="s">
        <v>2885</v>
      </c>
      <c r="AB2620" s="177">
        <v>44656</v>
      </c>
      <c r="AC2620" s="84" t="s">
        <v>2885</v>
      </c>
    </row>
    <row r="2621" spans="1:29" ht="15.45" customHeight="1" x14ac:dyDescent="0.25">
      <c r="A2621" s="29" t="s">
        <v>6659</v>
      </c>
      <c r="C2621" s="37" t="s">
        <v>3618</v>
      </c>
      <c r="E2621" s="37" t="s">
        <v>2827</v>
      </c>
      <c r="F2621" s="24" t="s">
        <v>4909</v>
      </c>
      <c r="H2621" s="38" t="s">
        <v>6622</v>
      </c>
      <c r="J2621" s="215">
        <v>1984</v>
      </c>
      <c r="K2621" s="10" t="s">
        <v>4568</v>
      </c>
      <c r="N2621" s="37" t="s">
        <v>6620</v>
      </c>
      <c r="P2621" s="37" t="s">
        <v>6621</v>
      </c>
      <c r="Q2621" s="37" t="s">
        <v>3506</v>
      </c>
      <c r="R2621" s="37" t="s">
        <v>1792</v>
      </c>
      <c r="S2621" s="10" t="s">
        <v>2983</v>
      </c>
      <c r="U2621" s="22">
        <v>1</v>
      </c>
      <c r="V2621" s="22">
        <v>1</v>
      </c>
      <c r="W2621" s="73">
        <f t="shared" si="144"/>
        <v>29</v>
      </c>
      <c r="X2621" s="80">
        <f t="shared" si="145"/>
        <v>7866</v>
      </c>
      <c r="Y2621" s="82" t="s">
        <v>3591</v>
      </c>
      <c r="AB2621" s="177">
        <v>44651</v>
      </c>
      <c r="AC2621" s="84" t="s">
        <v>2885</v>
      </c>
    </row>
    <row r="2622" spans="1:29" ht="15.45" customHeight="1" x14ac:dyDescent="0.25">
      <c r="A2622" s="29" t="s">
        <v>6660</v>
      </c>
      <c r="C2622" s="37" t="s">
        <v>3618</v>
      </c>
      <c r="E2622" s="37" t="s">
        <v>2827</v>
      </c>
      <c r="F2622" s="24" t="s">
        <v>4909</v>
      </c>
      <c r="H2622" s="38" t="s">
        <v>6625</v>
      </c>
      <c r="J2622" s="215">
        <v>1985</v>
      </c>
      <c r="K2622" s="10" t="s">
        <v>4568</v>
      </c>
      <c r="N2622" s="37" t="s">
        <v>6623</v>
      </c>
      <c r="P2622" s="37" t="s">
        <v>1781</v>
      </c>
      <c r="Q2622" s="37" t="s">
        <v>3506</v>
      </c>
      <c r="R2622" s="37" t="s">
        <v>1792</v>
      </c>
      <c r="S2622" s="10" t="s">
        <v>2983</v>
      </c>
      <c r="U2622" s="22">
        <v>1</v>
      </c>
      <c r="V2622" s="22">
        <v>1</v>
      </c>
      <c r="W2622" s="73">
        <f t="shared" si="144"/>
        <v>30</v>
      </c>
      <c r="X2622" s="80">
        <f t="shared" si="145"/>
        <v>7867</v>
      </c>
      <c r="Y2622" s="82" t="s">
        <v>3591</v>
      </c>
      <c r="Z2622" s="24" t="s">
        <v>2885</v>
      </c>
      <c r="AB2622" s="177">
        <v>44651</v>
      </c>
      <c r="AC2622" s="84" t="s">
        <v>2885</v>
      </c>
    </row>
    <row r="2623" spans="1:29" ht="15.45" customHeight="1" x14ac:dyDescent="0.25">
      <c r="A2623" s="29" t="s">
        <v>6006</v>
      </c>
      <c r="C2623" s="37" t="s">
        <v>3618</v>
      </c>
      <c r="E2623" s="37" t="s">
        <v>2928</v>
      </c>
      <c r="F2623" s="24" t="s">
        <v>5117</v>
      </c>
      <c r="H2623" s="38" t="s">
        <v>6011</v>
      </c>
      <c r="J2623" s="215">
        <v>1988</v>
      </c>
      <c r="K2623" s="10" t="s">
        <v>6005</v>
      </c>
      <c r="N2623" s="37" t="s">
        <v>6674</v>
      </c>
      <c r="P2623" s="37" t="s">
        <v>1781</v>
      </c>
      <c r="Q2623" s="37" t="s">
        <v>3506</v>
      </c>
      <c r="S2623" s="10" t="s">
        <v>3412</v>
      </c>
      <c r="T2623" s="10" t="s">
        <v>6004</v>
      </c>
      <c r="U2623" s="22">
        <v>1</v>
      </c>
      <c r="V2623" s="22">
        <v>1</v>
      </c>
      <c r="W2623" s="73">
        <f t="shared" si="144"/>
        <v>31</v>
      </c>
      <c r="X2623" s="80">
        <f t="shared" si="145"/>
        <v>7868</v>
      </c>
      <c r="Y2623" s="82" t="s">
        <v>3591</v>
      </c>
      <c r="Z2623" s="24" t="s">
        <v>2885</v>
      </c>
      <c r="AB2623" s="177">
        <v>44447</v>
      </c>
      <c r="AC2623" s="84" t="s">
        <v>2885</v>
      </c>
    </row>
    <row r="2624" spans="1:29" ht="15.45" customHeight="1" x14ac:dyDescent="0.25">
      <c r="A2624" s="29" t="s">
        <v>6717</v>
      </c>
      <c r="C2624" s="37" t="s">
        <v>3618</v>
      </c>
      <c r="E2624" s="37" t="s">
        <v>2827</v>
      </c>
      <c r="F2624" s="24" t="s">
        <v>4909</v>
      </c>
      <c r="H2624" s="38" t="s">
        <v>6615</v>
      </c>
      <c r="J2624" s="215">
        <v>1994</v>
      </c>
      <c r="K2624" s="10" t="s">
        <v>4568</v>
      </c>
      <c r="N2624" s="37" t="s">
        <v>6620</v>
      </c>
      <c r="O2624" s="37" t="s">
        <v>6613</v>
      </c>
      <c r="P2624" s="37" t="s">
        <v>1936</v>
      </c>
      <c r="Q2624" s="37" t="s">
        <v>3506</v>
      </c>
      <c r="R2624" s="37" t="s">
        <v>1792</v>
      </c>
      <c r="S2624" s="10" t="s">
        <v>2983</v>
      </c>
      <c r="U2624" s="22">
        <v>1</v>
      </c>
      <c r="V2624" s="22">
        <v>1</v>
      </c>
      <c r="W2624" s="73">
        <f t="shared" si="144"/>
        <v>32</v>
      </c>
      <c r="X2624" s="80">
        <f t="shared" si="145"/>
        <v>7869</v>
      </c>
      <c r="Y2624" s="82" t="s">
        <v>3591</v>
      </c>
      <c r="AB2624" s="177">
        <v>44651</v>
      </c>
      <c r="AC2624" s="84" t="s">
        <v>2885</v>
      </c>
    </row>
    <row r="2625" spans="1:37" ht="15.45" customHeight="1" x14ac:dyDescent="0.25">
      <c r="A2625" s="29" t="s">
        <v>6718</v>
      </c>
      <c r="C2625" s="37" t="s">
        <v>3618</v>
      </c>
      <c r="E2625" s="37" t="s">
        <v>2827</v>
      </c>
      <c r="F2625" s="24" t="s">
        <v>4909</v>
      </c>
      <c r="H2625" s="38" t="s">
        <v>6673</v>
      </c>
      <c r="J2625" s="215">
        <v>1998</v>
      </c>
      <c r="K2625" s="10" t="s">
        <v>4568</v>
      </c>
      <c r="N2625" s="37" t="s">
        <v>6471</v>
      </c>
      <c r="P2625" s="37" t="s">
        <v>1463</v>
      </c>
      <c r="Q2625" s="37" t="s">
        <v>3506</v>
      </c>
      <c r="R2625" s="37" t="s">
        <v>1792</v>
      </c>
      <c r="S2625" s="10" t="s">
        <v>3412</v>
      </c>
      <c r="U2625" s="22">
        <v>1</v>
      </c>
      <c r="V2625" s="22">
        <v>1</v>
      </c>
      <c r="W2625" s="73">
        <f t="shared" si="144"/>
        <v>33</v>
      </c>
      <c r="X2625" s="80">
        <f t="shared" si="145"/>
        <v>7870</v>
      </c>
      <c r="Y2625" s="82" t="s">
        <v>3591</v>
      </c>
      <c r="Z2625" s="24" t="s">
        <v>6473</v>
      </c>
      <c r="AA2625" s="177">
        <v>44572</v>
      </c>
      <c r="AB2625" s="177">
        <v>44613</v>
      </c>
      <c r="AC2625" s="84" t="s">
        <v>2885</v>
      </c>
    </row>
    <row r="2626" spans="1:37" ht="15.45" customHeight="1" x14ac:dyDescent="0.25">
      <c r="A2626" s="29"/>
      <c r="J2626" s="215"/>
      <c r="U2626" s="22"/>
      <c r="V2626" s="22"/>
      <c r="X2626" s="80"/>
    </row>
    <row r="2627" spans="1:37" s="51" customFormat="1" ht="15.45" customHeight="1" x14ac:dyDescent="0.25">
      <c r="A2627" s="45" t="s">
        <v>4774</v>
      </c>
      <c r="B2627" s="50"/>
      <c r="C2627" s="49"/>
      <c r="D2627" s="49"/>
      <c r="E2627" s="49"/>
      <c r="F2627" s="50"/>
      <c r="G2627" s="50"/>
      <c r="H2627" s="46" t="s">
        <v>4050</v>
      </c>
      <c r="I2627" s="109"/>
      <c r="J2627" s="212"/>
      <c r="K2627" s="56"/>
      <c r="L2627" s="100"/>
      <c r="M2627" s="100"/>
      <c r="N2627" s="49"/>
      <c r="O2627" s="49"/>
      <c r="P2627" s="49"/>
      <c r="Q2627" s="49"/>
      <c r="R2627" s="49"/>
      <c r="S2627" s="47"/>
      <c r="T2627" s="47"/>
      <c r="U2627" s="48"/>
      <c r="W2627" s="74"/>
      <c r="X2627" s="81"/>
      <c r="Y2627" s="132"/>
      <c r="Z2627" s="50"/>
      <c r="AA2627" s="173"/>
      <c r="AB2627" s="173"/>
      <c r="AC2627" s="137"/>
      <c r="AD2627" s="137"/>
      <c r="AE2627" s="83"/>
      <c r="AF2627" s="47"/>
      <c r="AG2627" s="47"/>
      <c r="AH2627" s="47"/>
      <c r="AI2627" s="47"/>
      <c r="AJ2627" s="47"/>
      <c r="AK2627" s="47"/>
    </row>
    <row r="2628" spans="1:37" ht="15.45" customHeight="1" x14ac:dyDescent="0.25">
      <c r="A2628" s="29" t="s">
        <v>7224</v>
      </c>
      <c r="B2628" s="24" t="s">
        <v>3453</v>
      </c>
      <c r="C2628" s="37" t="s">
        <v>2730</v>
      </c>
      <c r="E2628" s="37" t="s">
        <v>2930</v>
      </c>
      <c r="F2628" s="24" t="s">
        <v>4278</v>
      </c>
      <c r="H2628" s="38" t="s">
        <v>3751</v>
      </c>
      <c r="J2628" s="214" t="s">
        <v>3749</v>
      </c>
      <c r="K2628" s="10" t="s">
        <v>3750</v>
      </c>
      <c r="L2628" s="102">
        <v>1418</v>
      </c>
      <c r="N2628" s="37" t="s">
        <v>3404</v>
      </c>
      <c r="Q2628" s="37" t="s">
        <v>1998</v>
      </c>
      <c r="S2628" s="10" t="s">
        <v>2433</v>
      </c>
      <c r="U2628" s="22">
        <v>1</v>
      </c>
      <c r="V2628" s="22">
        <v>2</v>
      </c>
      <c r="W2628" s="73">
        <v>2</v>
      </c>
      <c r="X2628" s="80">
        <f>V2628+X2625</f>
        <v>7872</v>
      </c>
      <c r="Y2628" s="82" t="s">
        <v>3584</v>
      </c>
    </row>
    <row r="2629" spans="1:37" ht="15.45" customHeight="1" x14ac:dyDescent="0.25">
      <c r="A2629" s="29" t="s">
        <v>7227</v>
      </c>
      <c r="B2629" s="24" t="s">
        <v>3454</v>
      </c>
      <c r="C2629" s="37" t="s">
        <v>2730</v>
      </c>
      <c r="E2629" s="37" t="s">
        <v>2930</v>
      </c>
      <c r="F2629" s="24" t="s">
        <v>4278</v>
      </c>
      <c r="H2629" s="38" t="s">
        <v>4276</v>
      </c>
      <c r="J2629" s="214" t="s">
        <v>3749</v>
      </c>
      <c r="K2629" s="10" t="s">
        <v>3750</v>
      </c>
      <c r="L2629" s="102">
        <v>1421</v>
      </c>
      <c r="N2629" s="37" t="s">
        <v>3404</v>
      </c>
      <c r="Q2629" s="37" t="s">
        <v>1998</v>
      </c>
      <c r="S2629" s="10" t="s">
        <v>2433</v>
      </c>
      <c r="U2629" s="22">
        <v>1</v>
      </c>
      <c r="V2629" s="22">
        <v>1</v>
      </c>
      <c r="W2629" s="73">
        <f t="shared" ref="W2629:W2669" si="146">W2628+V2629</f>
        <v>3</v>
      </c>
      <c r="X2629" s="80">
        <f t="shared" ref="X2629:X2669" si="147">V2629+X2628</f>
        <v>7873</v>
      </c>
      <c r="Y2629" s="82" t="s">
        <v>3584</v>
      </c>
    </row>
    <row r="2630" spans="1:37" ht="15.45" customHeight="1" x14ac:dyDescent="0.25">
      <c r="A2630" s="29" t="s">
        <v>4816</v>
      </c>
      <c r="B2630" s="24" t="s">
        <v>2209</v>
      </c>
      <c r="C2630" s="37" t="s">
        <v>2730</v>
      </c>
      <c r="E2630" s="37" t="s">
        <v>2930</v>
      </c>
      <c r="F2630" s="24" t="s">
        <v>4278</v>
      </c>
      <c r="H2630" s="38" t="s">
        <v>4815</v>
      </c>
      <c r="J2630" s="214" t="s">
        <v>3749</v>
      </c>
      <c r="K2630" s="10" t="s">
        <v>3750</v>
      </c>
      <c r="L2630" s="102">
        <v>1426</v>
      </c>
      <c r="N2630" s="37" t="s">
        <v>3404</v>
      </c>
      <c r="Q2630" s="37" t="s">
        <v>1998</v>
      </c>
      <c r="S2630" s="10" t="s">
        <v>2980</v>
      </c>
      <c r="T2630" s="10" t="s">
        <v>3469</v>
      </c>
      <c r="U2630" s="22">
        <v>1</v>
      </c>
      <c r="V2630" s="22">
        <v>1</v>
      </c>
      <c r="W2630" s="73">
        <f t="shared" si="146"/>
        <v>4</v>
      </c>
      <c r="X2630" s="80">
        <f t="shared" si="147"/>
        <v>7874</v>
      </c>
      <c r="Y2630" s="82" t="s">
        <v>3584</v>
      </c>
      <c r="AE2630" s="78" t="s">
        <v>4243</v>
      </c>
    </row>
    <row r="2631" spans="1:37" ht="15.45" customHeight="1" x14ac:dyDescent="0.25">
      <c r="A2631" s="29" t="s">
        <v>4814</v>
      </c>
      <c r="B2631" s="24" t="s">
        <v>2210</v>
      </c>
      <c r="C2631" s="37" t="s">
        <v>2730</v>
      </c>
      <c r="E2631" s="37" t="s">
        <v>2930</v>
      </c>
      <c r="F2631" s="24" t="s">
        <v>4278</v>
      </c>
      <c r="H2631" s="38" t="s">
        <v>4812</v>
      </c>
      <c r="J2631" s="214" t="s">
        <v>5102</v>
      </c>
      <c r="K2631" s="10" t="s">
        <v>5103</v>
      </c>
      <c r="L2631" s="102">
        <v>1423</v>
      </c>
      <c r="N2631" s="37" t="s">
        <v>3404</v>
      </c>
      <c r="Q2631" s="37" t="s">
        <v>1998</v>
      </c>
      <c r="S2631" s="10" t="s">
        <v>2980</v>
      </c>
      <c r="T2631" s="10" t="s">
        <v>3470</v>
      </c>
      <c r="U2631" s="22">
        <v>1</v>
      </c>
      <c r="V2631" s="22">
        <v>5</v>
      </c>
      <c r="W2631" s="73">
        <f t="shared" si="146"/>
        <v>9</v>
      </c>
      <c r="X2631" s="80">
        <f t="shared" si="147"/>
        <v>7879</v>
      </c>
      <c r="Y2631" s="82" t="s">
        <v>3584</v>
      </c>
      <c r="AE2631" s="78" t="s">
        <v>4245</v>
      </c>
      <c r="AJ2631" s="127"/>
    </row>
    <row r="2632" spans="1:37" ht="15.45" customHeight="1" x14ac:dyDescent="0.25">
      <c r="A2632" s="29" t="s">
        <v>7226</v>
      </c>
      <c r="B2632" s="24" t="s">
        <v>2211</v>
      </c>
      <c r="C2632" s="37" t="s">
        <v>2730</v>
      </c>
      <c r="E2632" s="37" t="s">
        <v>2930</v>
      </c>
      <c r="F2632" s="24" t="s">
        <v>4278</v>
      </c>
      <c r="H2632" s="38" t="s">
        <v>4811</v>
      </c>
      <c r="J2632" s="214" t="s">
        <v>5102</v>
      </c>
      <c r="K2632" s="10" t="s">
        <v>5103</v>
      </c>
      <c r="L2632" s="102">
        <v>1424</v>
      </c>
      <c r="N2632" s="37" t="s">
        <v>3404</v>
      </c>
      <c r="Q2632" s="37" t="s">
        <v>1998</v>
      </c>
      <c r="S2632" s="10" t="s">
        <v>2983</v>
      </c>
      <c r="T2632" s="10" t="s">
        <v>3472</v>
      </c>
      <c r="U2632" s="22">
        <v>1</v>
      </c>
      <c r="V2632" s="22">
        <v>1</v>
      </c>
      <c r="W2632" s="73">
        <f t="shared" si="146"/>
        <v>10</v>
      </c>
      <c r="X2632" s="80">
        <f t="shared" si="147"/>
        <v>7880</v>
      </c>
      <c r="Y2632" s="82" t="s">
        <v>3584</v>
      </c>
      <c r="AE2632" s="78" t="s">
        <v>4245</v>
      </c>
    </row>
    <row r="2633" spans="1:37" ht="15.45" customHeight="1" x14ac:dyDescent="0.25">
      <c r="A2633" s="29" t="s">
        <v>4813</v>
      </c>
      <c r="B2633" s="24" t="s">
        <v>4250</v>
      </c>
      <c r="C2633" s="37" t="s">
        <v>2730</v>
      </c>
      <c r="E2633" s="37" t="s">
        <v>2930</v>
      </c>
      <c r="F2633" s="24" t="s">
        <v>4278</v>
      </c>
      <c r="H2633" s="38" t="s">
        <v>4817</v>
      </c>
      <c r="J2633" s="214" t="s">
        <v>3039</v>
      </c>
      <c r="L2633" s="102">
        <v>1425</v>
      </c>
      <c r="N2633" s="37" t="s">
        <v>3404</v>
      </c>
      <c r="Q2633" s="37" t="s">
        <v>1998</v>
      </c>
      <c r="S2633" s="10" t="s">
        <v>3412</v>
      </c>
      <c r="U2633" s="22">
        <v>1</v>
      </c>
      <c r="V2633" s="22">
        <v>5</v>
      </c>
      <c r="W2633" s="73">
        <f t="shared" si="146"/>
        <v>15</v>
      </c>
      <c r="X2633" s="80">
        <f t="shared" si="147"/>
        <v>7885</v>
      </c>
      <c r="Y2633" s="82" t="s">
        <v>3584</v>
      </c>
      <c r="AE2633" s="24" t="s">
        <v>4251</v>
      </c>
    </row>
    <row r="2634" spans="1:37" ht="15.45" customHeight="1" x14ac:dyDescent="0.25">
      <c r="A2634" s="29" t="s">
        <v>4274</v>
      </c>
      <c r="B2634" s="24" t="s">
        <v>4237</v>
      </c>
      <c r="C2634" s="37" t="s">
        <v>2730</v>
      </c>
      <c r="E2634" s="37" t="s">
        <v>2930</v>
      </c>
      <c r="F2634" s="24" t="s">
        <v>4278</v>
      </c>
      <c r="H2634" s="38" t="s">
        <v>4275</v>
      </c>
      <c r="J2634" s="214" t="s">
        <v>3749</v>
      </c>
      <c r="K2634" s="10" t="s">
        <v>3750</v>
      </c>
      <c r="L2634" s="102">
        <v>1431</v>
      </c>
      <c r="N2634" s="37" t="s">
        <v>3404</v>
      </c>
      <c r="Q2634" s="37" t="s">
        <v>1998</v>
      </c>
      <c r="S2634" s="10" t="s">
        <v>2980</v>
      </c>
      <c r="T2634" s="10" t="s">
        <v>3475</v>
      </c>
      <c r="U2634" s="22">
        <v>1</v>
      </c>
      <c r="V2634" s="22">
        <v>3</v>
      </c>
      <c r="W2634" s="73">
        <f t="shared" si="146"/>
        <v>18</v>
      </c>
      <c r="X2634" s="80">
        <f t="shared" si="147"/>
        <v>7888</v>
      </c>
      <c r="Y2634" s="82" t="s">
        <v>3584</v>
      </c>
      <c r="AE2634" s="78" t="s">
        <v>4241</v>
      </c>
    </row>
    <row r="2635" spans="1:37" ht="15.45" customHeight="1" x14ac:dyDescent="0.25">
      <c r="A2635" s="29" t="s">
        <v>4282</v>
      </c>
      <c r="B2635" s="24" t="s">
        <v>4272</v>
      </c>
      <c r="C2635" s="37" t="s">
        <v>2730</v>
      </c>
      <c r="E2635" s="37" t="s">
        <v>2930</v>
      </c>
      <c r="F2635" s="24" t="s">
        <v>4278</v>
      </c>
      <c r="H2635" s="38" t="s">
        <v>4273</v>
      </c>
      <c r="J2635" s="214" t="s">
        <v>3749</v>
      </c>
      <c r="K2635" s="10" t="s">
        <v>3750</v>
      </c>
      <c r="N2635" s="37" t="s">
        <v>3404</v>
      </c>
      <c r="Q2635" s="37" t="s">
        <v>1998</v>
      </c>
      <c r="S2635" s="10" t="s">
        <v>2980</v>
      </c>
      <c r="T2635" s="10" t="s">
        <v>3474</v>
      </c>
      <c r="U2635" s="22">
        <v>1</v>
      </c>
      <c r="V2635" s="22">
        <v>2</v>
      </c>
      <c r="W2635" s="73">
        <f t="shared" si="146"/>
        <v>20</v>
      </c>
      <c r="X2635" s="80">
        <f t="shared" si="147"/>
        <v>7890</v>
      </c>
      <c r="Y2635" s="82" t="s">
        <v>3584</v>
      </c>
    </row>
    <row r="2636" spans="1:37" ht="15.45" customHeight="1" x14ac:dyDescent="0.25">
      <c r="A2636" s="29" t="s">
        <v>4266</v>
      </c>
      <c r="B2636" s="24" t="s">
        <v>3479</v>
      </c>
      <c r="C2636" s="37" t="s">
        <v>2730</v>
      </c>
      <c r="E2636" s="37" t="s">
        <v>2930</v>
      </c>
      <c r="F2636" s="24" t="s">
        <v>4278</v>
      </c>
      <c r="H2636" s="38" t="s">
        <v>3532</v>
      </c>
      <c r="J2636" s="214" t="s">
        <v>3749</v>
      </c>
      <c r="K2636" s="10" t="s">
        <v>3750</v>
      </c>
      <c r="N2636" s="37" t="s">
        <v>3404</v>
      </c>
      <c r="Q2636" s="37" t="s">
        <v>1998</v>
      </c>
      <c r="S2636" s="10" t="s">
        <v>3412</v>
      </c>
      <c r="U2636" s="22">
        <v>1</v>
      </c>
      <c r="V2636" s="22">
        <v>1</v>
      </c>
      <c r="W2636" s="73">
        <f t="shared" si="146"/>
        <v>21</v>
      </c>
      <c r="X2636" s="80">
        <f t="shared" si="147"/>
        <v>7891</v>
      </c>
      <c r="Y2636" s="82" t="s">
        <v>3584</v>
      </c>
      <c r="AE2636" s="78" t="s">
        <v>4252</v>
      </c>
    </row>
    <row r="2637" spans="1:37" ht="15.45" customHeight="1" x14ac:dyDescent="0.25">
      <c r="A2637" s="29" t="s">
        <v>7234</v>
      </c>
      <c r="B2637" s="24" t="s">
        <v>2212</v>
      </c>
      <c r="C2637" s="37" t="s">
        <v>2730</v>
      </c>
      <c r="E2637" s="37" t="s">
        <v>2930</v>
      </c>
      <c r="F2637" s="24" t="s">
        <v>4279</v>
      </c>
      <c r="H2637" s="38" t="s">
        <v>3444</v>
      </c>
      <c r="J2637" s="214" t="s">
        <v>5102</v>
      </c>
      <c r="K2637" s="10" t="s">
        <v>5103</v>
      </c>
      <c r="L2637" s="102">
        <v>5080</v>
      </c>
      <c r="N2637" s="37" t="s">
        <v>3404</v>
      </c>
      <c r="Q2637" s="37" t="s">
        <v>1998</v>
      </c>
      <c r="S2637" s="10" t="s">
        <v>2980</v>
      </c>
      <c r="T2637" s="124" t="s">
        <v>3445</v>
      </c>
      <c r="U2637" s="22">
        <v>1</v>
      </c>
      <c r="V2637" s="22">
        <v>1</v>
      </c>
      <c r="W2637" s="73">
        <f t="shared" si="146"/>
        <v>22</v>
      </c>
      <c r="X2637" s="80">
        <f t="shared" si="147"/>
        <v>7892</v>
      </c>
      <c r="Y2637" s="82" t="s">
        <v>3584</v>
      </c>
      <c r="AE2637" s="78" t="s">
        <v>4246</v>
      </c>
    </row>
    <row r="2638" spans="1:37" ht="15.45" customHeight="1" x14ac:dyDescent="0.25">
      <c r="A2638" s="29" t="s">
        <v>4255</v>
      </c>
      <c r="B2638" s="24" t="s">
        <v>2213</v>
      </c>
      <c r="C2638" s="37" t="s">
        <v>2730</v>
      </c>
      <c r="E2638" s="37" t="s">
        <v>2930</v>
      </c>
      <c r="F2638" s="24" t="s">
        <v>4279</v>
      </c>
      <c r="H2638" s="38" t="s">
        <v>7301</v>
      </c>
      <c r="J2638" s="214" t="s">
        <v>5102</v>
      </c>
      <c r="K2638" s="10" t="s">
        <v>5103</v>
      </c>
      <c r="N2638" s="37" t="s">
        <v>3404</v>
      </c>
      <c r="Q2638" s="37" t="s">
        <v>1998</v>
      </c>
      <c r="S2638" s="10" t="s">
        <v>2433</v>
      </c>
      <c r="U2638" s="22">
        <v>1</v>
      </c>
      <c r="V2638" s="22">
        <v>3</v>
      </c>
      <c r="W2638" s="73">
        <f t="shared" si="146"/>
        <v>25</v>
      </c>
      <c r="X2638" s="80">
        <f t="shared" si="147"/>
        <v>7895</v>
      </c>
      <c r="Y2638" s="82" t="s">
        <v>3584</v>
      </c>
      <c r="AE2638" s="78" t="s">
        <v>4241</v>
      </c>
    </row>
    <row r="2639" spans="1:37" ht="15.45" customHeight="1" x14ac:dyDescent="0.25">
      <c r="A2639" s="29" t="s">
        <v>7302</v>
      </c>
      <c r="C2639" s="37" t="s">
        <v>2730</v>
      </c>
      <c r="E2639" s="37" t="s">
        <v>2930</v>
      </c>
      <c r="F2639" s="24" t="s">
        <v>7303</v>
      </c>
      <c r="H2639" s="38" t="s">
        <v>7304</v>
      </c>
      <c r="J2639" s="214" t="s">
        <v>5279</v>
      </c>
      <c r="N2639" s="37" t="s">
        <v>2826</v>
      </c>
      <c r="S2639" s="10" t="s">
        <v>2433</v>
      </c>
      <c r="U2639" s="22">
        <v>1</v>
      </c>
      <c r="V2639" s="22">
        <v>1</v>
      </c>
      <c r="W2639" s="73">
        <f t="shared" si="146"/>
        <v>26</v>
      </c>
      <c r="X2639" s="80">
        <f t="shared" si="147"/>
        <v>7896</v>
      </c>
      <c r="Y2639" s="82" t="s">
        <v>3591</v>
      </c>
      <c r="Z2639" s="24" t="s">
        <v>2885</v>
      </c>
    </row>
    <row r="2640" spans="1:37" ht="15.45" customHeight="1" x14ac:dyDescent="0.25">
      <c r="A2640" s="29" t="s">
        <v>3447</v>
      </c>
      <c r="B2640" s="24" t="s">
        <v>2212</v>
      </c>
      <c r="C2640" s="37" t="s">
        <v>2730</v>
      </c>
      <c r="E2640" s="37" t="s">
        <v>2930</v>
      </c>
      <c r="F2640" s="24" t="s">
        <v>4279</v>
      </c>
      <c r="H2640" s="38" t="s">
        <v>3446</v>
      </c>
      <c r="J2640" s="214" t="s">
        <v>3690</v>
      </c>
      <c r="K2640" s="10" t="s">
        <v>3685</v>
      </c>
      <c r="L2640" s="102">
        <v>5079</v>
      </c>
      <c r="N2640" s="37" t="s">
        <v>3404</v>
      </c>
      <c r="Q2640" s="37" t="s">
        <v>1998</v>
      </c>
      <c r="S2640" s="10" t="s">
        <v>2433</v>
      </c>
      <c r="U2640" s="22">
        <v>1</v>
      </c>
      <c r="V2640" s="22">
        <v>1</v>
      </c>
      <c r="W2640" s="73">
        <f t="shared" si="146"/>
        <v>27</v>
      </c>
      <c r="X2640" s="80">
        <f t="shared" si="147"/>
        <v>7897</v>
      </c>
      <c r="Y2640" s="82" t="s">
        <v>3584</v>
      </c>
    </row>
    <row r="2641" spans="1:35" ht="15.45" customHeight="1" x14ac:dyDescent="0.25">
      <c r="A2641" s="29" t="s">
        <v>7228</v>
      </c>
      <c r="B2641" s="24" t="s">
        <v>3542</v>
      </c>
      <c r="C2641" s="37" t="s">
        <v>2730</v>
      </c>
      <c r="E2641" s="37" t="s">
        <v>2930</v>
      </c>
      <c r="F2641" s="24" t="s">
        <v>4279</v>
      </c>
      <c r="H2641" s="38" t="s">
        <v>7229</v>
      </c>
      <c r="J2641" s="214" t="s">
        <v>5102</v>
      </c>
      <c r="K2641" s="10" t="s">
        <v>5103</v>
      </c>
      <c r="N2641" s="37" t="s">
        <v>3404</v>
      </c>
      <c r="Q2641" s="37" t="s">
        <v>1998</v>
      </c>
      <c r="S2641" s="10" t="s">
        <v>2981</v>
      </c>
      <c r="T2641" s="10" t="s">
        <v>3543</v>
      </c>
      <c r="U2641" s="22">
        <v>1</v>
      </c>
      <c r="V2641" s="22">
        <v>1</v>
      </c>
      <c r="W2641" s="73">
        <f t="shared" si="146"/>
        <v>28</v>
      </c>
      <c r="X2641" s="80">
        <f t="shared" si="147"/>
        <v>7898</v>
      </c>
      <c r="Y2641" s="82" t="s">
        <v>3584</v>
      </c>
    </row>
    <row r="2642" spans="1:35" ht="15.45" customHeight="1" x14ac:dyDescent="0.25">
      <c r="A2642" s="29" t="s">
        <v>7231</v>
      </c>
      <c r="B2642" s="24" t="s">
        <v>3442</v>
      </c>
      <c r="C2642" s="37" t="s">
        <v>2730</v>
      </c>
      <c r="E2642" s="37" t="s">
        <v>2930</v>
      </c>
      <c r="F2642" s="24" t="s">
        <v>4279</v>
      </c>
      <c r="H2642" s="38" t="s">
        <v>3443</v>
      </c>
      <c r="J2642" s="214" t="s">
        <v>5102</v>
      </c>
      <c r="K2642" s="10" t="s">
        <v>5103</v>
      </c>
      <c r="L2642" s="102">
        <v>5078</v>
      </c>
      <c r="N2642" s="37" t="s">
        <v>3404</v>
      </c>
      <c r="Q2642" s="37" t="s">
        <v>1998</v>
      </c>
      <c r="S2642" s="10" t="s">
        <v>2983</v>
      </c>
      <c r="U2642" s="22">
        <v>1</v>
      </c>
      <c r="V2642" s="22">
        <v>7</v>
      </c>
      <c r="W2642" s="73">
        <f t="shared" si="146"/>
        <v>35</v>
      </c>
      <c r="X2642" s="80">
        <f t="shared" si="147"/>
        <v>7905</v>
      </c>
      <c r="Y2642" s="82" t="s">
        <v>3584</v>
      </c>
      <c r="AE2642" s="78" t="s">
        <v>4241</v>
      </c>
    </row>
    <row r="2643" spans="1:35" ht="15.45" customHeight="1" x14ac:dyDescent="0.25">
      <c r="A2643" s="29" t="s">
        <v>7233</v>
      </c>
      <c r="B2643" s="24" t="s">
        <v>3235</v>
      </c>
      <c r="C2643" s="37" t="s">
        <v>2730</v>
      </c>
      <c r="E2643" s="37" t="s">
        <v>2930</v>
      </c>
      <c r="F2643" s="24" t="s">
        <v>4279</v>
      </c>
      <c r="H2643" s="38" t="s">
        <v>3439</v>
      </c>
      <c r="J2643" s="214" t="s">
        <v>3749</v>
      </c>
      <c r="K2643" s="10" t="s">
        <v>3750</v>
      </c>
      <c r="L2643" s="102">
        <v>5072</v>
      </c>
      <c r="N2643" s="37" t="s">
        <v>3404</v>
      </c>
      <c r="Q2643" s="37" t="s">
        <v>1998</v>
      </c>
      <c r="S2643" s="10" t="s">
        <v>2983</v>
      </c>
      <c r="U2643" s="22">
        <v>1</v>
      </c>
      <c r="V2643" s="22">
        <v>1</v>
      </c>
      <c r="W2643" s="73">
        <f t="shared" si="146"/>
        <v>36</v>
      </c>
      <c r="X2643" s="80">
        <f t="shared" si="147"/>
        <v>7906</v>
      </c>
      <c r="Y2643" s="82" t="s">
        <v>3584</v>
      </c>
      <c r="AE2643" s="78" t="s">
        <v>4248</v>
      </c>
    </row>
    <row r="2644" spans="1:35" ht="15.45" customHeight="1" x14ac:dyDescent="0.25">
      <c r="A2644" s="29" t="s">
        <v>4268</v>
      </c>
      <c r="B2644" s="24" t="s">
        <v>3234</v>
      </c>
      <c r="C2644" s="37" t="s">
        <v>2730</v>
      </c>
      <c r="E2644" s="37" t="s">
        <v>2930</v>
      </c>
      <c r="F2644" s="24" t="s">
        <v>4279</v>
      </c>
      <c r="H2644" s="38" t="s">
        <v>3440</v>
      </c>
      <c r="J2644" s="214" t="s">
        <v>5102</v>
      </c>
      <c r="K2644" s="10" t="s">
        <v>5103</v>
      </c>
      <c r="N2644" s="37" t="s">
        <v>3404</v>
      </c>
      <c r="Q2644" s="37" t="s">
        <v>1998</v>
      </c>
      <c r="S2644" s="10" t="s">
        <v>2983</v>
      </c>
      <c r="U2644" s="22">
        <v>1</v>
      </c>
      <c r="V2644" s="22">
        <v>2</v>
      </c>
      <c r="W2644" s="73">
        <f t="shared" si="146"/>
        <v>38</v>
      </c>
      <c r="X2644" s="80">
        <f t="shared" si="147"/>
        <v>7908</v>
      </c>
      <c r="Y2644" s="82" t="s">
        <v>3584</v>
      </c>
      <c r="AE2644" s="78" t="s">
        <v>4248</v>
      </c>
    </row>
    <row r="2645" spans="1:35" ht="15.45" customHeight="1" x14ac:dyDescent="0.25">
      <c r="A2645" s="29" t="s">
        <v>4269</v>
      </c>
      <c r="B2645" s="24" t="s">
        <v>3233</v>
      </c>
      <c r="C2645" s="37" t="s">
        <v>2730</v>
      </c>
      <c r="E2645" s="37" t="s">
        <v>2930</v>
      </c>
      <c r="F2645" s="24" t="s">
        <v>4279</v>
      </c>
      <c r="H2645" s="38" t="s">
        <v>4267</v>
      </c>
      <c r="J2645" s="214" t="s">
        <v>3749</v>
      </c>
      <c r="K2645" s="10" t="s">
        <v>3750</v>
      </c>
      <c r="L2645" s="102">
        <v>5070</v>
      </c>
      <c r="N2645" s="37" t="s">
        <v>3404</v>
      </c>
      <c r="Q2645" s="37" t="s">
        <v>1998</v>
      </c>
      <c r="S2645" s="10" t="s">
        <v>2983</v>
      </c>
      <c r="T2645" s="10" t="s">
        <v>2771</v>
      </c>
      <c r="U2645" s="22">
        <v>1</v>
      </c>
      <c r="V2645" s="22">
        <v>4</v>
      </c>
      <c r="W2645" s="73">
        <f t="shared" si="146"/>
        <v>42</v>
      </c>
      <c r="X2645" s="80">
        <f t="shared" si="147"/>
        <v>7912</v>
      </c>
      <c r="Y2645" s="82" t="s">
        <v>3584</v>
      </c>
      <c r="AE2645" s="78" t="s">
        <v>4248</v>
      </c>
    </row>
    <row r="2646" spans="1:35" ht="15.45" customHeight="1" x14ac:dyDescent="0.25">
      <c r="A2646" s="29" t="s">
        <v>7230</v>
      </c>
      <c r="B2646" s="24" t="s">
        <v>3378</v>
      </c>
      <c r="C2646" s="37" t="s">
        <v>2730</v>
      </c>
      <c r="E2646" s="37" t="s">
        <v>2930</v>
      </c>
      <c r="F2646" s="24" t="s">
        <v>4279</v>
      </c>
      <c r="H2646" s="38" t="s">
        <v>6250</v>
      </c>
      <c r="J2646" s="214" t="s">
        <v>3039</v>
      </c>
      <c r="L2646" s="102">
        <v>5069</v>
      </c>
      <c r="N2646" s="37" t="s">
        <v>3404</v>
      </c>
      <c r="Q2646" s="37" t="s">
        <v>1998</v>
      </c>
      <c r="S2646" s="10" t="s">
        <v>2983</v>
      </c>
      <c r="U2646" s="22">
        <v>1</v>
      </c>
      <c r="V2646" s="22">
        <v>3</v>
      </c>
      <c r="W2646" s="73">
        <f t="shared" si="146"/>
        <v>45</v>
      </c>
      <c r="X2646" s="80">
        <f t="shared" si="147"/>
        <v>7915</v>
      </c>
      <c r="Y2646" s="82" t="s">
        <v>3584</v>
      </c>
      <c r="AE2646" s="24" t="s">
        <v>4249</v>
      </c>
    </row>
    <row r="2647" spans="1:35" ht="15.45" customHeight="1" x14ac:dyDescent="0.25">
      <c r="A2647" s="29" t="s">
        <v>4256</v>
      </c>
      <c r="B2647" s="24" t="s">
        <v>3597</v>
      </c>
      <c r="C2647" s="37" t="s">
        <v>2730</v>
      </c>
      <c r="E2647" s="37" t="s">
        <v>2930</v>
      </c>
      <c r="F2647" s="24" t="s">
        <v>4280</v>
      </c>
      <c r="H2647" s="38" t="s">
        <v>5149</v>
      </c>
      <c r="J2647" s="214" t="s">
        <v>3690</v>
      </c>
      <c r="K2647" s="10" t="s">
        <v>3685</v>
      </c>
      <c r="L2647" s="102">
        <v>5097</v>
      </c>
      <c r="N2647" s="37" t="s">
        <v>3404</v>
      </c>
      <c r="Q2647" s="37" t="s">
        <v>1998</v>
      </c>
      <c r="S2647" s="10" t="s">
        <v>2433</v>
      </c>
      <c r="U2647" s="22">
        <v>1</v>
      </c>
      <c r="V2647" s="22">
        <v>14</v>
      </c>
      <c r="W2647" s="73">
        <f t="shared" si="146"/>
        <v>59</v>
      </c>
      <c r="X2647" s="80">
        <f t="shared" si="147"/>
        <v>7929</v>
      </c>
      <c r="Y2647" s="82" t="s">
        <v>3584</v>
      </c>
      <c r="AE2647" s="78" t="s">
        <v>4242</v>
      </c>
    </row>
    <row r="2648" spans="1:35" ht="15.45" customHeight="1" x14ac:dyDescent="0.25">
      <c r="A2648" s="29" t="s">
        <v>4258</v>
      </c>
      <c r="B2648" s="24" t="s">
        <v>3597</v>
      </c>
      <c r="C2648" s="37" t="s">
        <v>2730</v>
      </c>
      <c r="E2648" s="37" t="s">
        <v>2930</v>
      </c>
      <c r="F2648" s="24" t="s">
        <v>4280</v>
      </c>
      <c r="H2648" s="38" t="s">
        <v>3616</v>
      </c>
      <c r="J2648" s="215" t="s">
        <v>3690</v>
      </c>
      <c r="K2648" s="10" t="s">
        <v>3685</v>
      </c>
      <c r="L2648" s="102">
        <v>5094</v>
      </c>
      <c r="N2648" s="37" t="s">
        <v>3404</v>
      </c>
      <c r="Q2648" s="37" t="s">
        <v>1998</v>
      </c>
      <c r="S2648" s="10" t="s">
        <v>2980</v>
      </c>
      <c r="T2648" s="124" t="s">
        <v>3602</v>
      </c>
      <c r="U2648" s="22">
        <v>1</v>
      </c>
      <c r="V2648" s="22">
        <v>6</v>
      </c>
      <c r="W2648" s="73">
        <f t="shared" si="146"/>
        <v>65</v>
      </c>
      <c r="X2648" s="80">
        <f t="shared" si="147"/>
        <v>7935</v>
      </c>
      <c r="Y2648" s="82" t="s">
        <v>3584</v>
      </c>
      <c r="AE2648" s="78" t="s">
        <v>4244</v>
      </c>
    </row>
    <row r="2649" spans="1:35" ht="15.45" customHeight="1" x14ac:dyDescent="0.25">
      <c r="A2649" s="29" t="s">
        <v>7262</v>
      </c>
      <c r="B2649" s="24" t="s">
        <v>3597</v>
      </c>
      <c r="C2649" s="37" t="s">
        <v>2730</v>
      </c>
      <c r="E2649" s="37" t="s">
        <v>2930</v>
      </c>
      <c r="F2649" s="24" t="s">
        <v>4280</v>
      </c>
      <c r="H2649" s="38" t="s">
        <v>3617</v>
      </c>
      <c r="J2649" s="215">
        <v>1883</v>
      </c>
      <c r="L2649" s="102">
        <v>5095</v>
      </c>
      <c r="N2649" s="37" t="s">
        <v>3404</v>
      </c>
      <c r="Q2649" s="37" t="s">
        <v>1998</v>
      </c>
      <c r="S2649" s="10" t="s">
        <v>2983</v>
      </c>
      <c r="T2649" s="10" t="s">
        <v>3603</v>
      </c>
      <c r="U2649" s="22">
        <v>1</v>
      </c>
      <c r="V2649" s="22">
        <v>4</v>
      </c>
      <c r="W2649" s="73">
        <f t="shared" si="146"/>
        <v>69</v>
      </c>
      <c r="X2649" s="80">
        <f t="shared" si="147"/>
        <v>7939</v>
      </c>
      <c r="Y2649" s="82" t="s">
        <v>3584</v>
      </c>
      <c r="AE2649" s="78" t="s">
        <v>4244</v>
      </c>
    </row>
    <row r="2650" spans="1:35" ht="15.45" customHeight="1" x14ac:dyDescent="0.25">
      <c r="A2650" s="29" t="s">
        <v>7220</v>
      </c>
      <c r="B2650" s="24" t="s">
        <v>3597</v>
      </c>
      <c r="C2650" s="37" t="s">
        <v>2730</v>
      </c>
      <c r="E2650" s="37" t="s">
        <v>2930</v>
      </c>
      <c r="F2650" s="24" t="s">
        <v>4280</v>
      </c>
      <c r="H2650" s="38" t="s">
        <v>3600</v>
      </c>
      <c r="J2650" s="214" t="s">
        <v>5102</v>
      </c>
      <c r="K2650" s="10" t="s">
        <v>5103</v>
      </c>
      <c r="N2650" s="37" t="s">
        <v>3404</v>
      </c>
      <c r="Q2650" s="37" t="s">
        <v>1998</v>
      </c>
      <c r="S2650" s="10" t="s">
        <v>2433</v>
      </c>
      <c r="U2650" s="22">
        <v>1</v>
      </c>
      <c r="V2650" s="22">
        <v>25</v>
      </c>
      <c r="W2650" s="73">
        <f t="shared" si="146"/>
        <v>94</v>
      </c>
      <c r="X2650" s="80">
        <f t="shared" si="147"/>
        <v>7964</v>
      </c>
      <c r="Y2650" s="82" t="s">
        <v>3584</v>
      </c>
      <c r="AI2650" s="10" t="s">
        <v>2760</v>
      </c>
    </row>
    <row r="2651" spans="1:35" ht="15.45" customHeight="1" x14ac:dyDescent="0.25">
      <c r="A2651" s="29" t="s">
        <v>4259</v>
      </c>
      <c r="B2651" s="24" t="s">
        <v>3597</v>
      </c>
      <c r="C2651" s="37" t="s">
        <v>2730</v>
      </c>
      <c r="E2651" s="37" t="s">
        <v>2930</v>
      </c>
      <c r="F2651" s="24" t="s">
        <v>4280</v>
      </c>
      <c r="H2651" s="38" t="s">
        <v>3605</v>
      </c>
      <c r="I2651" s="131"/>
      <c r="J2651" s="214" t="s">
        <v>3690</v>
      </c>
      <c r="K2651" s="10" t="s">
        <v>3685</v>
      </c>
      <c r="L2651" s="102">
        <v>5091</v>
      </c>
      <c r="N2651" s="37" t="s">
        <v>3404</v>
      </c>
      <c r="Q2651" s="37" t="s">
        <v>1998</v>
      </c>
      <c r="S2651" s="10" t="s">
        <v>2980</v>
      </c>
      <c r="T2651" s="10" t="s">
        <v>3606</v>
      </c>
      <c r="U2651" s="22">
        <v>1</v>
      </c>
      <c r="V2651" s="22">
        <v>3</v>
      </c>
      <c r="W2651" s="73">
        <f t="shared" si="146"/>
        <v>97</v>
      </c>
      <c r="X2651" s="80">
        <f t="shared" si="147"/>
        <v>7967</v>
      </c>
      <c r="Y2651" s="82" t="s">
        <v>3584</v>
      </c>
      <c r="AE2651" s="78" t="s">
        <v>4245</v>
      </c>
    </row>
    <row r="2652" spans="1:35" ht="15.45" customHeight="1" x14ac:dyDescent="0.25">
      <c r="A2652" s="29" t="s">
        <v>7222</v>
      </c>
      <c r="B2652" s="24" t="s">
        <v>3598</v>
      </c>
      <c r="C2652" s="37" t="s">
        <v>2730</v>
      </c>
      <c r="E2652" s="37" t="s">
        <v>2930</v>
      </c>
      <c r="F2652" s="24" t="s">
        <v>4280</v>
      </c>
      <c r="H2652" s="38" t="s">
        <v>3452</v>
      </c>
      <c r="I2652" s="131"/>
      <c r="J2652" s="214" t="s">
        <v>5102</v>
      </c>
      <c r="K2652" s="10" t="s">
        <v>5103</v>
      </c>
      <c r="L2652" s="102">
        <v>5089</v>
      </c>
      <c r="N2652" s="37" t="s">
        <v>3404</v>
      </c>
      <c r="Q2652" s="37" t="s">
        <v>1998</v>
      </c>
      <c r="S2652" s="10" t="s">
        <v>3412</v>
      </c>
      <c r="U2652" s="22">
        <v>1</v>
      </c>
      <c r="V2652" s="22">
        <v>4</v>
      </c>
      <c r="W2652" s="73">
        <f t="shared" si="146"/>
        <v>101</v>
      </c>
      <c r="X2652" s="80">
        <f t="shared" si="147"/>
        <v>7971</v>
      </c>
      <c r="Y2652" s="82" t="s">
        <v>3584</v>
      </c>
    </row>
    <row r="2653" spans="1:35" ht="15.45" customHeight="1" x14ac:dyDescent="0.25">
      <c r="A2653" s="29" t="s">
        <v>7223</v>
      </c>
      <c r="C2653" s="37" t="s">
        <v>2730</v>
      </c>
      <c r="E2653" s="37" t="s">
        <v>2930</v>
      </c>
      <c r="F2653" s="24" t="s">
        <v>4280</v>
      </c>
      <c r="H2653" s="38" t="s">
        <v>3402</v>
      </c>
      <c r="I2653" s="131"/>
      <c r="J2653" s="214" t="s">
        <v>5102</v>
      </c>
      <c r="K2653" s="10" t="s">
        <v>5103</v>
      </c>
      <c r="L2653" s="102">
        <v>5090</v>
      </c>
      <c r="N2653" s="37" t="s">
        <v>3404</v>
      </c>
      <c r="Q2653" s="37" t="s">
        <v>1998</v>
      </c>
      <c r="S2653" s="10" t="s">
        <v>2981</v>
      </c>
      <c r="T2653" s="10" t="s">
        <v>3481</v>
      </c>
      <c r="U2653" s="22">
        <v>1</v>
      </c>
      <c r="V2653" s="22">
        <v>2</v>
      </c>
      <c r="W2653" s="73">
        <f t="shared" si="146"/>
        <v>103</v>
      </c>
      <c r="X2653" s="80">
        <f t="shared" si="147"/>
        <v>7973</v>
      </c>
      <c r="Y2653" s="82" t="s">
        <v>3584</v>
      </c>
    </row>
    <row r="2654" spans="1:35" ht="15.45" customHeight="1" x14ac:dyDescent="0.25">
      <c r="A2654" s="29" t="s">
        <v>4257</v>
      </c>
      <c r="B2654" s="24" t="s">
        <v>3597</v>
      </c>
      <c r="C2654" s="37" t="s">
        <v>2730</v>
      </c>
      <c r="E2654" s="37" t="s">
        <v>2930</v>
      </c>
      <c r="F2654" s="24" t="s">
        <v>4280</v>
      </c>
      <c r="H2654" s="38" t="s">
        <v>3609</v>
      </c>
      <c r="I2654" s="131"/>
      <c r="J2654" s="214" t="s">
        <v>3039</v>
      </c>
      <c r="L2654" s="102">
        <v>5096</v>
      </c>
      <c r="N2654" s="37" t="s">
        <v>3404</v>
      </c>
      <c r="Q2654" s="37" t="s">
        <v>1998</v>
      </c>
      <c r="S2654" s="10" t="s">
        <v>2980</v>
      </c>
      <c r="T2654" s="10" t="s">
        <v>3610</v>
      </c>
      <c r="U2654" s="22">
        <v>1</v>
      </c>
      <c r="V2654" s="22">
        <v>2</v>
      </c>
      <c r="W2654" s="73">
        <f t="shared" si="146"/>
        <v>105</v>
      </c>
      <c r="X2654" s="80">
        <f t="shared" si="147"/>
        <v>7975</v>
      </c>
      <c r="Y2654" s="82" t="s">
        <v>3584</v>
      </c>
      <c r="AE2654" s="78" t="s">
        <v>4243</v>
      </c>
    </row>
    <row r="2655" spans="1:35" ht="15.45" customHeight="1" x14ac:dyDescent="0.25">
      <c r="A2655" s="29" t="s">
        <v>7221</v>
      </c>
      <c r="B2655" s="24" t="s">
        <v>3597</v>
      </c>
      <c r="C2655" s="37" t="s">
        <v>2730</v>
      </c>
      <c r="E2655" s="37" t="s">
        <v>2930</v>
      </c>
      <c r="F2655" s="24" t="s">
        <v>4280</v>
      </c>
      <c r="H2655" s="38" t="s">
        <v>5024</v>
      </c>
      <c r="I2655" s="131"/>
      <c r="J2655" s="214" t="s">
        <v>5022</v>
      </c>
      <c r="K2655" s="10" t="s">
        <v>5023</v>
      </c>
      <c r="L2655" s="102">
        <v>5092</v>
      </c>
      <c r="N2655" s="37" t="s">
        <v>3404</v>
      </c>
      <c r="Q2655" s="37" t="s">
        <v>1998</v>
      </c>
      <c r="S2655" s="10" t="s">
        <v>2983</v>
      </c>
      <c r="T2655" s="10" t="s">
        <v>3601</v>
      </c>
      <c r="U2655" s="22">
        <v>1</v>
      </c>
      <c r="V2655" s="22">
        <v>7</v>
      </c>
      <c r="W2655" s="73">
        <f t="shared" si="146"/>
        <v>112</v>
      </c>
      <c r="X2655" s="80">
        <f t="shared" si="147"/>
        <v>7982</v>
      </c>
      <c r="Y2655" s="82" t="s">
        <v>4060</v>
      </c>
      <c r="AE2655" s="78" t="s">
        <v>4242</v>
      </c>
    </row>
    <row r="2656" spans="1:35" ht="15.45" customHeight="1" x14ac:dyDescent="0.25">
      <c r="A2656" s="29" t="s">
        <v>7225</v>
      </c>
      <c r="B2656" s="24" t="s">
        <v>3597</v>
      </c>
      <c r="C2656" s="37" t="s">
        <v>2730</v>
      </c>
      <c r="E2656" s="37" t="s">
        <v>2930</v>
      </c>
      <c r="F2656" s="24" t="s">
        <v>4280</v>
      </c>
      <c r="H2656" s="38" t="s">
        <v>4270</v>
      </c>
      <c r="I2656" s="131"/>
      <c r="J2656" s="215">
        <v>1883</v>
      </c>
      <c r="N2656" s="37" t="s">
        <v>3607</v>
      </c>
      <c r="Q2656" s="37" t="s">
        <v>1998</v>
      </c>
      <c r="S2656" s="10" t="s">
        <v>2980</v>
      </c>
      <c r="T2656" s="10" t="s">
        <v>3533</v>
      </c>
      <c r="U2656" s="22">
        <v>1</v>
      </c>
      <c r="V2656" s="22">
        <v>2</v>
      </c>
      <c r="W2656" s="73">
        <f t="shared" si="146"/>
        <v>114</v>
      </c>
      <c r="X2656" s="80">
        <f t="shared" si="147"/>
        <v>7984</v>
      </c>
      <c r="Y2656" s="82" t="s">
        <v>3584</v>
      </c>
    </row>
    <row r="2657" spans="1:37" ht="15.45" customHeight="1" x14ac:dyDescent="0.25">
      <c r="A2657" s="29" t="s">
        <v>4260</v>
      </c>
      <c r="B2657" s="24" t="s">
        <v>5101</v>
      </c>
      <c r="C2657" s="37" t="s">
        <v>2730</v>
      </c>
      <c r="E2657" s="37" t="s">
        <v>2930</v>
      </c>
      <c r="F2657" s="24" t="s">
        <v>4280</v>
      </c>
      <c r="H2657" s="38" t="s">
        <v>3402</v>
      </c>
      <c r="J2657" s="214" t="s">
        <v>5102</v>
      </c>
      <c r="K2657" s="10" t="s">
        <v>5103</v>
      </c>
      <c r="L2657" s="102">
        <v>5084</v>
      </c>
      <c r="N2657" s="37" t="s">
        <v>3404</v>
      </c>
      <c r="Q2657" s="37" t="s">
        <v>1998</v>
      </c>
      <c r="S2657" s="10" t="s">
        <v>2433</v>
      </c>
      <c r="U2657" s="22">
        <v>1</v>
      </c>
      <c r="V2657" s="22">
        <v>1</v>
      </c>
      <c r="W2657" s="73">
        <f t="shared" si="146"/>
        <v>115</v>
      </c>
      <c r="X2657" s="80">
        <f t="shared" si="147"/>
        <v>7985</v>
      </c>
      <c r="Y2657" s="82" t="s">
        <v>3584</v>
      </c>
      <c r="AE2657" s="78" t="s">
        <v>4241</v>
      </c>
    </row>
    <row r="2658" spans="1:37" ht="15.45" customHeight="1" x14ac:dyDescent="0.25">
      <c r="A2658" s="29" t="s">
        <v>4261</v>
      </c>
      <c r="B2658" s="24" t="s">
        <v>5100</v>
      </c>
      <c r="C2658" s="37" t="s">
        <v>2730</v>
      </c>
      <c r="E2658" s="37" t="s">
        <v>2930</v>
      </c>
      <c r="F2658" s="24" t="s">
        <v>4280</v>
      </c>
      <c r="H2658" s="38" t="s">
        <v>3402</v>
      </c>
      <c r="J2658" s="214" t="s">
        <v>5102</v>
      </c>
      <c r="K2658" s="10" t="s">
        <v>5104</v>
      </c>
      <c r="L2658" s="102">
        <v>5085</v>
      </c>
      <c r="N2658" s="37" t="s">
        <v>3404</v>
      </c>
      <c r="Q2658" s="37" t="s">
        <v>1998</v>
      </c>
      <c r="S2658" s="10" t="s">
        <v>2433</v>
      </c>
      <c r="U2658" s="22">
        <v>1</v>
      </c>
      <c r="V2658" s="22">
        <v>2</v>
      </c>
      <c r="W2658" s="73">
        <f t="shared" si="146"/>
        <v>117</v>
      </c>
      <c r="X2658" s="80">
        <f t="shared" si="147"/>
        <v>7987</v>
      </c>
      <c r="Y2658" s="82" t="s">
        <v>3584</v>
      </c>
      <c r="AE2658" s="78" t="s">
        <v>4241</v>
      </c>
    </row>
    <row r="2659" spans="1:37" ht="15.45" customHeight="1" x14ac:dyDescent="0.25">
      <c r="A2659" s="29" t="s">
        <v>4262</v>
      </c>
      <c r="B2659" s="24" t="s">
        <v>5099</v>
      </c>
      <c r="C2659" s="37" t="s">
        <v>2730</v>
      </c>
      <c r="E2659" s="37" t="s">
        <v>2930</v>
      </c>
      <c r="F2659" s="24" t="s">
        <v>4280</v>
      </c>
      <c r="H2659" s="38" t="s">
        <v>3448</v>
      </c>
      <c r="J2659" s="214" t="s">
        <v>5102</v>
      </c>
      <c r="K2659" s="10" t="s">
        <v>5105</v>
      </c>
      <c r="L2659" s="102">
        <v>5086</v>
      </c>
      <c r="N2659" s="37" t="s">
        <v>3404</v>
      </c>
      <c r="Q2659" s="37" t="s">
        <v>1998</v>
      </c>
      <c r="S2659" s="10" t="s">
        <v>2433</v>
      </c>
      <c r="U2659" s="22">
        <v>1</v>
      </c>
      <c r="V2659" s="22">
        <v>4</v>
      </c>
      <c r="W2659" s="73">
        <f t="shared" si="146"/>
        <v>121</v>
      </c>
      <c r="X2659" s="80">
        <f t="shared" si="147"/>
        <v>7991</v>
      </c>
      <c r="Y2659" s="82" t="s">
        <v>3584</v>
      </c>
      <c r="AE2659" s="78" t="s">
        <v>4241</v>
      </c>
    </row>
    <row r="2660" spans="1:37" ht="15.45" customHeight="1" x14ac:dyDescent="0.25">
      <c r="A2660" s="29" t="s">
        <v>4263</v>
      </c>
      <c r="B2660" s="24" t="s">
        <v>3599</v>
      </c>
      <c r="C2660" s="37" t="s">
        <v>2730</v>
      </c>
      <c r="E2660" s="37" t="s">
        <v>2930</v>
      </c>
      <c r="F2660" s="24" t="s">
        <v>4280</v>
      </c>
      <c r="H2660" s="38" t="s">
        <v>3449</v>
      </c>
      <c r="J2660" s="214" t="s">
        <v>5102</v>
      </c>
      <c r="K2660" s="10" t="s">
        <v>5106</v>
      </c>
      <c r="L2660" s="102">
        <v>5087</v>
      </c>
      <c r="N2660" s="37" t="s">
        <v>3404</v>
      </c>
      <c r="Q2660" s="37" t="s">
        <v>1998</v>
      </c>
      <c r="S2660" s="10" t="s">
        <v>2983</v>
      </c>
      <c r="T2660" s="10" t="s">
        <v>3450</v>
      </c>
      <c r="U2660" s="22">
        <v>1</v>
      </c>
      <c r="V2660" s="22">
        <v>4</v>
      </c>
      <c r="W2660" s="73">
        <f t="shared" si="146"/>
        <v>125</v>
      </c>
      <c r="X2660" s="80">
        <f t="shared" si="147"/>
        <v>7995</v>
      </c>
      <c r="Y2660" s="82" t="s">
        <v>3584</v>
      </c>
      <c r="AE2660" s="78" t="s">
        <v>4241</v>
      </c>
    </row>
    <row r="2661" spans="1:37" ht="15.45" customHeight="1" x14ac:dyDescent="0.25">
      <c r="A2661" s="29" t="s">
        <v>4264</v>
      </c>
      <c r="B2661" s="24" t="s">
        <v>2168</v>
      </c>
      <c r="C2661" s="37" t="s">
        <v>2730</v>
      </c>
      <c r="E2661" s="37" t="s">
        <v>2930</v>
      </c>
      <c r="F2661" s="24" t="s">
        <v>4280</v>
      </c>
      <c r="H2661" s="38" t="s">
        <v>3451</v>
      </c>
      <c r="J2661" s="214" t="s">
        <v>5102</v>
      </c>
      <c r="K2661" s="10" t="s">
        <v>5107</v>
      </c>
      <c r="L2661" s="102">
        <v>5088</v>
      </c>
      <c r="N2661" s="37" t="s">
        <v>3404</v>
      </c>
      <c r="Q2661" s="37" t="s">
        <v>1998</v>
      </c>
      <c r="S2661" s="10" t="s">
        <v>2433</v>
      </c>
      <c r="U2661" s="22">
        <v>1</v>
      </c>
      <c r="V2661" s="22">
        <v>5</v>
      </c>
      <c r="W2661" s="73">
        <f t="shared" si="146"/>
        <v>130</v>
      </c>
      <c r="X2661" s="80">
        <f t="shared" si="147"/>
        <v>8000</v>
      </c>
      <c r="Y2661" s="82" t="s">
        <v>3584</v>
      </c>
      <c r="AE2661" s="78" t="s">
        <v>4241</v>
      </c>
    </row>
    <row r="2662" spans="1:37" ht="15.45" customHeight="1" x14ac:dyDescent="0.25">
      <c r="A2662" s="29" t="s">
        <v>4871</v>
      </c>
      <c r="B2662" s="24" t="s">
        <v>2214</v>
      </c>
      <c r="C2662" s="37" t="s">
        <v>2730</v>
      </c>
      <c r="E2662" s="37" t="s">
        <v>2930</v>
      </c>
      <c r="F2662" s="24" t="s">
        <v>2110</v>
      </c>
      <c r="H2662" s="38" t="s">
        <v>4239</v>
      </c>
      <c r="J2662" s="214" t="s">
        <v>3039</v>
      </c>
      <c r="L2662" s="102">
        <v>5076</v>
      </c>
      <c r="N2662" s="37" t="s">
        <v>3404</v>
      </c>
      <c r="Q2662" s="37" t="s">
        <v>1998</v>
      </c>
      <c r="S2662" s="10" t="s">
        <v>2980</v>
      </c>
      <c r="T2662" s="10" t="s">
        <v>2775</v>
      </c>
      <c r="U2662" s="22">
        <v>1</v>
      </c>
      <c r="V2662" s="22">
        <v>1</v>
      </c>
      <c r="W2662" s="73">
        <f t="shared" si="146"/>
        <v>131</v>
      </c>
      <c r="X2662" s="80">
        <f t="shared" si="147"/>
        <v>8001</v>
      </c>
      <c r="Y2662" s="82" t="s">
        <v>3584</v>
      </c>
      <c r="AB2662" s="177">
        <v>42485</v>
      </c>
      <c r="AC2662" s="84" t="s">
        <v>2885</v>
      </c>
      <c r="AE2662" s="78" t="s">
        <v>4246</v>
      </c>
      <c r="AI2662" s="10" t="s">
        <v>2204</v>
      </c>
    </row>
    <row r="2663" spans="1:37" ht="15.45" customHeight="1" x14ac:dyDescent="0.25">
      <c r="A2663" s="29" t="s">
        <v>4253</v>
      </c>
      <c r="B2663" s="24" t="s">
        <v>3597</v>
      </c>
      <c r="C2663" s="37" t="s">
        <v>2730</v>
      </c>
      <c r="E2663" s="37" t="s">
        <v>2930</v>
      </c>
      <c r="F2663" s="24" t="s">
        <v>4280</v>
      </c>
      <c r="H2663" s="38" t="s">
        <v>3687</v>
      </c>
      <c r="J2663" s="214" t="s">
        <v>3684</v>
      </c>
      <c r="K2663" s="10" t="s">
        <v>3685</v>
      </c>
      <c r="N2663" s="37" t="s">
        <v>3404</v>
      </c>
      <c r="Q2663" s="37" t="s">
        <v>1998</v>
      </c>
      <c r="S2663" s="10" t="s">
        <v>2981</v>
      </c>
      <c r="T2663" s="10" t="s">
        <v>2729</v>
      </c>
      <c r="U2663" s="22">
        <v>1</v>
      </c>
      <c r="V2663" s="22">
        <v>1</v>
      </c>
      <c r="W2663" s="73">
        <f t="shared" si="146"/>
        <v>132</v>
      </c>
      <c r="X2663" s="80">
        <f t="shared" si="147"/>
        <v>8002</v>
      </c>
      <c r="Y2663" s="82" t="s">
        <v>3584</v>
      </c>
      <c r="AB2663" s="177">
        <v>42485</v>
      </c>
      <c r="AC2663" s="84" t="s">
        <v>2885</v>
      </c>
      <c r="AE2663" s="78" t="s">
        <v>4240</v>
      </c>
    </row>
    <row r="2664" spans="1:37" ht="15.45" customHeight="1" x14ac:dyDescent="0.25">
      <c r="A2664" s="29" t="s">
        <v>4254</v>
      </c>
      <c r="B2664" s="24" t="s">
        <v>3597</v>
      </c>
      <c r="C2664" s="37" t="s">
        <v>2730</v>
      </c>
      <c r="E2664" s="37" t="s">
        <v>2930</v>
      </c>
      <c r="F2664" s="24" t="s">
        <v>4280</v>
      </c>
      <c r="H2664" s="38" t="s">
        <v>3688</v>
      </c>
      <c r="J2664" s="214" t="s">
        <v>3686</v>
      </c>
      <c r="K2664" s="10" t="s">
        <v>3685</v>
      </c>
      <c r="N2664" s="37" t="s">
        <v>3404</v>
      </c>
      <c r="Q2664" s="37" t="s">
        <v>1998</v>
      </c>
      <c r="S2664" s="10" t="s">
        <v>2981</v>
      </c>
      <c r="T2664" s="10" t="s">
        <v>2758</v>
      </c>
      <c r="U2664" s="22">
        <v>1</v>
      </c>
      <c r="V2664" s="22">
        <v>1</v>
      </c>
      <c r="W2664" s="73">
        <f t="shared" si="146"/>
        <v>133</v>
      </c>
      <c r="X2664" s="80">
        <f t="shared" si="147"/>
        <v>8003</v>
      </c>
      <c r="Y2664" s="82" t="s">
        <v>3584</v>
      </c>
      <c r="AB2664" s="177">
        <v>42485</v>
      </c>
      <c r="AC2664" s="84" t="s">
        <v>2885</v>
      </c>
      <c r="AE2664" s="78" t="s">
        <v>4240</v>
      </c>
    </row>
    <row r="2665" spans="1:37" ht="15.45" customHeight="1" x14ac:dyDescent="0.25">
      <c r="A2665" s="29" t="s">
        <v>7232</v>
      </c>
      <c r="B2665" s="24" t="s">
        <v>4872</v>
      </c>
      <c r="C2665" s="37" t="s">
        <v>2730</v>
      </c>
      <c r="E2665" s="37" t="s">
        <v>2930</v>
      </c>
      <c r="F2665" s="24" t="s">
        <v>4281</v>
      </c>
      <c r="G2665" s="28"/>
      <c r="H2665" s="38" t="s">
        <v>4873</v>
      </c>
      <c r="J2665" s="215" t="s">
        <v>5102</v>
      </c>
      <c r="K2665" s="10" t="s">
        <v>4135</v>
      </c>
      <c r="L2665" s="102">
        <v>5074</v>
      </c>
      <c r="N2665" s="37" t="s">
        <v>3404</v>
      </c>
      <c r="Q2665" s="37" t="s">
        <v>1998</v>
      </c>
      <c r="S2665" s="10" t="s">
        <v>2983</v>
      </c>
      <c r="T2665" s="10" t="s">
        <v>3441</v>
      </c>
      <c r="U2665" s="22">
        <v>1</v>
      </c>
      <c r="V2665" s="22">
        <v>1</v>
      </c>
      <c r="W2665" s="73">
        <f t="shared" si="146"/>
        <v>134</v>
      </c>
      <c r="X2665" s="80">
        <f t="shared" si="147"/>
        <v>8004</v>
      </c>
      <c r="Y2665" s="82" t="s">
        <v>3584</v>
      </c>
      <c r="AE2665" s="78" t="s">
        <v>4247</v>
      </c>
      <c r="AI2665" s="10" t="s">
        <v>2628</v>
      </c>
    </row>
    <row r="2666" spans="1:37" ht="15.45" customHeight="1" x14ac:dyDescent="0.25">
      <c r="A2666" s="29" t="s">
        <v>3630</v>
      </c>
      <c r="B2666" s="24" t="s">
        <v>3597</v>
      </c>
      <c r="C2666" s="37" t="s">
        <v>2730</v>
      </c>
      <c r="E2666" s="37" t="s">
        <v>2930</v>
      </c>
      <c r="F2666" s="24" t="s">
        <v>4280</v>
      </c>
      <c r="H2666" s="38" t="s">
        <v>3545</v>
      </c>
      <c r="J2666" s="214" t="s">
        <v>3690</v>
      </c>
      <c r="K2666" s="10" t="s">
        <v>3685</v>
      </c>
      <c r="L2666" s="102">
        <v>5067</v>
      </c>
      <c r="N2666" s="37" t="s">
        <v>3404</v>
      </c>
      <c r="Q2666" s="37" t="s">
        <v>1998</v>
      </c>
      <c r="S2666" s="10" t="s">
        <v>2433</v>
      </c>
      <c r="U2666" s="22">
        <v>1</v>
      </c>
      <c r="V2666" s="22">
        <v>1</v>
      </c>
      <c r="W2666" s="73">
        <f t="shared" si="146"/>
        <v>135</v>
      </c>
      <c r="X2666" s="80">
        <f t="shared" si="147"/>
        <v>8005</v>
      </c>
      <c r="Y2666" s="82" t="s">
        <v>3584</v>
      </c>
    </row>
    <row r="2667" spans="1:37" ht="15.45" customHeight="1" x14ac:dyDescent="0.25">
      <c r="A2667" s="29" t="s">
        <v>3631</v>
      </c>
      <c r="B2667" s="24" t="s">
        <v>3597</v>
      </c>
      <c r="C2667" s="37" t="s">
        <v>2730</v>
      </c>
      <c r="E2667" s="37" t="s">
        <v>2930</v>
      </c>
      <c r="F2667" s="24" t="s">
        <v>4280</v>
      </c>
      <c r="H2667" s="38" t="s">
        <v>3545</v>
      </c>
      <c r="J2667" s="214" t="s">
        <v>3690</v>
      </c>
      <c r="K2667" s="10" t="s">
        <v>3685</v>
      </c>
      <c r="L2667" s="102">
        <v>5367</v>
      </c>
      <c r="N2667" s="37" t="s">
        <v>3404</v>
      </c>
      <c r="Q2667" s="37" t="s">
        <v>1998</v>
      </c>
      <c r="S2667" s="10" t="s">
        <v>2433</v>
      </c>
      <c r="U2667" s="22">
        <v>1</v>
      </c>
      <c r="V2667" s="22">
        <v>1</v>
      </c>
      <c r="W2667" s="73">
        <f t="shared" si="146"/>
        <v>136</v>
      </c>
      <c r="X2667" s="80">
        <f t="shared" si="147"/>
        <v>8006</v>
      </c>
      <c r="Y2667" s="82" t="s">
        <v>3584</v>
      </c>
    </row>
    <row r="2668" spans="1:37" ht="15.45" customHeight="1" x14ac:dyDescent="0.25">
      <c r="A2668" s="29" t="s">
        <v>3632</v>
      </c>
      <c r="B2668" s="24" t="s">
        <v>3597</v>
      </c>
      <c r="C2668" s="37" t="s">
        <v>2730</v>
      </c>
      <c r="E2668" s="37" t="s">
        <v>2930</v>
      </c>
      <c r="F2668" s="24" t="s">
        <v>4280</v>
      </c>
      <c r="H2668" s="38" t="s">
        <v>3545</v>
      </c>
      <c r="J2668" s="214" t="s">
        <v>3690</v>
      </c>
      <c r="K2668" s="10" t="s">
        <v>3685</v>
      </c>
      <c r="L2668" s="102">
        <v>5367</v>
      </c>
      <c r="N2668" s="37" t="s">
        <v>3404</v>
      </c>
      <c r="Q2668" s="37" t="s">
        <v>1998</v>
      </c>
      <c r="S2668" s="10" t="s">
        <v>2433</v>
      </c>
      <c r="U2668" s="22">
        <v>1</v>
      </c>
      <c r="V2668" s="22">
        <v>1</v>
      </c>
      <c r="W2668" s="73">
        <f t="shared" si="146"/>
        <v>137</v>
      </c>
      <c r="X2668" s="80">
        <f t="shared" si="147"/>
        <v>8007</v>
      </c>
      <c r="Y2668" s="82" t="s">
        <v>3584</v>
      </c>
    </row>
    <row r="2669" spans="1:37" ht="15.45" customHeight="1" x14ac:dyDescent="0.25">
      <c r="A2669" s="29" t="s">
        <v>3633</v>
      </c>
      <c r="B2669" s="24" t="s">
        <v>3597</v>
      </c>
      <c r="C2669" s="37" t="s">
        <v>2730</v>
      </c>
      <c r="E2669" s="37" t="s">
        <v>2930</v>
      </c>
      <c r="F2669" s="24" t="s">
        <v>4280</v>
      </c>
      <c r="H2669" s="38" t="s">
        <v>3545</v>
      </c>
      <c r="J2669" s="214" t="s">
        <v>3690</v>
      </c>
      <c r="K2669" s="10" t="s">
        <v>3685</v>
      </c>
      <c r="L2669" s="102">
        <v>5067</v>
      </c>
      <c r="N2669" s="37" t="s">
        <v>3404</v>
      </c>
      <c r="Q2669" s="37" t="s">
        <v>1998</v>
      </c>
      <c r="S2669" s="10" t="s">
        <v>2433</v>
      </c>
      <c r="U2669" s="22">
        <v>1</v>
      </c>
      <c r="V2669" s="22">
        <v>1</v>
      </c>
      <c r="W2669" s="73">
        <f t="shared" si="146"/>
        <v>138</v>
      </c>
      <c r="X2669" s="80">
        <f t="shared" si="147"/>
        <v>8008</v>
      </c>
      <c r="Y2669" s="82" t="s">
        <v>3584</v>
      </c>
    </row>
    <row r="2670" spans="1:37" ht="15.45" customHeight="1" x14ac:dyDescent="0.25">
      <c r="A2670" s="29"/>
      <c r="U2670" s="22"/>
      <c r="V2670" s="22"/>
      <c r="X2670" s="80"/>
    </row>
    <row r="2671" spans="1:37" s="51" customFormat="1" ht="15.45" customHeight="1" x14ac:dyDescent="0.25">
      <c r="A2671" s="45" t="s">
        <v>4775</v>
      </c>
      <c r="B2671" s="50"/>
      <c r="C2671" s="49"/>
      <c r="D2671" s="49"/>
      <c r="E2671" s="49"/>
      <c r="F2671" s="50"/>
      <c r="G2671" s="50"/>
      <c r="H2671" s="46" t="s">
        <v>4050</v>
      </c>
      <c r="I2671" s="109"/>
      <c r="J2671" s="212"/>
      <c r="K2671" s="56"/>
      <c r="L2671" s="100"/>
      <c r="M2671" s="100"/>
      <c r="N2671" s="49"/>
      <c r="O2671" s="49"/>
      <c r="P2671" s="49"/>
      <c r="Q2671" s="49"/>
      <c r="R2671" s="49"/>
      <c r="S2671" s="47"/>
      <c r="T2671" s="47"/>
      <c r="U2671" s="48"/>
      <c r="V2671" s="48"/>
      <c r="W2671" s="74"/>
      <c r="X2671" s="81"/>
      <c r="Y2671" s="132"/>
      <c r="Z2671" s="50"/>
      <c r="AA2671" s="173"/>
      <c r="AB2671" s="173"/>
      <c r="AC2671" s="137"/>
      <c r="AD2671" s="137"/>
      <c r="AE2671" s="83"/>
      <c r="AF2671" s="47"/>
      <c r="AG2671" s="47"/>
      <c r="AH2671" s="47"/>
      <c r="AI2671" s="47"/>
      <c r="AJ2671" s="47"/>
      <c r="AK2671" s="47"/>
    </row>
    <row r="2672" spans="1:37" ht="15.45" customHeight="1" x14ac:dyDescent="0.25">
      <c r="A2672" s="29" t="s">
        <v>4265</v>
      </c>
      <c r="B2672" s="24" t="s">
        <v>3604</v>
      </c>
      <c r="C2672" s="37" t="s">
        <v>2730</v>
      </c>
      <c r="E2672" s="37" t="s">
        <v>2930</v>
      </c>
      <c r="F2672" s="24" t="s">
        <v>4278</v>
      </c>
      <c r="H2672" s="38" t="s">
        <v>3477</v>
      </c>
      <c r="J2672" s="214" t="s">
        <v>4238</v>
      </c>
      <c r="L2672" s="102">
        <v>1429</v>
      </c>
      <c r="N2672" s="37" t="s">
        <v>3614</v>
      </c>
      <c r="P2672" s="37" t="s">
        <v>4214</v>
      </c>
      <c r="Q2672" s="37" t="s">
        <v>1998</v>
      </c>
      <c r="S2672" s="10" t="s">
        <v>3412</v>
      </c>
      <c r="T2672" s="10" t="s">
        <v>3478</v>
      </c>
      <c r="U2672" s="22">
        <v>1</v>
      </c>
      <c r="V2672" s="22">
        <v>1</v>
      </c>
      <c r="W2672" s="73">
        <v>1</v>
      </c>
      <c r="X2672" s="80">
        <f>V2672+X2669</f>
        <v>8009</v>
      </c>
      <c r="Y2672" s="82" t="s">
        <v>3584</v>
      </c>
    </row>
    <row r="2673" spans="1:37" ht="15.45" customHeight="1" x14ac:dyDescent="0.25">
      <c r="A2673" s="29" t="s">
        <v>3628</v>
      </c>
      <c r="B2673" s="24" t="s">
        <v>3597</v>
      </c>
      <c r="C2673" s="37" t="s">
        <v>2730</v>
      </c>
      <c r="E2673" s="37" t="s">
        <v>2930</v>
      </c>
      <c r="F2673" s="24" t="s">
        <v>4280</v>
      </c>
      <c r="H2673" s="38" t="s">
        <v>2731</v>
      </c>
      <c r="J2673" s="214" t="s">
        <v>3407</v>
      </c>
      <c r="N2673" s="37" t="s">
        <v>2826</v>
      </c>
      <c r="S2673" s="10" t="s">
        <v>2981</v>
      </c>
      <c r="U2673" s="22">
        <v>1</v>
      </c>
      <c r="V2673" s="22">
        <v>1</v>
      </c>
      <c r="W2673" s="73">
        <f>W2672+V2673</f>
        <v>2</v>
      </c>
      <c r="X2673" s="80">
        <f>V2673+X2672</f>
        <v>8010</v>
      </c>
      <c r="Y2673" s="82" t="s">
        <v>3584</v>
      </c>
      <c r="AB2673" s="177">
        <v>42036</v>
      </c>
      <c r="AC2673" s="84" t="s">
        <v>2885</v>
      </c>
    </row>
    <row r="2674" spans="1:37" ht="15.45" customHeight="1" x14ac:dyDescent="0.25">
      <c r="A2674" s="29" t="s">
        <v>3627</v>
      </c>
      <c r="B2674" s="24" t="s">
        <v>3597</v>
      </c>
      <c r="C2674" s="37" t="s">
        <v>2730</v>
      </c>
      <c r="E2674" s="37" t="s">
        <v>2930</v>
      </c>
      <c r="F2674" s="24" t="s">
        <v>4280</v>
      </c>
      <c r="H2674" s="38" t="s">
        <v>2759</v>
      </c>
      <c r="J2674" s="214" t="s">
        <v>3608</v>
      </c>
      <c r="N2674" s="37" t="s">
        <v>2826</v>
      </c>
      <c r="S2674" s="10" t="s">
        <v>2981</v>
      </c>
      <c r="U2674" s="22">
        <v>1</v>
      </c>
      <c r="V2674" s="22">
        <v>3</v>
      </c>
      <c r="W2674" s="73">
        <f t="shared" ref="W2674:W2679" si="148">W2673+V2674</f>
        <v>5</v>
      </c>
      <c r="X2674" s="80">
        <f>V2674+X2673</f>
        <v>8013</v>
      </c>
      <c r="Y2674" s="82" t="s">
        <v>3584</v>
      </c>
      <c r="AB2674" s="177">
        <v>42036</v>
      </c>
      <c r="AC2674" s="84" t="s">
        <v>2885</v>
      </c>
    </row>
    <row r="2675" spans="1:37" ht="15.45" customHeight="1" x14ac:dyDescent="0.25">
      <c r="A2675" s="29" t="s">
        <v>3626</v>
      </c>
      <c r="B2675" s="24" t="s">
        <v>3597</v>
      </c>
      <c r="C2675" s="37" t="s">
        <v>2730</v>
      </c>
      <c r="E2675" s="37" t="s">
        <v>2930</v>
      </c>
      <c r="F2675" s="24" t="s">
        <v>4280</v>
      </c>
      <c r="H2675" s="38" t="s">
        <v>4753</v>
      </c>
      <c r="J2675" s="215">
        <v>1992</v>
      </c>
      <c r="N2675" s="201" t="s">
        <v>6047</v>
      </c>
      <c r="P2675" s="37" t="s">
        <v>1936</v>
      </c>
      <c r="Q2675" s="37" t="s">
        <v>3506</v>
      </c>
      <c r="S2675" s="10" t="s">
        <v>3436</v>
      </c>
      <c r="U2675" s="22">
        <v>1</v>
      </c>
      <c r="V2675" s="22">
        <v>4</v>
      </c>
      <c r="W2675" s="73">
        <f t="shared" si="148"/>
        <v>9</v>
      </c>
      <c r="X2675" s="80">
        <f>V2675+X2674</f>
        <v>8017</v>
      </c>
      <c r="Y2675" s="82" t="s">
        <v>3591</v>
      </c>
      <c r="Z2675" s="24" t="s">
        <v>2885</v>
      </c>
      <c r="AB2675" s="177">
        <v>42036</v>
      </c>
      <c r="AC2675" s="84" t="s">
        <v>2885</v>
      </c>
    </row>
    <row r="2676" spans="1:37" ht="15" customHeight="1" x14ac:dyDescent="0.25">
      <c r="A2676" s="29" t="s">
        <v>3629</v>
      </c>
      <c r="B2676" s="24" t="s">
        <v>3597</v>
      </c>
      <c r="C2676" s="37" t="s">
        <v>2730</v>
      </c>
      <c r="E2676" s="37" t="s">
        <v>2930</v>
      </c>
      <c r="F2676" s="24" t="s">
        <v>4280</v>
      </c>
      <c r="H2676" s="38" t="s">
        <v>3611</v>
      </c>
      <c r="J2676" s="214" t="s">
        <v>5674</v>
      </c>
      <c r="N2676" s="201" t="s">
        <v>6047</v>
      </c>
      <c r="P2676" s="37" t="s">
        <v>1936</v>
      </c>
      <c r="Q2676" s="37" t="s">
        <v>3506</v>
      </c>
      <c r="S2676" s="10" t="s">
        <v>3436</v>
      </c>
      <c r="U2676" s="22">
        <v>1</v>
      </c>
      <c r="V2676" s="22">
        <v>3</v>
      </c>
      <c r="W2676" s="73">
        <f t="shared" si="148"/>
        <v>12</v>
      </c>
      <c r="X2676" s="80">
        <f t="shared" ref="X2676:X2681" si="149">V2676+X2675</f>
        <v>8020</v>
      </c>
      <c r="Y2676" s="82" t="s">
        <v>3591</v>
      </c>
      <c r="Z2676" s="24" t="s">
        <v>2885</v>
      </c>
      <c r="AB2676" s="177">
        <v>42036</v>
      </c>
      <c r="AC2676" s="84" t="s">
        <v>2885</v>
      </c>
    </row>
    <row r="2677" spans="1:37" ht="15.45" customHeight="1" x14ac:dyDescent="0.25">
      <c r="A2677" s="29" t="s">
        <v>3625</v>
      </c>
      <c r="B2677" s="24" t="s">
        <v>640</v>
      </c>
      <c r="C2677" s="37" t="s">
        <v>2730</v>
      </c>
      <c r="E2677" s="37" t="s">
        <v>2930</v>
      </c>
      <c r="F2677" s="24" t="s">
        <v>4279</v>
      </c>
      <c r="H2677" s="38" t="s">
        <v>4858</v>
      </c>
      <c r="J2677" s="214" t="s">
        <v>3407</v>
      </c>
      <c r="Q2677" s="37" t="s">
        <v>3506</v>
      </c>
      <c r="S2677" s="10" t="s">
        <v>3412</v>
      </c>
      <c r="T2677" s="10" t="s">
        <v>3613</v>
      </c>
      <c r="U2677" s="22">
        <v>1</v>
      </c>
      <c r="V2677" s="22">
        <v>1</v>
      </c>
      <c r="W2677" s="73">
        <f t="shared" si="148"/>
        <v>13</v>
      </c>
      <c r="X2677" s="80">
        <f t="shared" si="149"/>
        <v>8021</v>
      </c>
      <c r="Y2677" s="82" t="s">
        <v>3584</v>
      </c>
      <c r="AB2677" s="177">
        <v>43173</v>
      </c>
      <c r="AC2677" s="84" t="s">
        <v>2885</v>
      </c>
    </row>
    <row r="2678" spans="1:37" ht="15.45" customHeight="1" x14ac:dyDescent="0.25">
      <c r="A2678" s="29" t="s">
        <v>5086</v>
      </c>
      <c r="B2678" s="24" t="s">
        <v>4768</v>
      </c>
      <c r="C2678" s="37" t="s">
        <v>2730</v>
      </c>
      <c r="E2678" s="37" t="s">
        <v>2925</v>
      </c>
      <c r="F2678" s="24" t="s">
        <v>2246</v>
      </c>
      <c r="H2678" s="38" t="s">
        <v>4271</v>
      </c>
      <c r="J2678" s="215">
        <v>1988</v>
      </c>
      <c r="N2678" s="37" t="s">
        <v>4766</v>
      </c>
      <c r="Q2678" s="37" t="s">
        <v>3506</v>
      </c>
      <c r="S2678" s="10" t="s">
        <v>3436</v>
      </c>
      <c r="U2678" s="22">
        <v>1</v>
      </c>
      <c r="V2678" s="22">
        <v>2</v>
      </c>
      <c r="W2678" s="73">
        <f t="shared" si="148"/>
        <v>15</v>
      </c>
      <c r="X2678" s="80">
        <f t="shared" si="149"/>
        <v>8023</v>
      </c>
      <c r="Y2678" s="82" t="s">
        <v>4059</v>
      </c>
      <c r="Z2678" s="24" t="s">
        <v>2248</v>
      </c>
      <c r="AB2678" s="177">
        <v>42651</v>
      </c>
      <c r="AC2678" s="84" t="s">
        <v>2885</v>
      </c>
    </row>
    <row r="2679" spans="1:37" ht="15.45" customHeight="1" x14ac:dyDescent="0.25">
      <c r="A2679" s="29" t="s">
        <v>5087</v>
      </c>
      <c r="B2679" s="24" t="s">
        <v>4768</v>
      </c>
      <c r="C2679" s="37" t="s">
        <v>2730</v>
      </c>
      <c r="E2679" s="37" t="s">
        <v>2925</v>
      </c>
      <c r="F2679" s="24" t="s">
        <v>2246</v>
      </c>
      <c r="H2679" s="38" t="s">
        <v>4271</v>
      </c>
      <c r="J2679" s="215">
        <v>1988</v>
      </c>
      <c r="N2679" s="37" t="s">
        <v>4766</v>
      </c>
      <c r="Q2679" s="37" t="s">
        <v>3506</v>
      </c>
      <c r="S2679" s="10" t="s">
        <v>3436</v>
      </c>
      <c r="U2679" s="22">
        <v>1</v>
      </c>
      <c r="V2679" s="22">
        <v>1</v>
      </c>
      <c r="W2679" s="73">
        <f t="shared" si="148"/>
        <v>16</v>
      </c>
      <c r="X2679" s="80">
        <f t="shared" si="149"/>
        <v>8024</v>
      </c>
      <c r="Y2679" s="82" t="s">
        <v>4059</v>
      </c>
      <c r="Z2679" s="24" t="s">
        <v>2248</v>
      </c>
      <c r="AB2679" s="177">
        <v>42651</v>
      </c>
      <c r="AC2679" s="84" t="s">
        <v>2885</v>
      </c>
    </row>
    <row r="2680" spans="1:37" ht="15.45" customHeight="1" x14ac:dyDescent="0.25">
      <c r="A2680" s="29" t="s">
        <v>4767</v>
      </c>
      <c r="B2680" s="24" t="s">
        <v>4768</v>
      </c>
      <c r="C2680" s="37" t="s">
        <v>2730</v>
      </c>
      <c r="E2680" s="37" t="s">
        <v>2925</v>
      </c>
      <c r="F2680" s="24" t="s">
        <v>2246</v>
      </c>
      <c r="H2680" s="38" t="s">
        <v>4271</v>
      </c>
      <c r="J2680" s="215">
        <v>1988</v>
      </c>
      <c r="N2680" s="37" t="s">
        <v>4766</v>
      </c>
      <c r="Q2680" s="37" t="s">
        <v>3506</v>
      </c>
      <c r="S2680" s="10" t="s">
        <v>3436</v>
      </c>
      <c r="U2680" s="22">
        <v>1</v>
      </c>
      <c r="V2680" s="22">
        <v>1</v>
      </c>
      <c r="W2680" s="73">
        <f>W2679+V2680</f>
        <v>17</v>
      </c>
      <c r="X2680" s="80">
        <f t="shared" si="149"/>
        <v>8025</v>
      </c>
      <c r="Y2680" s="82" t="s">
        <v>4059</v>
      </c>
      <c r="Z2680" s="24" t="s">
        <v>2248</v>
      </c>
      <c r="AB2680" s="177">
        <v>42651</v>
      </c>
      <c r="AC2680" s="84" t="s">
        <v>2885</v>
      </c>
    </row>
    <row r="2681" spans="1:37" ht="15.45" customHeight="1" x14ac:dyDescent="0.25">
      <c r="A2681" s="29" t="s">
        <v>4859</v>
      </c>
      <c r="B2681" s="24" t="s">
        <v>4847</v>
      </c>
      <c r="C2681" s="37" t="s">
        <v>2730</v>
      </c>
      <c r="E2681" s="37" t="s">
        <v>2925</v>
      </c>
      <c r="F2681" s="24" t="s">
        <v>2246</v>
      </c>
      <c r="H2681" s="38" t="s">
        <v>4860</v>
      </c>
      <c r="J2681" s="215">
        <v>1988</v>
      </c>
      <c r="N2681" s="37" t="s">
        <v>4766</v>
      </c>
      <c r="Q2681" s="37" t="s">
        <v>3506</v>
      </c>
      <c r="S2681" s="10" t="s">
        <v>3436</v>
      </c>
      <c r="U2681" s="22">
        <v>1</v>
      </c>
      <c r="V2681" s="22">
        <v>1</v>
      </c>
      <c r="W2681" s="73">
        <f>W2680+V2681</f>
        <v>18</v>
      </c>
      <c r="X2681" s="80">
        <f t="shared" si="149"/>
        <v>8026</v>
      </c>
      <c r="Y2681" s="82" t="s">
        <v>4059</v>
      </c>
      <c r="AB2681" s="177">
        <v>42651</v>
      </c>
      <c r="AC2681" s="84" t="s">
        <v>2885</v>
      </c>
    </row>
    <row r="2682" spans="1:37" s="51" customFormat="1" ht="15.45" customHeight="1" x14ac:dyDescent="0.25">
      <c r="A2682" s="45" t="s">
        <v>3546</v>
      </c>
      <c r="B2682" s="50"/>
      <c r="C2682" s="49"/>
      <c r="D2682" s="49"/>
      <c r="E2682" s="49"/>
      <c r="F2682" s="50"/>
      <c r="G2682" s="50"/>
      <c r="H2682" s="46" t="s">
        <v>4075</v>
      </c>
      <c r="I2682" s="109"/>
      <c r="J2682" s="212"/>
      <c r="K2682" s="56"/>
      <c r="L2682" s="100"/>
      <c r="M2682" s="100"/>
      <c r="N2682" s="49"/>
      <c r="O2682" s="49"/>
      <c r="P2682" s="49"/>
      <c r="Q2682" s="49"/>
      <c r="R2682" s="49"/>
      <c r="S2682" s="47"/>
      <c r="T2682" s="47"/>
      <c r="U2682" s="48"/>
      <c r="V2682" s="48"/>
      <c r="W2682" s="74"/>
      <c r="X2682" s="81"/>
      <c r="Y2682" s="132"/>
      <c r="Z2682" s="50"/>
      <c r="AA2682" s="173"/>
      <c r="AB2682" s="173"/>
      <c r="AC2682" s="137"/>
      <c r="AD2682" s="137"/>
      <c r="AE2682" s="83"/>
      <c r="AF2682" s="47"/>
      <c r="AG2682" s="47"/>
      <c r="AH2682" s="47"/>
      <c r="AI2682" s="47"/>
      <c r="AJ2682" s="47"/>
      <c r="AK2682" s="47"/>
    </row>
    <row r="2683" spans="1:37" ht="15.45" customHeight="1" x14ac:dyDescent="0.25">
      <c r="A2683" s="29" t="s">
        <v>4087</v>
      </c>
      <c r="B2683" s="24" t="s">
        <v>3568</v>
      </c>
      <c r="C2683" s="37" t="s">
        <v>2171</v>
      </c>
      <c r="E2683" s="37" t="s">
        <v>2831</v>
      </c>
      <c r="F2683" s="24" t="s">
        <v>2142</v>
      </c>
      <c r="H2683" s="38" t="s">
        <v>7253</v>
      </c>
      <c r="I2683" s="111" t="s">
        <v>4088</v>
      </c>
      <c r="J2683" s="214" t="s">
        <v>4085</v>
      </c>
      <c r="N2683" s="37" t="s">
        <v>3537</v>
      </c>
      <c r="Q2683" s="37" t="s">
        <v>1979</v>
      </c>
      <c r="U2683" s="22">
        <v>1</v>
      </c>
      <c r="V2683" s="22">
        <v>1</v>
      </c>
      <c r="W2683" s="73">
        <v>1</v>
      </c>
      <c r="X2683" s="80">
        <f>V2683+X2681</f>
        <v>8027</v>
      </c>
      <c r="Y2683" s="82" t="s">
        <v>3584</v>
      </c>
    </row>
    <row r="2684" spans="1:37" ht="15.45" customHeight="1" x14ac:dyDescent="0.25">
      <c r="A2684" s="29" t="s">
        <v>4089</v>
      </c>
      <c r="B2684" s="24" t="s">
        <v>3566</v>
      </c>
      <c r="C2684" s="37" t="s">
        <v>2171</v>
      </c>
      <c r="E2684" s="37" t="s">
        <v>2831</v>
      </c>
      <c r="F2684" s="24" t="s">
        <v>2142</v>
      </c>
      <c r="H2684" s="38" t="s">
        <v>7253</v>
      </c>
      <c r="I2684" s="111" t="s">
        <v>4088</v>
      </c>
      <c r="J2684" s="214" t="s">
        <v>4072</v>
      </c>
      <c r="K2684" s="10" t="s">
        <v>4073</v>
      </c>
      <c r="Q2684" s="37" t="s">
        <v>1979</v>
      </c>
      <c r="U2684" s="22">
        <v>1</v>
      </c>
      <c r="V2684" s="22">
        <v>1</v>
      </c>
      <c r="W2684" s="73">
        <f t="shared" ref="W2684:W2702" si="150">W2683+V2684</f>
        <v>2</v>
      </c>
      <c r="X2684" s="80">
        <f t="shared" ref="X2684:X2702" si="151">V2684+X2683</f>
        <v>8028</v>
      </c>
      <c r="Y2684" s="82" t="s">
        <v>3584</v>
      </c>
    </row>
    <row r="2685" spans="1:37" ht="15.45" customHeight="1" x14ac:dyDescent="0.25">
      <c r="A2685" s="29" t="s">
        <v>4090</v>
      </c>
      <c r="B2685" s="24" t="s">
        <v>3567</v>
      </c>
      <c r="C2685" s="37" t="s">
        <v>2171</v>
      </c>
      <c r="E2685" s="37" t="s">
        <v>2831</v>
      </c>
      <c r="F2685" s="24" t="s">
        <v>2143</v>
      </c>
      <c r="H2685" s="38" t="s">
        <v>7253</v>
      </c>
      <c r="I2685" s="111" t="s">
        <v>4088</v>
      </c>
      <c r="J2685" s="214" t="s">
        <v>4072</v>
      </c>
      <c r="K2685" s="10" t="s">
        <v>4073</v>
      </c>
      <c r="Q2685" s="37" t="s">
        <v>1979</v>
      </c>
      <c r="U2685" s="22">
        <v>1</v>
      </c>
      <c r="V2685" s="22">
        <v>1</v>
      </c>
      <c r="W2685" s="73">
        <f t="shared" si="150"/>
        <v>3</v>
      </c>
      <c r="X2685" s="80">
        <f t="shared" si="151"/>
        <v>8029</v>
      </c>
      <c r="Y2685" s="82" t="s">
        <v>3584</v>
      </c>
    </row>
    <row r="2686" spans="1:37" ht="15.45" customHeight="1" x14ac:dyDescent="0.25">
      <c r="A2686" s="29" t="s">
        <v>4091</v>
      </c>
      <c r="B2686" s="24" t="s">
        <v>3236</v>
      </c>
      <c r="C2686" s="37" t="s">
        <v>2171</v>
      </c>
      <c r="E2686" s="37" t="s">
        <v>2831</v>
      </c>
      <c r="F2686" s="24" t="s">
        <v>2143</v>
      </c>
      <c r="H2686" s="38" t="s">
        <v>7253</v>
      </c>
      <c r="I2686" s="111" t="s">
        <v>4088</v>
      </c>
      <c r="J2686" s="214" t="s">
        <v>4085</v>
      </c>
      <c r="Q2686" s="37" t="s">
        <v>1979</v>
      </c>
      <c r="U2686" s="22">
        <v>1</v>
      </c>
      <c r="V2686" s="22">
        <v>1</v>
      </c>
      <c r="W2686" s="73">
        <f t="shared" si="150"/>
        <v>4</v>
      </c>
      <c r="X2686" s="80">
        <f t="shared" si="151"/>
        <v>8030</v>
      </c>
      <c r="Y2686" s="82" t="s">
        <v>3584</v>
      </c>
    </row>
    <row r="2687" spans="1:37" ht="15.45" customHeight="1" x14ac:dyDescent="0.25">
      <c r="A2687" s="29" t="s">
        <v>4092</v>
      </c>
      <c r="B2687" s="24" t="s">
        <v>3237</v>
      </c>
      <c r="C2687" s="37" t="s">
        <v>2171</v>
      </c>
      <c r="E2687" s="37" t="s">
        <v>2927</v>
      </c>
      <c r="F2687" s="24" t="s">
        <v>2143</v>
      </c>
      <c r="H2687" s="38" t="s">
        <v>7253</v>
      </c>
      <c r="I2687" s="111" t="s">
        <v>4088</v>
      </c>
      <c r="J2687" s="214" t="s">
        <v>4085</v>
      </c>
      <c r="Q2687" s="37" t="s">
        <v>1979</v>
      </c>
      <c r="U2687" s="22">
        <v>1</v>
      </c>
      <c r="V2687" s="22">
        <v>1</v>
      </c>
      <c r="W2687" s="73">
        <f t="shared" si="150"/>
        <v>5</v>
      </c>
      <c r="X2687" s="80">
        <f t="shared" si="151"/>
        <v>8031</v>
      </c>
      <c r="Y2687" s="82" t="s">
        <v>3584</v>
      </c>
    </row>
    <row r="2688" spans="1:37" ht="15.45" customHeight="1" x14ac:dyDescent="0.25">
      <c r="A2688" s="29" t="s">
        <v>4093</v>
      </c>
      <c r="B2688" s="24" t="s">
        <v>3238</v>
      </c>
      <c r="C2688" s="37" t="s">
        <v>2171</v>
      </c>
      <c r="E2688" s="37" t="s">
        <v>2831</v>
      </c>
      <c r="F2688" s="24" t="s">
        <v>2142</v>
      </c>
      <c r="H2688" s="38" t="s">
        <v>7253</v>
      </c>
      <c r="I2688" s="111" t="s">
        <v>4088</v>
      </c>
      <c r="J2688" s="214" t="s">
        <v>4085</v>
      </c>
      <c r="Q2688" s="37" t="s">
        <v>1979</v>
      </c>
      <c r="U2688" s="22">
        <v>1</v>
      </c>
      <c r="V2688" s="22">
        <v>1</v>
      </c>
      <c r="W2688" s="73">
        <f t="shared" si="150"/>
        <v>6</v>
      </c>
      <c r="X2688" s="80">
        <f t="shared" si="151"/>
        <v>8032</v>
      </c>
      <c r="Y2688" s="82" t="s">
        <v>3584</v>
      </c>
    </row>
    <row r="2689" spans="1:37" ht="15.45" customHeight="1" x14ac:dyDescent="0.25">
      <c r="A2689" s="29" t="s">
        <v>4094</v>
      </c>
      <c r="B2689" s="24" t="s">
        <v>3239</v>
      </c>
      <c r="C2689" s="37" t="s">
        <v>2171</v>
      </c>
      <c r="E2689" s="37" t="s">
        <v>2831</v>
      </c>
      <c r="F2689" s="24" t="s">
        <v>2142</v>
      </c>
      <c r="H2689" s="38" t="s">
        <v>4107</v>
      </c>
      <c r="I2689" s="111" t="s">
        <v>4088</v>
      </c>
      <c r="J2689" s="214" t="s">
        <v>4085</v>
      </c>
      <c r="Q2689" s="37" t="s">
        <v>1979</v>
      </c>
      <c r="U2689" s="22">
        <v>1</v>
      </c>
      <c r="V2689" s="22">
        <v>1</v>
      </c>
      <c r="W2689" s="73">
        <f t="shared" si="150"/>
        <v>7</v>
      </c>
      <c r="X2689" s="80">
        <f t="shared" si="151"/>
        <v>8033</v>
      </c>
      <c r="Y2689" s="82" t="s">
        <v>3584</v>
      </c>
    </row>
    <row r="2690" spans="1:37" ht="15.45" customHeight="1" x14ac:dyDescent="0.25">
      <c r="A2690" s="29" t="s">
        <v>4095</v>
      </c>
      <c r="B2690" s="24" t="s">
        <v>3240</v>
      </c>
      <c r="C2690" s="37" t="s">
        <v>2171</v>
      </c>
      <c r="E2690" s="37" t="s">
        <v>2831</v>
      </c>
      <c r="F2690" s="24" t="s">
        <v>2143</v>
      </c>
      <c r="H2690" s="38" t="s">
        <v>7253</v>
      </c>
      <c r="I2690" s="111" t="s">
        <v>4088</v>
      </c>
      <c r="J2690" s="214" t="s">
        <v>4072</v>
      </c>
      <c r="K2690" s="10" t="s">
        <v>4073</v>
      </c>
      <c r="Q2690" s="37" t="s">
        <v>1979</v>
      </c>
      <c r="U2690" s="22">
        <v>1</v>
      </c>
      <c r="V2690" s="22">
        <v>1</v>
      </c>
      <c r="W2690" s="73">
        <f t="shared" si="150"/>
        <v>8</v>
      </c>
      <c r="X2690" s="80">
        <f t="shared" si="151"/>
        <v>8034</v>
      </c>
      <c r="Y2690" s="82" t="s">
        <v>3584</v>
      </c>
    </row>
    <row r="2691" spans="1:37" ht="15.45" customHeight="1" x14ac:dyDescent="0.25">
      <c r="A2691" s="29" t="s">
        <v>4096</v>
      </c>
      <c r="B2691" s="24" t="s">
        <v>3241</v>
      </c>
      <c r="C2691" s="37" t="s">
        <v>2171</v>
      </c>
      <c r="E2691" s="37" t="s">
        <v>2831</v>
      </c>
      <c r="F2691" s="24" t="s">
        <v>2143</v>
      </c>
      <c r="H2691" s="38" t="s">
        <v>7253</v>
      </c>
      <c r="I2691" s="111" t="s">
        <v>4088</v>
      </c>
      <c r="J2691" s="214" t="s">
        <v>4085</v>
      </c>
      <c r="Q2691" s="37" t="s">
        <v>1979</v>
      </c>
      <c r="U2691" s="22">
        <v>1</v>
      </c>
      <c r="V2691" s="22">
        <v>1</v>
      </c>
      <c r="W2691" s="73">
        <f t="shared" si="150"/>
        <v>9</v>
      </c>
      <c r="X2691" s="80">
        <f t="shared" si="151"/>
        <v>8035</v>
      </c>
      <c r="Y2691" s="82" t="s">
        <v>3584</v>
      </c>
    </row>
    <row r="2692" spans="1:37" ht="15.45" customHeight="1" x14ac:dyDescent="0.25">
      <c r="A2692" s="29" t="s">
        <v>4097</v>
      </c>
      <c r="B2692" s="24" t="s">
        <v>3242</v>
      </c>
      <c r="C2692" s="37" t="s">
        <v>2171</v>
      </c>
      <c r="E2692" s="37" t="s">
        <v>2831</v>
      </c>
      <c r="F2692" s="24" t="s">
        <v>2143</v>
      </c>
      <c r="H2692" s="38" t="s">
        <v>7253</v>
      </c>
      <c r="I2692" s="111" t="s">
        <v>4088</v>
      </c>
      <c r="J2692" s="214" t="s">
        <v>4072</v>
      </c>
      <c r="K2692" s="10" t="s">
        <v>4073</v>
      </c>
      <c r="Q2692" s="37" t="s">
        <v>1979</v>
      </c>
      <c r="U2692" s="22">
        <v>1</v>
      </c>
      <c r="V2692" s="22">
        <v>1</v>
      </c>
      <c r="W2692" s="73">
        <f t="shared" si="150"/>
        <v>10</v>
      </c>
      <c r="X2692" s="80">
        <f t="shared" si="151"/>
        <v>8036</v>
      </c>
      <c r="Y2692" s="82" t="s">
        <v>3584</v>
      </c>
    </row>
    <row r="2693" spans="1:37" ht="15.45" customHeight="1" x14ac:dyDescent="0.25">
      <c r="A2693" s="29" t="s">
        <v>4098</v>
      </c>
      <c r="B2693" s="24" t="s">
        <v>3243</v>
      </c>
      <c r="C2693" s="37" t="s">
        <v>2171</v>
      </c>
      <c r="E2693" s="37" t="s">
        <v>2831</v>
      </c>
      <c r="F2693" s="24" t="s">
        <v>2143</v>
      </c>
      <c r="H2693" s="38" t="s">
        <v>7253</v>
      </c>
      <c r="I2693" s="111" t="s">
        <v>4088</v>
      </c>
      <c r="J2693" s="214" t="s">
        <v>4085</v>
      </c>
      <c r="Q2693" s="37" t="s">
        <v>1979</v>
      </c>
      <c r="U2693" s="22">
        <v>1</v>
      </c>
      <c r="V2693" s="22">
        <v>1</v>
      </c>
      <c r="W2693" s="73">
        <f t="shared" si="150"/>
        <v>11</v>
      </c>
      <c r="X2693" s="80">
        <f t="shared" si="151"/>
        <v>8037</v>
      </c>
      <c r="Y2693" s="82" t="s">
        <v>3584</v>
      </c>
    </row>
    <row r="2694" spans="1:37" ht="15.45" customHeight="1" x14ac:dyDescent="0.25">
      <c r="A2694" s="29" t="s">
        <v>4099</v>
      </c>
      <c r="B2694" s="24" t="s">
        <v>3244</v>
      </c>
      <c r="C2694" s="37" t="s">
        <v>2171</v>
      </c>
      <c r="E2694" s="37" t="s">
        <v>2831</v>
      </c>
      <c r="F2694" s="24" t="s">
        <v>2143</v>
      </c>
      <c r="H2694" s="38" t="s">
        <v>7253</v>
      </c>
      <c r="I2694" s="111" t="s">
        <v>4088</v>
      </c>
      <c r="J2694" s="214" t="s">
        <v>4085</v>
      </c>
      <c r="Q2694" s="37" t="s">
        <v>1979</v>
      </c>
      <c r="U2694" s="22">
        <v>1</v>
      </c>
      <c r="V2694" s="22">
        <v>1</v>
      </c>
      <c r="W2694" s="73">
        <f t="shared" si="150"/>
        <v>12</v>
      </c>
      <c r="X2694" s="80">
        <f t="shared" si="151"/>
        <v>8038</v>
      </c>
      <c r="Y2694" s="82" t="s">
        <v>3584</v>
      </c>
    </row>
    <row r="2695" spans="1:37" ht="15.45" customHeight="1" x14ac:dyDescent="0.25">
      <c r="A2695" s="29" t="s">
        <v>4100</v>
      </c>
      <c r="B2695" s="24" t="s">
        <v>3246</v>
      </c>
      <c r="C2695" s="37" t="s">
        <v>2171</v>
      </c>
      <c r="E2695" s="37" t="s">
        <v>2831</v>
      </c>
      <c r="F2695" s="24" t="s">
        <v>2143</v>
      </c>
      <c r="H2695" s="38" t="s">
        <v>7253</v>
      </c>
      <c r="I2695" s="111" t="s">
        <v>4088</v>
      </c>
      <c r="J2695" s="214" t="s">
        <v>4072</v>
      </c>
      <c r="K2695" s="10" t="s">
        <v>4073</v>
      </c>
      <c r="Q2695" s="37" t="s">
        <v>1979</v>
      </c>
      <c r="U2695" s="22">
        <v>1</v>
      </c>
      <c r="V2695" s="22">
        <v>1</v>
      </c>
      <c r="W2695" s="73">
        <f t="shared" si="150"/>
        <v>13</v>
      </c>
      <c r="X2695" s="80">
        <f t="shared" si="151"/>
        <v>8039</v>
      </c>
      <c r="Y2695" s="82" t="s">
        <v>3584</v>
      </c>
    </row>
    <row r="2696" spans="1:37" ht="15.45" customHeight="1" x14ac:dyDescent="0.25">
      <c r="A2696" s="29" t="s">
        <v>4101</v>
      </c>
      <c r="B2696" s="24" t="s">
        <v>3245</v>
      </c>
      <c r="C2696" s="37" t="s">
        <v>2171</v>
      </c>
      <c r="E2696" s="37" t="s">
        <v>2831</v>
      </c>
      <c r="F2696" s="24" t="s">
        <v>2142</v>
      </c>
      <c r="H2696" s="38" t="s">
        <v>7253</v>
      </c>
      <c r="I2696" s="111" t="s">
        <v>4088</v>
      </c>
      <c r="J2696" s="214" t="s">
        <v>4072</v>
      </c>
      <c r="K2696" s="10" t="s">
        <v>4073</v>
      </c>
      <c r="Q2696" s="37" t="s">
        <v>1979</v>
      </c>
      <c r="U2696" s="22">
        <v>1</v>
      </c>
      <c r="V2696" s="22">
        <v>1</v>
      </c>
      <c r="W2696" s="73">
        <f t="shared" si="150"/>
        <v>14</v>
      </c>
      <c r="X2696" s="80">
        <f t="shared" si="151"/>
        <v>8040</v>
      </c>
      <c r="Y2696" s="82" t="s">
        <v>3584</v>
      </c>
    </row>
    <row r="2697" spans="1:37" ht="15.45" customHeight="1" x14ac:dyDescent="0.25">
      <c r="A2697" s="29" t="s">
        <v>4102</v>
      </c>
      <c r="B2697" s="24" t="s">
        <v>4074</v>
      </c>
      <c r="C2697" s="37" t="s">
        <v>2171</v>
      </c>
      <c r="E2697" s="37" t="s">
        <v>2831</v>
      </c>
      <c r="F2697" s="24" t="s">
        <v>2143</v>
      </c>
      <c r="H2697" s="38" t="s">
        <v>7253</v>
      </c>
      <c r="I2697" s="111" t="s">
        <v>4088</v>
      </c>
      <c r="J2697" s="214" t="s">
        <v>4072</v>
      </c>
      <c r="K2697" s="10" t="s">
        <v>4073</v>
      </c>
      <c r="Q2697" s="37" t="s">
        <v>1979</v>
      </c>
      <c r="U2697" s="22">
        <v>1</v>
      </c>
      <c r="V2697" s="22">
        <v>1</v>
      </c>
      <c r="W2697" s="73">
        <f t="shared" si="150"/>
        <v>15</v>
      </c>
      <c r="X2697" s="80">
        <f t="shared" si="151"/>
        <v>8041</v>
      </c>
      <c r="Y2697" s="82" t="s">
        <v>3584</v>
      </c>
    </row>
    <row r="2698" spans="1:37" ht="15.45" customHeight="1" x14ac:dyDescent="0.25">
      <c r="A2698" s="29" t="s">
        <v>4103</v>
      </c>
      <c r="B2698" s="24" t="s">
        <v>3247</v>
      </c>
      <c r="C2698" s="37" t="s">
        <v>2171</v>
      </c>
      <c r="E2698" s="37" t="s">
        <v>2831</v>
      </c>
      <c r="F2698" s="24" t="s">
        <v>2142</v>
      </c>
      <c r="H2698" s="38" t="s">
        <v>7253</v>
      </c>
      <c r="I2698" s="111" t="s">
        <v>4088</v>
      </c>
      <c r="J2698" s="214" t="s">
        <v>4085</v>
      </c>
      <c r="Q2698" s="37" t="s">
        <v>1979</v>
      </c>
      <c r="U2698" s="22">
        <v>1</v>
      </c>
      <c r="V2698" s="22">
        <v>1</v>
      </c>
      <c r="W2698" s="73">
        <f t="shared" si="150"/>
        <v>16</v>
      </c>
      <c r="X2698" s="80">
        <f t="shared" si="151"/>
        <v>8042</v>
      </c>
      <c r="Y2698" s="82" t="s">
        <v>3584</v>
      </c>
    </row>
    <row r="2699" spans="1:37" ht="15.45" customHeight="1" x14ac:dyDescent="0.25">
      <c r="A2699" s="29" t="s">
        <v>4104</v>
      </c>
      <c r="B2699" s="24" t="s">
        <v>3248</v>
      </c>
      <c r="C2699" s="37" t="s">
        <v>2171</v>
      </c>
      <c r="E2699" s="37" t="s">
        <v>2831</v>
      </c>
      <c r="F2699" s="24" t="s">
        <v>2142</v>
      </c>
      <c r="H2699" s="38" t="s">
        <v>7253</v>
      </c>
      <c r="I2699" s="111" t="s">
        <v>4088</v>
      </c>
      <c r="J2699" s="214" t="s">
        <v>4085</v>
      </c>
      <c r="Q2699" s="37" t="s">
        <v>1979</v>
      </c>
      <c r="U2699" s="22">
        <v>1</v>
      </c>
      <c r="V2699" s="22">
        <v>1</v>
      </c>
      <c r="W2699" s="73">
        <f t="shared" si="150"/>
        <v>17</v>
      </c>
      <c r="X2699" s="80">
        <f t="shared" si="151"/>
        <v>8043</v>
      </c>
      <c r="Y2699" s="82" t="s">
        <v>3584</v>
      </c>
    </row>
    <row r="2700" spans="1:37" ht="15.45" customHeight="1" x14ac:dyDescent="0.25">
      <c r="A2700" s="29" t="s">
        <v>4105</v>
      </c>
      <c r="B2700" s="24" t="s">
        <v>3248</v>
      </c>
      <c r="C2700" s="37" t="s">
        <v>2171</v>
      </c>
      <c r="E2700" s="37" t="s">
        <v>2831</v>
      </c>
      <c r="F2700" s="24" t="s">
        <v>2142</v>
      </c>
      <c r="H2700" s="38" t="s">
        <v>7253</v>
      </c>
      <c r="I2700" s="111" t="s">
        <v>4088</v>
      </c>
      <c r="J2700" s="214" t="s">
        <v>4085</v>
      </c>
      <c r="Q2700" s="37" t="s">
        <v>1979</v>
      </c>
      <c r="U2700" s="22">
        <v>1</v>
      </c>
      <c r="V2700" s="22">
        <v>1</v>
      </c>
      <c r="W2700" s="73">
        <f t="shared" si="150"/>
        <v>18</v>
      </c>
      <c r="X2700" s="80">
        <f t="shared" si="151"/>
        <v>8044</v>
      </c>
      <c r="Y2700" s="82" t="s">
        <v>3584</v>
      </c>
    </row>
    <row r="2701" spans="1:37" ht="15.45" customHeight="1" x14ac:dyDescent="0.25">
      <c r="A2701" s="29" t="s">
        <v>4106</v>
      </c>
      <c r="B2701" s="24" t="s">
        <v>3249</v>
      </c>
      <c r="C2701" s="37" t="s">
        <v>2171</v>
      </c>
      <c r="E2701" s="37" t="s">
        <v>2831</v>
      </c>
      <c r="F2701" s="24" t="s">
        <v>2143</v>
      </c>
      <c r="H2701" s="38" t="s">
        <v>7254</v>
      </c>
      <c r="I2701" s="111" t="s">
        <v>4088</v>
      </c>
      <c r="J2701" s="214" t="s">
        <v>4085</v>
      </c>
      <c r="Q2701" s="37" t="s">
        <v>1979</v>
      </c>
      <c r="U2701" s="22">
        <v>1</v>
      </c>
      <c r="V2701" s="22">
        <v>1</v>
      </c>
      <c r="W2701" s="73">
        <f t="shared" si="150"/>
        <v>19</v>
      </c>
      <c r="X2701" s="80">
        <f t="shared" si="151"/>
        <v>8045</v>
      </c>
      <c r="Y2701" s="82" t="s">
        <v>3584</v>
      </c>
    </row>
    <row r="2702" spans="1:37" ht="15.45" customHeight="1" x14ac:dyDescent="0.25">
      <c r="A2702" s="29" t="s">
        <v>3536</v>
      </c>
      <c r="B2702" s="24" t="s">
        <v>3535</v>
      </c>
      <c r="C2702" s="37" t="s">
        <v>2171</v>
      </c>
      <c r="E2702" s="37" t="s">
        <v>2831</v>
      </c>
      <c r="F2702" s="24" t="s">
        <v>2143</v>
      </c>
      <c r="H2702" s="38" t="s">
        <v>3045</v>
      </c>
      <c r="I2702" s="111" t="s">
        <v>4088</v>
      </c>
      <c r="J2702" s="214" t="s">
        <v>3046</v>
      </c>
      <c r="N2702" s="37" t="s">
        <v>7284</v>
      </c>
      <c r="U2702" s="22">
        <v>1</v>
      </c>
      <c r="V2702" s="22">
        <v>1</v>
      </c>
      <c r="W2702" s="73">
        <f t="shared" si="150"/>
        <v>20</v>
      </c>
      <c r="X2702" s="80">
        <f t="shared" si="151"/>
        <v>8046</v>
      </c>
      <c r="Y2702" s="82" t="s">
        <v>3584</v>
      </c>
      <c r="AB2702" s="177">
        <v>43009</v>
      </c>
      <c r="AC2702" s="84" t="s">
        <v>2885</v>
      </c>
      <c r="AI2702" s="10" t="s">
        <v>2947</v>
      </c>
    </row>
    <row r="2703" spans="1:37" s="51" customFormat="1" ht="15.45" customHeight="1" x14ac:dyDescent="0.25">
      <c r="A2703" s="45" t="s">
        <v>4991</v>
      </c>
      <c r="B2703" s="50"/>
      <c r="C2703" s="49"/>
      <c r="D2703" s="49"/>
      <c r="E2703" s="49"/>
      <c r="F2703" s="50"/>
      <c r="G2703" s="50"/>
      <c r="H2703" s="46" t="s">
        <v>4428</v>
      </c>
      <c r="I2703" s="109"/>
      <c r="J2703" s="212"/>
      <c r="K2703" s="56"/>
      <c r="L2703" s="100"/>
      <c r="M2703" s="100"/>
      <c r="N2703" s="49"/>
      <c r="O2703" s="49"/>
      <c r="P2703" s="49"/>
      <c r="Q2703" s="49"/>
      <c r="R2703" s="49"/>
      <c r="S2703" s="47"/>
      <c r="T2703" s="47"/>
      <c r="U2703" s="48"/>
      <c r="V2703" s="48"/>
      <c r="W2703" s="74"/>
      <c r="X2703" s="81"/>
      <c r="Y2703" s="132"/>
      <c r="Z2703" s="50"/>
      <c r="AA2703" s="173"/>
      <c r="AB2703" s="173"/>
      <c r="AC2703" s="137"/>
      <c r="AD2703" s="137"/>
      <c r="AE2703" s="83"/>
      <c r="AF2703" s="47"/>
      <c r="AG2703" s="47"/>
      <c r="AH2703" s="47"/>
      <c r="AI2703" s="47"/>
      <c r="AJ2703" s="47"/>
      <c r="AK2703" s="47"/>
    </row>
    <row r="2704" spans="1:37" ht="15.45" customHeight="1" x14ac:dyDescent="0.25">
      <c r="A2704" s="29" t="s">
        <v>7218</v>
      </c>
      <c r="B2704" s="24" t="s">
        <v>4123</v>
      </c>
      <c r="C2704" s="37" t="s">
        <v>2207</v>
      </c>
      <c r="E2704" s="37" t="s">
        <v>2831</v>
      </c>
      <c r="F2704" s="24" t="s">
        <v>2144</v>
      </c>
      <c r="H2704" s="38" t="s">
        <v>3577</v>
      </c>
      <c r="J2704" s="214" t="s">
        <v>3050</v>
      </c>
      <c r="N2704" s="37" t="s">
        <v>3051</v>
      </c>
      <c r="S2704" s="10" t="s">
        <v>2433</v>
      </c>
      <c r="U2704" s="22">
        <v>1</v>
      </c>
      <c r="V2704" s="22">
        <v>1</v>
      </c>
      <c r="W2704" s="73">
        <f t="shared" ref="W2704:W2756" si="152">W2703+V2704</f>
        <v>1</v>
      </c>
      <c r="X2704" s="80">
        <f>V2704+X2702</f>
        <v>8047</v>
      </c>
      <c r="Y2704" s="82" t="s">
        <v>3584</v>
      </c>
    </row>
    <row r="2705" spans="1:25" ht="15.45" customHeight="1" x14ac:dyDescent="0.25">
      <c r="A2705" s="29" t="s">
        <v>7216</v>
      </c>
      <c r="B2705" s="24" t="s">
        <v>4123</v>
      </c>
      <c r="C2705" s="37" t="s">
        <v>2207</v>
      </c>
      <c r="E2705" s="37" t="s">
        <v>2831</v>
      </c>
      <c r="F2705" s="24" t="s">
        <v>2144</v>
      </c>
      <c r="H2705" s="38" t="s">
        <v>7219</v>
      </c>
      <c r="J2705" s="214" t="s">
        <v>3048</v>
      </c>
      <c r="N2705" s="37" t="s">
        <v>3047</v>
      </c>
      <c r="S2705" s="10" t="s">
        <v>2433</v>
      </c>
      <c r="U2705" s="22">
        <v>1</v>
      </c>
      <c r="V2705" s="22">
        <v>1</v>
      </c>
      <c r="W2705" s="73">
        <f t="shared" si="152"/>
        <v>2</v>
      </c>
      <c r="X2705" s="80">
        <f t="shared" ref="X2705:X2756" si="153">V2705+X2704</f>
        <v>8048</v>
      </c>
      <c r="Y2705" s="82" t="s">
        <v>3584</v>
      </c>
    </row>
    <row r="2706" spans="1:25" ht="15.45" customHeight="1" x14ac:dyDescent="0.25">
      <c r="A2706" s="29" t="s">
        <v>7217</v>
      </c>
      <c r="B2706" s="24" t="s">
        <v>4123</v>
      </c>
      <c r="C2706" s="37" t="s">
        <v>2207</v>
      </c>
      <c r="E2706" s="37" t="s">
        <v>2831</v>
      </c>
      <c r="F2706" s="24" t="s">
        <v>2144</v>
      </c>
      <c r="H2706" s="38" t="s">
        <v>3578</v>
      </c>
      <c r="J2706" s="214" t="s">
        <v>3048</v>
      </c>
      <c r="N2706" s="37" t="s">
        <v>3049</v>
      </c>
      <c r="S2706" s="10" t="s">
        <v>2433</v>
      </c>
      <c r="U2706" s="22">
        <v>1</v>
      </c>
      <c r="V2706" s="22">
        <v>1</v>
      </c>
      <c r="W2706" s="73">
        <f t="shared" si="152"/>
        <v>3</v>
      </c>
      <c r="X2706" s="80">
        <f t="shared" si="153"/>
        <v>8049</v>
      </c>
      <c r="Y2706" s="82" t="s">
        <v>3584</v>
      </c>
    </row>
    <row r="2707" spans="1:25" ht="15.45" customHeight="1" x14ac:dyDescent="0.25">
      <c r="A2707" s="29" t="s">
        <v>3579</v>
      </c>
      <c r="C2707" s="37" t="s">
        <v>2207</v>
      </c>
      <c r="E2707" s="37" t="s">
        <v>2831</v>
      </c>
      <c r="F2707" s="24" t="s">
        <v>2144</v>
      </c>
      <c r="H2707" s="38" t="s">
        <v>3053</v>
      </c>
      <c r="J2707" s="214" t="s">
        <v>3048</v>
      </c>
      <c r="N2707" s="37" t="s">
        <v>3052</v>
      </c>
      <c r="S2707" s="10" t="s">
        <v>2433</v>
      </c>
      <c r="U2707" s="22">
        <v>2</v>
      </c>
      <c r="V2707" s="22">
        <v>108</v>
      </c>
      <c r="W2707" s="73">
        <f t="shared" si="152"/>
        <v>111</v>
      </c>
      <c r="X2707" s="80">
        <f t="shared" si="153"/>
        <v>8157</v>
      </c>
      <c r="Y2707" s="82" t="s">
        <v>3584</v>
      </c>
    </row>
    <row r="2708" spans="1:25" ht="15.45" customHeight="1" x14ac:dyDescent="0.25">
      <c r="A2708" s="29" t="s">
        <v>6703</v>
      </c>
      <c r="C2708" s="37" t="s">
        <v>2207</v>
      </c>
      <c r="E2708" s="37" t="s">
        <v>2831</v>
      </c>
      <c r="F2708" s="24" t="s">
        <v>2144</v>
      </c>
      <c r="H2708" s="38" t="s">
        <v>5245</v>
      </c>
      <c r="J2708" s="214" t="s">
        <v>3054</v>
      </c>
      <c r="U2708" s="22">
        <v>1</v>
      </c>
      <c r="V2708" s="22">
        <v>11</v>
      </c>
      <c r="W2708" s="73">
        <f t="shared" si="152"/>
        <v>122</v>
      </c>
      <c r="X2708" s="80">
        <f t="shared" si="153"/>
        <v>8168</v>
      </c>
      <c r="Y2708" s="82" t="s">
        <v>3584</v>
      </c>
    </row>
    <row r="2709" spans="1:25" ht="15.45" customHeight="1" x14ac:dyDescent="0.25">
      <c r="A2709" s="29" t="s">
        <v>3055</v>
      </c>
      <c r="C2709" s="37" t="s">
        <v>2207</v>
      </c>
      <c r="E2709" s="37" t="s">
        <v>2831</v>
      </c>
      <c r="F2709" s="24" t="s">
        <v>2144</v>
      </c>
      <c r="H2709" s="38" t="s">
        <v>5245</v>
      </c>
      <c r="J2709" s="214" t="s">
        <v>3054</v>
      </c>
      <c r="U2709" s="22">
        <v>1</v>
      </c>
      <c r="V2709" s="22">
        <v>12</v>
      </c>
      <c r="W2709" s="73">
        <f t="shared" si="152"/>
        <v>134</v>
      </c>
      <c r="X2709" s="80">
        <f t="shared" si="153"/>
        <v>8180</v>
      </c>
      <c r="Y2709" s="82" t="s">
        <v>3584</v>
      </c>
    </row>
    <row r="2710" spans="1:25" ht="15.45" customHeight="1" x14ac:dyDescent="0.25">
      <c r="A2710" s="29" t="s">
        <v>3056</v>
      </c>
      <c r="C2710" s="37" t="s">
        <v>2207</v>
      </c>
      <c r="E2710" s="37" t="s">
        <v>2831</v>
      </c>
      <c r="F2710" s="24" t="s">
        <v>2144</v>
      </c>
      <c r="H2710" s="38" t="s">
        <v>5245</v>
      </c>
      <c r="J2710" s="214" t="s">
        <v>3054</v>
      </c>
      <c r="U2710" s="22">
        <v>1</v>
      </c>
      <c r="V2710" s="22">
        <v>4</v>
      </c>
      <c r="W2710" s="73">
        <f t="shared" si="152"/>
        <v>138</v>
      </c>
      <c r="X2710" s="80">
        <f t="shared" si="153"/>
        <v>8184</v>
      </c>
      <c r="Y2710" s="82" t="s">
        <v>3584</v>
      </c>
    </row>
    <row r="2711" spans="1:25" ht="15.45" customHeight="1" x14ac:dyDescent="0.25">
      <c r="A2711" s="29" t="s">
        <v>3057</v>
      </c>
      <c r="C2711" s="37" t="s">
        <v>2207</v>
      </c>
      <c r="E2711" s="37" t="s">
        <v>2831</v>
      </c>
      <c r="F2711" s="24" t="s">
        <v>2144</v>
      </c>
      <c r="H2711" s="38" t="s">
        <v>5245</v>
      </c>
      <c r="J2711" s="214" t="s">
        <v>3054</v>
      </c>
      <c r="U2711" s="22">
        <v>1</v>
      </c>
      <c r="V2711" s="22">
        <v>14</v>
      </c>
      <c r="W2711" s="73">
        <f t="shared" si="152"/>
        <v>152</v>
      </c>
      <c r="X2711" s="80">
        <f t="shared" si="153"/>
        <v>8198</v>
      </c>
      <c r="Y2711" s="82" t="s">
        <v>3584</v>
      </c>
    </row>
    <row r="2712" spans="1:25" ht="15.45" customHeight="1" x14ac:dyDescent="0.25">
      <c r="A2712" s="29" t="s">
        <v>3058</v>
      </c>
      <c r="C2712" s="37" t="s">
        <v>2207</v>
      </c>
      <c r="E2712" s="37" t="s">
        <v>2831</v>
      </c>
      <c r="F2712" s="24" t="s">
        <v>2144</v>
      </c>
      <c r="H2712" s="38" t="s">
        <v>5245</v>
      </c>
      <c r="J2712" s="214" t="s">
        <v>3054</v>
      </c>
      <c r="U2712" s="22">
        <v>1</v>
      </c>
      <c r="V2712" s="22">
        <v>16</v>
      </c>
      <c r="W2712" s="73">
        <f t="shared" si="152"/>
        <v>168</v>
      </c>
      <c r="X2712" s="80">
        <f t="shared" si="153"/>
        <v>8214</v>
      </c>
      <c r="Y2712" s="82" t="s">
        <v>3584</v>
      </c>
    </row>
    <row r="2713" spans="1:25" ht="15.45" customHeight="1" x14ac:dyDescent="0.25">
      <c r="A2713" s="29" t="s">
        <v>3059</v>
      </c>
      <c r="C2713" s="37" t="s">
        <v>2207</v>
      </c>
      <c r="E2713" s="37" t="s">
        <v>2831</v>
      </c>
      <c r="F2713" s="24" t="s">
        <v>2144</v>
      </c>
      <c r="H2713" s="38" t="s">
        <v>5245</v>
      </c>
      <c r="J2713" s="214" t="s">
        <v>3054</v>
      </c>
      <c r="U2713" s="22">
        <v>1</v>
      </c>
      <c r="V2713" s="22">
        <v>13</v>
      </c>
      <c r="W2713" s="73">
        <f t="shared" si="152"/>
        <v>181</v>
      </c>
      <c r="X2713" s="80">
        <f t="shared" si="153"/>
        <v>8227</v>
      </c>
      <c r="Y2713" s="82" t="s">
        <v>3584</v>
      </c>
    </row>
    <row r="2714" spans="1:25" ht="15.45" customHeight="1" x14ac:dyDescent="0.25">
      <c r="A2714" s="29" t="s">
        <v>3060</v>
      </c>
      <c r="C2714" s="37" t="s">
        <v>2207</v>
      </c>
      <c r="E2714" s="37" t="s">
        <v>2831</v>
      </c>
      <c r="F2714" s="24" t="s">
        <v>2144</v>
      </c>
      <c r="H2714" s="38" t="s">
        <v>5245</v>
      </c>
      <c r="J2714" s="214" t="s">
        <v>3054</v>
      </c>
      <c r="U2714" s="22">
        <v>1</v>
      </c>
      <c r="V2714" s="22">
        <v>14</v>
      </c>
      <c r="W2714" s="73">
        <f t="shared" si="152"/>
        <v>195</v>
      </c>
      <c r="X2714" s="80">
        <f t="shared" si="153"/>
        <v>8241</v>
      </c>
      <c r="Y2714" s="82" t="s">
        <v>3584</v>
      </c>
    </row>
    <row r="2715" spans="1:25" ht="15.45" customHeight="1" x14ac:dyDescent="0.25">
      <c r="A2715" s="29" t="s">
        <v>3061</v>
      </c>
      <c r="C2715" s="37" t="s">
        <v>2207</v>
      </c>
      <c r="E2715" s="37" t="s">
        <v>2831</v>
      </c>
      <c r="F2715" s="24" t="s">
        <v>2144</v>
      </c>
      <c r="H2715" s="38" t="s">
        <v>5245</v>
      </c>
      <c r="J2715" s="214" t="s">
        <v>3054</v>
      </c>
      <c r="U2715" s="22">
        <v>1</v>
      </c>
      <c r="V2715" s="22">
        <v>9</v>
      </c>
      <c r="W2715" s="73">
        <f t="shared" si="152"/>
        <v>204</v>
      </c>
      <c r="X2715" s="80">
        <f t="shared" si="153"/>
        <v>8250</v>
      </c>
      <c r="Y2715" s="82" t="s">
        <v>3584</v>
      </c>
    </row>
    <row r="2716" spans="1:25" ht="15.45" customHeight="1" x14ac:dyDescent="0.25">
      <c r="A2716" s="29" t="s">
        <v>3069</v>
      </c>
      <c r="C2716" s="37" t="s">
        <v>2207</v>
      </c>
      <c r="E2716" s="37" t="s">
        <v>2831</v>
      </c>
      <c r="F2716" s="24" t="s">
        <v>2144</v>
      </c>
      <c r="H2716" s="38" t="s">
        <v>5245</v>
      </c>
      <c r="J2716" s="214" t="s">
        <v>3054</v>
      </c>
      <c r="U2716" s="22">
        <v>1</v>
      </c>
      <c r="V2716" s="22">
        <v>2</v>
      </c>
      <c r="W2716" s="73">
        <f t="shared" si="152"/>
        <v>206</v>
      </c>
      <c r="X2716" s="80">
        <f t="shared" si="153"/>
        <v>8252</v>
      </c>
      <c r="Y2716" s="82" t="s">
        <v>3584</v>
      </c>
    </row>
    <row r="2717" spans="1:25" ht="15.45" customHeight="1" x14ac:dyDescent="0.25">
      <c r="A2717" s="29" t="s">
        <v>3062</v>
      </c>
      <c r="C2717" s="37" t="s">
        <v>2207</v>
      </c>
      <c r="E2717" s="37" t="s">
        <v>2831</v>
      </c>
      <c r="F2717" s="24" t="s">
        <v>2144</v>
      </c>
      <c r="H2717" s="38" t="s">
        <v>5245</v>
      </c>
      <c r="J2717" s="214" t="s">
        <v>3054</v>
      </c>
      <c r="U2717" s="22">
        <v>1</v>
      </c>
      <c r="V2717" s="22">
        <v>4</v>
      </c>
      <c r="W2717" s="73">
        <f t="shared" si="152"/>
        <v>210</v>
      </c>
      <c r="X2717" s="80">
        <f t="shared" si="153"/>
        <v>8256</v>
      </c>
      <c r="Y2717" s="82" t="s">
        <v>3584</v>
      </c>
    </row>
    <row r="2718" spans="1:25" ht="15.45" customHeight="1" x14ac:dyDescent="0.25">
      <c r="A2718" s="29" t="s">
        <v>3063</v>
      </c>
      <c r="C2718" s="37" t="s">
        <v>2207</v>
      </c>
      <c r="E2718" s="37" t="s">
        <v>2831</v>
      </c>
      <c r="F2718" s="24" t="s">
        <v>2144</v>
      </c>
      <c r="H2718" s="38" t="s">
        <v>5245</v>
      </c>
      <c r="J2718" s="214" t="s">
        <v>3054</v>
      </c>
      <c r="U2718" s="22">
        <v>1</v>
      </c>
      <c r="V2718" s="22">
        <v>1</v>
      </c>
      <c r="W2718" s="73">
        <f t="shared" si="152"/>
        <v>211</v>
      </c>
      <c r="X2718" s="80">
        <f t="shared" si="153"/>
        <v>8257</v>
      </c>
      <c r="Y2718" s="82" t="s">
        <v>3584</v>
      </c>
    </row>
    <row r="2719" spans="1:25" ht="15.45" customHeight="1" x14ac:dyDescent="0.25">
      <c r="A2719" s="29" t="s">
        <v>3064</v>
      </c>
      <c r="C2719" s="37" t="s">
        <v>2207</v>
      </c>
      <c r="E2719" s="37" t="s">
        <v>2831</v>
      </c>
      <c r="F2719" s="24" t="s">
        <v>2144</v>
      </c>
      <c r="H2719" s="38" t="s">
        <v>5245</v>
      </c>
      <c r="J2719" s="214" t="s">
        <v>3054</v>
      </c>
      <c r="U2719" s="22">
        <v>1</v>
      </c>
      <c r="V2719" s="22">
        <v>2</v>
      </c>
      <c r="W2719" s="73">
        <f t="shared" si="152"/>
        <v>213</v>
      </c>
      <c r="X2719" s="80">
        <f t="shared" si="153"/>
        <v>8259</v>
      </c>
      <c r="Y2719" s="82" t="s">
        <v>3584</v>
      </c>
    </row>
    <row r="2720" spans="1:25" ht="15.45" customHeight="1" x14ac:dyDescent="0.25">
      <c r="A2720" s="29" t="s">
        <v>3065</v>
      </c>
      <c r="C2720" s="37" t="s">
        <v>2207</v>
      </c>
      <c r="E2720" s="37" t="s">
        <v>2831</v>
      </c>
      <c r="F2720" s="24" t="s">
        <v>2144</v>
      </c>
      <c r="H2720" s="38" t="s">
        <v>5246</v>
      </c>
      <c r="J2720" s="214" t="s">
        <v>3066</v>
      </c>
      <c r="N2720" s="37" t="s">
        <v>3051</v>
      </c>
      <c r="U2720" s="22">
        <v>1</v>
      </c>
      <c r="V2720" s="22">
        <v>23</v>
      </c>
      <c r="W2720" s="73">
        <f t="shared" si="152"/>
        <v>236</v>
      </c>
      <c r="X2720" s="80">
        <f t="shared" si="153"/>
        <v>8282</v>
      </c>
      <c r="Y2720" s="82" t="s">
        <v>3584</v>
      </c>
    </row>
    <row r="2721" spans="1:37" ht="15.45" customHeight="1" x14ac:dyDescent="0.25">
      <c r="A2721" s="29" t="s">
        <v>6652</v>
      </c>
      <c r="C2721" s="37" t="s">
        <v>2207</v>
      </c>
      <c r="E2721" s="37" t="s">
        <v>2831</v>
      </c>
      <c r="F2721" s="24" t="s">
        <v>6651</v>
      </c>
      <c r="H2721" s="38" t="s">
        <v>6655</v>
      </c>
      <c r="J2721" s="214" t="s">
        <v>6653</v>
      </c>
      <c r="N2721" s="37" t="s">
        <v>6654</v>
      </c>
      <c r="U2721" s="22">
        <v>1</v>
      </c>
      <c r="V2721" s="22">
        <v>1</v>
      </c>
      <c r="W2721" s="73">
        <f t="shared" si="152"/>
        <v>237</v>
      </c>
      <c r="X2721" s="80">
        <f t="shared" si="153"/>
        <v>8283</v>
      </c>
      <c r="Y2721" s="82" t="s">
        <v>2986</v>
      </c>
      <c r="AB2721" s="177">
        <v>44655</v>
      </c>
      <c r="AC2721" s="84" t="s">
        <v>2885</v>
      </c>
    </row>
    <row r="2722" spans="1:37" ht="15.45" customHeight="1" x14ac:dyDescent="0.25">
      <c r="A2722" s="29" t="s">
        <v>4325</v>
      </c>
      <c r="C2722" s="37" t="s">
        <v>2207</v>
      </c>
      <c r="E2722" s="37" t="s">
        <v>2831</v>
      </c>
      <c r="F2722" s="24" t="s">
        <v>2144</v>
      </c>
      <c r="H2722" s="38" t="s">
        <v>6034</v>
      </c>
      <c r="J2722" s="214" t="s">
        <v>4322</v>
      </c>
      <c r="N2722" s="37" t="s">
        <v>4323</v>
      </c>
      <c r="Q2722" s="37" t="s">
        <v>3506</v>
      </c>
      <c r="S2722" s="10" t="s">
        <v>2983</v>
      </c>
      <c r="U2722" s="22">
        <v>1</v>
      </c>
      <c r="V2722" s="22">
        <v>2</v>
      </c>
      <c r="W2722" s="73">
        <f t="shared" si="152"/>
        <v>239</v>
      </c>
      <c r="X2722" s="80">
        <f t="shared" si="153"/>
        <v>8285</v>
      </c>
      <c r="Y2722" s="82" t="s">
        <v>3591</v>
      </c>
      <c r="Z2722" s="24" t="s">
        <v>2885</v>
      </c>
      <c r="AB2722" s="177">
        <v>43361</v>
      </c>
      <c r="AC2722" s="84" t="s">
        <v>2885</v>
      </c>
    </row>
    <row r="2723" spans="1:37" ht="15.45" customHeight="1" x14ac:dyDescent="0.25">
      <c r="A2723" s="29" t="s">
        <v>4326</v>
      </c>
      <c r="C2723" s="37" t="s">
        <v>2207</v>
      </c>
      <c r="E2723" s="37" t="s">
        <v>2831</v>
      </c>
      <c r="F2723" s="24" t="s">
        <v>2144</v>
      </c>
      <c r="H2723" s="38" t="s">
        <v>6035</v>
      </c>
      <c r="J2723" s="215">
        <v>1980</v>
      </c>
      <c r="N2723" s="37" t="s">
        <v>4324</v>
      </c>
      <c r="Q2723" s="37" t="s">
        <v>3506</v>
      </c>
      <c r="S2723" s="10" t="s">
        <v>2983</v>
      </c>
      <c r="U2723" s="22">
        <v>1</v>
      </c>
      <c r="V2723" s="22">
        <v>1</v>
      </c>
      <c r="W2723" s="73">
        <f t="shared" si="152"/>
        <v>240</v>
      </c>
      <c r="X2723" s="80">
        <f t="shared" si="153"/>
        <v>8286</v>
      </c>
      <c r="Y2723" s="82" t="s">
        <v>3591</v>
      </c>
      <c r="Z2723" s="24" t="s">
        <v>2885</v>
      </c>
      <c r="AB2723" s="177">
        <v>38542</v>
      </c>
      <c r="AC2723" s="84" t="s">
        <v>2885</v>
      </c>
    </row>
    <row r="2724" spans="1:37" ht="15.45" customHeight="1" x14ac:dyDescent="0.25">
      <c r="A2724" s="29" t="s">
        <v>3067</v>
      </c>
      <c r="C2724" s="37" t="s">
        <v>2207</v>
      </c>
      <c r="E2724" s="37" t="s">
        <v>2831</v>
      </c>
      <c r="F2724" s="24" t="s">
        <v>2144</v>
      </c>
      <c r="H2724" s="38" t="s">
        <v>2633</v>
      </c>
      <c r="N2724" s="37" t="s">
        <v>3068</v>
      </c>
      <c r="U2724" s="22">
        <v>1</v>
      </c>
      <c r="V2724" s="22">
        <v>1</v>
      </c>
      <c r="W2724" s="73">
        <f t="shared" si="152"/>
        <v>241</v>
      </c>
      <c r="X2724" s="80">
        <f t="shared" si="153"/>
        <v>8287</v>
      </c>
      <c r="Y2724" s="82" t="s">
        <v>3585</v>
      </c>
      <c r="AB2724" s="177">
        <v>42507</v>
      </c>
      <c r="AC2724" s="84" t="s">
        <v>2885</v>
      </c>
    </row>
    <row r="2725" spans="1:37" ht="15.45" customHeight="1" x14ac:dyDescent="0.25">
      <c r="A2725" s="29" t="s">
        <v>4434</v>
      </c>
      <c r="B2725" s="24" t="s">
        <v>4433</v>
      </c>
      <c r="C2725" s="37" t="s">
        <v>2321</v>
      </c>
      <c r="E2725" s="37" t="s">
        <v>2831</v>
      </c>
      <c r="F2725" s="24" t="s">
        <v>2575</v>
      </c>
      <c r="H2725" s="38" t="s">
        <v>6902</v>
      </c>
      <c r="J2725" s="214" t="s">
        <v>3406</v>
      </c>
      <c r="U2725" s="22">
        <v>2</v>
      </c>
      <c r="V2725" s="22">
        <v>2</v>
      </c>
      <c r="W2725" s="73">
        <f t="shared" si="152"/>
        <v>243</v>
      </c>
      <c r="X2725" s="80">
        <f t="shared" si="153"/>
        <v>8289</v>
      </c>
      <c r="Y2725" s="82" t="s">
        <v>2907</v>
      </c>
      <c r="Z2725" s="24" t="s">
        <v>2909</v>
      </c>
      <c r="AB2725" s="177">
        <v>42507</v>
      </c>
      <c r="AC2725" s="84" t="s">
        <v>2885</v>
      </c>
    </row>
    <row r="2726" spans="1:37" ht="15.45" customHeight="1" x14ac:dyDescent="0.25">
      <c r="A2726" s="29" t="s">
        <v>4431</v>
      </c>
      <c r="B2726" s="24" t="s">
        <v>4432</v>
      </c>
      <c r="C2726" s="37" t="s">
        <v>2207</v>
      </c>
      <c r="E2726" s="37" t="s">
        <v>2927</v>
      </c>
      <c r="F2726" s="24" t="s">
        <v>2144</v>
      </c>
      <c r="H2726" s="38" t="s">
        <v>6566</v>
      </c>
      <c r="J2726" s="214" t="s">
        <v>6567</v>
      </c>
      <c r="U2726" s="22">
        <v>20</v>
      </c>
      <c r="V2726" s="22">
        <v>20</v>
      </c>
      <c r="W2726" s="73">
        <f t="shared" si="152"/>
        <v>263</v>
      </c>
      <c r="X2726" s="80">
        <f t="shared" si="153"/>
        <v>8309</v>
      </c>
      <c r="Y2726" s="82" t="s">
        <v>2907</v>
      </c>
      <c r="Z2726" s="24" t="s">
        <v>2885</v>
      </c>
      <c r="AB2726" s="177">
        <v>43433</v>
      </c>
      <c r="AC2726" s="84" t="s">
        <v>2885</v>
      </c>
    </row>
    <row r="2727" spans="1:37" ht="15.45" customHeight="1" x14ac:dyDescent="0.25">
      <c r="A2727" s="31" t="s">
        <v>4390</v>
      </c>
      <c r="B2727" s="24" t="s">
        <v>4389</v>
      </c>
      <c r="C2727" s="37" t="s">
        <v>2207</v>
      </c>
      <c r="E2727" s="37" t="s">
        <v>2927</v>
      </c>
      <c r="F2727" s="24" t="s">
        <v>2515</v>
      </c>
      <c r="H2727" s="38" t="s">
        <v>4430</v>
      </c>
      <c r="J2727" s="214" t="s">
        <v>4391</v>
      </c>
      <c r="K2727" s="38" t="s">
        <v>4392</v>
      </c>
      <c r="N2727" s="37" t="s">
        <v>4394</v>
      </c>
      <c r="P2727" s="37" t="s">
        <v>4393</v>
      </c>
      <c r="Q2727" s="37" t="s">
        <v>1998</v>
      </c>
      <c r="S2727" s="11"/>
      <c r="T2727" s="11"/>
      <c r="U2727" s="21">
        <v>1</v>
      </c>
      <c r="V2727" s="21">
        <v>1</v>
      </c>
      <c r="W2727" s="73">
        <f t="shared" si="152"/>
        <v>264</v>
      </c>
      <c r="X2727" s="80">
        <f t="shared" si="153"/>
        <v>8310</v>
      </c>
      <c r="Y2727" s="82" t="s">
        <v>3583</v>
      </c>
      <c r="AB2727" s="177">
        <v>43424</v>
      </c>
      <c r="AC2727" s="84" t="s">
        <v>2885</v>
      </c>
      <c r="AF2727" s="11"/>
      <c r="AG2727" s="11"/>
      <c r="AH2727" s="11"/>
      <c r="AI2727" s="11"/>
      <c r="AJ2727" s="11"/>
      <c r="AK2727" s="11"/>
    </row>
    <row r="2728" spans="1:37" ht="15.45" customHeight="1" x14ac:dyDescent="0.25">
      <c r="A2728" s="31" t="s">
        <v>4525</v>
      </c>
      <c r="B2728" s="24" t="s">
        <v>4523</v>
      </c>
      <c r="C2728" s="37" t="s">
        <v>2323</v>
      </c>
      <c r="E2728" s="37" t="s">
        <v>2927</v>
      </c>
      <c r="F2728" s="24" t="s">
        <v>2515</v>
      </c>
      <c r="H2728" s="38" t="s">
        <v>4528</v>
      </c>
      <c r="J2728" s="214" t="s">
        <v>4524</v>
      </c>
      <c r="K2728" s="162"/>
      <c r="N2728" s="37" t="s">
        <v>4526</v>
      </c>
      <c r="P2728" s="37" t="s">
        <v>4527</v>
      </c>
      <c r="Q2728" s="37" t="s">
        <v>3506</v>
      </c>
      <c r="S2728" s="10" t="s">
        <v>3412</v>
      </c>
      <c r="T2728" s="11"/>
      <c r="U2728" s="21">
        <v>1</v>
      </c>
      <c r="V2728" s="21">
        <v>2</v>
      </c>
      <c r="W2728" s="73">
        <f t="shared" si="152"/>
        <v>266</v>
      </c>
      <c r="X2728" s="80">
        <f t="shared" si="153"/>
        <v>8312</v>
      </c>
      <c r="Y2728" s="82" t="s">
        <v>3591</v>
      </c>
      <c r="Z2728" s="24" t="s">
        <v>2884</v>
      </c>
      <c r="AB2728" s="177">
        <v>43455</v>
      </c>
      <c r="AC2728" s="84" t="s">
        <v>2885</v>
      </c>
      <c r="AF2728" s="11"/>
      <c r="AG2728" s="11"/>
      <c r="AH2728" s="11"/>
      <c r="AI2728" s="11"/>
      <c r="AJ2728" s="11"/>
      <c r="AK2728" s="11"/>
    </row>
    <row r="2729" spans="1:37" ht="15.45" customHeight="1" x14ac:dyDescent="0.25">
      <c r="A2729" s="29" t="s">
        <v>6898</v>
      </c>
      <c r="C2729" s="37" t="s">
        <v>2207</v>
      </c>
      <c r="E2729" s="37" t="s">
        <v>2831</v>
      </c>
      <c r="F2729" s="24" t="s">
        <v>2144</v>
      </c>
      <c r="H2729" s="38" t="s">
        <v>6897</v>
      </c>
      <c r="J2729" s="214" t="s">
        <v>4152</v>
      </c>
      <c r="N2729" s="37" t="s">
        <v>4153</v>
      </c>
      <c r="U2729" s="22">
        <v>1</v>
      </c>
      <c r="V2729" s="22">
        <v>101</v>
      </c>
      <c r="W2729" s="73">
        <f t="shared" ref="W2729:W2731" si="154">W2728+V2729</f>
        <v>367</v>
      </c>
      <c r="X2729" s="80">
        <f t="shared" ref="X2729:X2731" si="155">V2729+X2728</f>
        <v>8413</v>
      </c>
      <c r="Y2729" s="82" t="s">
        <v>3584</v>
      </c>
    </row>
    <row r="2730" spans="1:37" ht="15.45" customHeight="1" x14ac:dyDescent="0.25">
      <c r="A2730" s="29" t="s">
        <v>6899</v>
      </c>
      <c r="C2730" s="37" t="s">
        <v>2207</v>
      </c>
      <c r="E2730" s="37" t="s">
        <v>2831</v>
      </c>
      <c r="F2730" s="24" t="s">
        <v>2144</v>
      </c>
      <c r="H2730" s="38" t="s">
        <v>6904</v>
      </c>
      <c r="J2730" s="214" t="s">
        <v>6896</v>
      </c>
      <c r="N2730" s="37" t="s">
        <v>6895</v>
      </c>
      <c r="S2730" s="10" t="s">
        <v>3412</v>
      </c>
      <c r="U2730" s="22">
        <v>1</v>
      </c>
      <c r="V2730" s="22">
        <v>40</v>
      </c>
      <c r="W2730" s="73">
        <f t="shared" si="154"/>
        <v>407</v>
      </c>
      <c r="X2730" s="80">
        <f t="shared" si="155"/>
        <v>8453</v>
      </c>
      <c r="Y2730" s="82" t="s">
        <v>3584</v>
      </c>
      <c r="AB2730" s="177">
        <v>43237</v>
      </c>
      <c r="AC2730" s="84" t="s">
        <v>2885</v>
      </c>
    </row>
    <row r="2731" spans="1:37" ht="15.45" customHeight="1" x14ac:dyDescent="0.25">
      <c r="A2731" s="29" t="s">
        <v>6892</v>
      </c>
      <c r="C2731" s="37" t="s">
        <v>2207</v>
      </c>
      <c r="E2731" s="37" t="s">
        <v>2831</v>
      </c>
      <c r="F2731" s="24" t="s">
        <v>2144</v>
      </c>
      <c r="H2731" s="38" t="s">
        <v>6903</v>
      </c>
      <c r="N2731" s="37" t="s">
        <v>6895</v>
      </c>
      <c r="S2731" s="10" t="s">
        <v>3412</v>
      </c>
      <c r="U2731" s="22">
        <v>5</v>
      </c>
      <c r="V2731" s="22">
        <v>5</v>
      </c>
      <c r="W2731" s="73">
        <f t="shared" si="154"/>
        <v>412</v>
      </c>
      <c r="X2731" s="80">
        <f t="shared" si="155"/>
        <v>8458</v>
      </c>
      <c r="Y2731" s="82" t="s">
        <v>3584</v>
      </c>
      <c r="AB2731" s="177">
        <v>43424</v>
      </c>
      <c r="AC2731" s="84" t="s">
        <v>2885</v>
      </c>
    </row>
    <row r="2732" spans="1:37" ht="15.45" customHeight="1" x14ac:dyDescent="0.25">
      <c r="A2732" s="29" t="s">
        <v>6900</v>
      </c>
      <c r="C2732" s="37" t="s">
        <v>2207</v>
      </c>
      <c r="E2732" s="37" t="s">
        <v>2831</v>
      </c>
      <c r="F2732" s="24" t="s">
        <v>2144</v>
      </c>
      <c r="H2732" s="38" t="s">
        <v>4154</v>
      </c>
      <c r="J2732" s="215">
        <v>1890</v>
      </c>
      <c r="N2732" s="37" t="s">
        <v>3070</v>
      </c>
      <c r="U2732" s="22">
        <v>1</v>
      </c>
      <c r="V2732" s="22">
        <v>30</v>
      </c>
      <c r="W2732" s="73">
        <f t="shared" ref="W2732" si="156">W2731+V2732</f>
        <v>442</v>
      </c>
      <c r="X2732" s="80">
        <f t="shared" ref="X2732" si="157">V2732+X2731</f>
        <v>8488</v>
      </c>
      <c r="Y2732" s="82" t="s">
        <v>3584</v>
      </c>
      <c r="AB2732" s="177">
        <v>43424</v>
      </c>
      <c r="AC2732" s="84" t="s">
        <v>2885</v>
      </c>
    </row>
    <row r="2733" spans="1:37" ht="15.45" customHeight="1" x14ac:dyDescent="0.25">
      <c r="A2733" s="29" t="s">
        <v>4429</v>
      </c>
      <c r="C2733" s="37" t="s">
        <v>2207</v>
      </c>
      <c r="E2733" s="37" t="s">
        <v>2831</v>
      </c>
      <c r="F2733" s="24" t="s">
        <v>2144</v>
      </c>
      <c r="H2733" s="38" t="s">
        <v>3099</v>
      </c>
      <c r="U2733" s="22">
        <v>1</v>
      </c>
      <c r="V2733" s="22">
        <v>1</v>
      </c>
      <c r="W2733" s="73">
        <f t="shared" ref="W2733:W2735" si="158">W2732+V2733</f>
        <v>443</v>
      </c>
      <c r="X2733" s="80">
        <f t="shared" ref="X2733:X2735" si="159">V2733+X2732</f>
        <v>8489</v>
      </c>
      <c r="Y2733" s="82" t="s">
        <v>3584</v>
      </c>
      <c r="AB2733" s="177">
        <v>43424</v>
      </c>
      <c r="AC2733" s="84" t="s">
        <v>2885</v>
      </c>
    </row>
    <row r="2734" spans="1:37" ht="15.45" customHeight="1" x14ac:dyDescent="0.25">
      <c r="A2734" s="29" t="s">
        <v>6901</v>
      </c>
      <c r="C2734" s="37" t="s">
        <v>2207</v>
      </c>
      <c r="E2734" s="37" t="s">
        <v>2831</v>
      </c>
      <c r="F2734" s="24" t="s">
        <v>2144</v>
      </c>
      <c r="H2734" s="38" t="s">
        <v>6891</v>
      </c>
      <c r="S2734" s="10" t="s">
        <v>3412</v>
      </c>
      <c r="T2734" s="10" t="s">
        <v>6890</v>
      </c>
      <c r="U2734" s="22">
        <v>1</v>
      </c>
      <c r="V2734" s="22">
        <v>94</v>
      </c>
      <c r="W2734" s="73">
        <f t="shared" si="158"/>
        <v>537</v>
      </c>
      <c r="X2734" s="80">
        <f t="shared" si="159"/>
        <v>8583</v>
      </c>
      <c r="Y2734" s="82" t="s">
        <v>3584</v>
      </c>
      <c r="AB2734" s="177">
        <v>43424</v>
      </c>
      <c r="AC2734" s="84" t="s">
        <v>2885</v>
      </c>
    </row>
    <row r="2735" spans="1:37" ht="15.45" customHeight="1" x14ac:dyDescent="0.25">
      <c r="A2735" s="29" t="s">
        <v>6892</v>
      </c>
      <c r="C2735" s="37" t="s">
        <v>2207</v>
      </c>
      <c r="E2735" s="37" t="s">
        <v>2831</v>
      </c>
      <c r="F2735" s="24" t="s">
        <v>2144</v>
      </c>
      <c r="H2735" s="38" t="s">
        <v>6893</v>
      </c>
      <c r="S2735" s="10" t="s">
        <v>3412</v>
      </c>
      <c r="U2735" s="22">
        <v>12</v>
      </c>
      <c r="V2735" s="22">
        <v>12</v>
      </c>
      <c r="W2735" s="73">
        <f t="shared" si="158"/>
        <v>549</v>
      </c>
      <c r="X2735" s="80">
        <f t="shared" si="159"/>
        <v>8595</v>
      </c>
      <c r="Y2735" s="82" t="s">
        <v>3584</v>
      </c>
      <c r="AB2735" s="177">
        <v>43424</v>
      </c>
      <c r="AC2735" s="84" t="s">
        <v>2885</v>
      </c>
    </row>
    <row r="2736" spans="1:37" ht="15.45" customHeight="1" x14ac:dyDescent="0.25">
      <c r="A2736" s="29" t="s">
        <v>3071</v>
      </c>
      <c r="C2736" s="37" t="s">
        <v>2207</v>
      </c>
      <c r="E2736" s="37" t="s">
        <v>2831</v>
      </c>
      <c r="F2736" s="24" t="s">
        <v>2144</v>
      </c>
      <c r="H2736" s="38" t="s">
        <v>6894</v>
      </c>
      <c r="S2736" s="10" t="s">
        <v>3412</v>
      </c>
      <c r="U2736" s="22">
        <v>1</v>
      </c>
      <c r="V2736" s="22">
        <v>2</v>
      </c>
      <c r="W2736" s="73">
        <f t="shared" si="152"/>
        <v>551</v>
      </c>
      <c r="X2736" s="80">
        <f t="shared" si="153"/>
        <v>8597</v>
      </c>
      <c r="Y2736" s="82" t="s">
        <v>3584</v>
      </c>
      <c r="AB2736" s="177">
        <v>43424</v>
      </c>
      <c r="AC2736" s="84" t="s">
        <v>2885</v>
      </c>
    </row>
    <row r="2737" spans="1:29" ht="15.45" customHeight="1" x14ac:dyDescent="0.25">
      <c r="A2737" s="29" t="s">
        <v>6883</v>
      </c>
      <c r="C2737" s="37" t="s">
        <v>2207</v>
      </c>
      <c r="E2737" s="37" t="s">
        <v>2831</v>
      </c>
      <c r="F2737" s="24" t="s">
        <v>2144</v>
      </c>
      <c r="H2737" s="38" t="s">
        <v>4642</v>
      </c>
      <c r="J2737" s="214" t="s">
        <v>4641</v>
      </c>
      <c r="S2737" s="10" t="s">
        <v>3412</v>
      </c>
      <c r="T2737" s="10" t="s">
        <v>3072</v>
      </c>
      <c r="U2737" s="22">
        <v>1</v>
      </c>
      <c r="V2737" s="22">
        <v>7</v>
      </c>
      <c r="W2737" s="73">
        <f t="shared" si="152"/>
        <v>558</v>
      </c>
      <c r="X2737" s="80">
        <f t="shared" si="153"/>
        <v>8604</v>
      </c>
      <c r="Y2737" s="82" t="s">
        <v>3584</v>
      </c>
      <c r="AB2737" s="177">
        <v>43424</v>
      </c>
      <c r="AC2737" s="84" t="s">
        <v>2885</v>
      </c>
    </row>
    <row r="2738" spans="1:29" ht="15.45" customHeight="1" x14ac:dyDescent="0.25">
      <c r="A2738" s="29" t="s">
        <v>4646</v>
      </c>
      <c r="C2738" s="37" t="s">
        <v>2207</v>
      </c>
      <c r="E2738" s="37" t="s">
        <v>2927</v>
      </c>
      <c r="F2738" s="24" t="s">
        <v>2144</v>
      </c>
      <c r="H2738" s="38" t="s">
        <v>4643</v>
      </c>
      <c r="S2738" s="10" t="s">
        <v>3412</v>
      </c>
      <c r="U2738" s="22">
        <v>1</v>
      </c>
      <c r="V2738" s="22">
        <v>2</v>
      </c>
      <c r="W2738" s="73">
        <f t="shared" si="152"/>
        <v>560</v>
      </c>
      <c r="X2738" s="80">
        <f t="shared" si="153"/>
        <v>8606</v>
      </c>
      <c r="Y2738" s="82" t="s">
        <v>3584</v>
      </c>
      <c r="AB2738" s="177">
        <v>43530</v>
      </c>
      <c r="AC2738" s="84" t="s">
        <v>2885</v>
      </c>
    </row>
    <row r="2739" spans="1:29" ht="15.45" customHeight="1" x14ac:dyDescent="0.25">
      <c r="A2739" s="29" t="s">
        <v>6889</v>
      </c>
      <c r="C2739" s="37" t="s">
        <v>2207</v>
      </c>
      <c r="E2739" s="37" t="s">
        <v>2831</v>
      </c>
      <c r="F2739" s="24" t="s">
        <v>2144</v>
      </c>
      <c r="H2739" s="38" t="s">
        <v>4644</v>
      </c>
      <c r="J2739" s="215" t="s">
        <v>4647</v>
      </c>
      <c r="K2739" s="10" t="s">
        <v>4645</v>
      </c>
      <c r="S2739" s="10" t="s">
        <v>3412</v>
      </c>
      <c r="T2739" s="10" t="s">
        <v>3073</v>
      </c>
      <c r="U2739" s="22">
        <v>15</v>
      </c>
      <c r="V2739" s="22">
        <v>15</v>
      </c>
      <c r="W2739" s="73">
        <f t="shared" si="152"/>
        <v>575</v>
      </c>
      <c r="X2739" s="80">
        <f t="shared" si="153"/>
        <v>8621</v>
      </c>
      <c r="Y2739" s="82" t="s">
        <v>3584</v>
      </c>
      <c r="AB2739" s="177">
        <v>43424</v>
      </c>
      <c r="AC2739" s="84" t="s">
        <v>2885</v>
      </c>
    </row>
    <row r="2740" spans="1:29" ht="15.45" customHeight="1" x14ac:dyDescent="0.25">
      <c r="A2740" s="29" t="s">
        <v>6905</v>
      </c>
      <c r="C2740" s="37" t="s">
        <v>2320</v>
      </c>
      <c r="E2740" s="37" t="s">
        <v>2831</v>
      </c>
      <c r="F2740" s="24" t="s">
        <v>2144</v>
      </c>
      <c r="H2740" s="38" t="s">
        <v>3074</v>
      </c>
      <c r="N2740" s="37" t="s">
        <v>3075</v>
      </c>
      <c r="U2740" s="22">
        <v>1</v>
      </c>
      <c r="V2740" s="22">
        <v>1</v>
      </c>
      <c r="W2740" s="73">
        <f t="shared" si="152"/>
        <v>576</v>
      </c>
      <c r="X2740" s="80">
        <f t="shared" si="153"/>
        <v>8622</v>
      </c>
      <c r="Y2740" s="82" t="s">
        <v>3584</v>
      </c>
      <c r="AB2740" s="177">
        <v>43424</v>
      </c>
      <c r="AC2740" s="84" t="s">
        <v>2885</v>
      </c>
    </row>
    <row r="2741" spans="1:29" ht="15.45" customHeight="1" x14ac:dyDescent="0.25">
      <c r="A2741" s="29" t="s">
        <v>6906</v>
      </c>
      <c r="C2741" s="37" t="s">
        <v>2320</v>
      </c>
      <c r="E2741" s="37" t="s">
        <v>2831</v>
      </c>
      <c r="F2741" s="24" t="s">
        <v>2144</v>
      </c>
      <c r="H2741" s="38" t="s">
        <v>3076</v>
      </c>
      <c r="J2741" s="215">
        <v>1960</v>
      </c>
      <c r="N2741" s="37" t="s">
        <v>3096</v>
      </c>
      <c r="U2741" s="22">
        <v>1</v>
      </c>
      <c r="V2741" s="22">
        <v>1</v>
      </c>
      <c r="W2741" s="73">
        <f t="shared" si="152"/>
        <v>577</v>
      </c>
      <c r="X2741" s="80">
        <f t="shared" si="153"/>
        <v>8623</v>
      </c>
      <c r="Y2741" s="82" t="s">
        <v>3584</v>
      </c>
      <c r="AB2741" s="177">
        <v>43424</v>
      </c>
      <c r="AC2741" s="84" t="s">
        <v>2885</v>
      </c>
    </row>
    <row r="2742" spans="1:29" ht="15.45" customHeight="1" x14ac:dyDescent="0.25">
      <c r="A2742" s="29" t="s">
        <v>6557</v>
      </c>
      <c r="C2742" s="37" t="s">
        <v>2320</v>
      </c>
      <c r="E2742" s="37" t="s">
        <v>2927</v>
      </c>
      <c r="H2742" s="38" t="s">
        <v>6505</v>
      </c>
      <c r="J2742" s="215">
        <v>1964</v>
      </c>
      <c r="N2742" s="37" t="s">
        <v>6504</v>
      </c>
      <c r="O2742" s="37" t="s">
        <v>6558</v>
      </c>
      <c r="P2742" s="37" t="s">
        <v>1781</v>
      </c>
      <c r="S2742" s="10" t="s">
        <v>3436</v>
      </c>
      <c r="U2742" s="22">
        <v>1</v>
      </c>
      <c r="V2742" s="22">
        <v>145</v>
      </c>
      <c r="W2742" s="73">
        <f t="shared" si="152"/>
        <v>722</v>
      </c>
      <c r="X2742" s="80">
        <f t="shared" si="153"/>
        <v>8768</v>
      </c>
      <c r="Y2742" s="82" t="s">
        <v>3591</v>
      </c>
      <c r="Z2742" s="24" t="s">
        <v>6506</v>
      </c>
      <c r="AA2742" s="177">
        <v>44835</v>
      </c>
      <c r="AB2742" s="177">
        <v>44627</v>
      </c>
      <c r="AC2742" s="84" t="s">
        <v>2885</v>
      </c>
    </row>
    <row r="2743" spans="1:29" ht="15.45" customHeight="1" x14ac:dyDescent="0.25">
      <c r="A2743" s="29" t="s">
        <v>6561</v>
      </c>
      <c r="C2743" s="37" t="s">
        <v>2320</v>
      </c>
      <c r="E2743" s="37" t="s">
        <v>2927</v>
      </c>
      <c r="H2743" s="38" t="s">
        <v>6560</v>
      </c>
      <c r="J2743" s="215">
        <v>1960</v>
      </c>
      <c r="N2743" s="37" t="s">
        <v>6504</v>
      </c>
      <c r="O2743" s="37" t="s">
        <v>6559</v>
      </c>
      <c r="P2743" s="37" t="s">
        <v>1781</v>
      </c>
      <c r="S2743" s="10" t="s">
        <v>2983</v>
      </c>
      <c r="T2743" s="10" t="s">
        <v>6556</v>
      </c>
      <c r="U2743" s="22">
        <v>1</v>
      </c>
      <c r="V2743" s="22">
        <v>28</v>
      </c>
      <c r="W2743" s="73">
        <f t="shared" si="152"/>
        <v>750</v>
      </c>
      <c r="X2743" s="80">
        <f t="shared" si="153"/>
        <v>8796</v>
      </c>
      <c r="Y2743" s="82" t="s">
        <v>3584</v>
      </c>
      <c r="AB2743" s="177">
        <v>44634</v>
      </c>
      <c r="AC2743" s="84" t="s">
        <v>2885</v>
      </c>
    </row>
    <row r="2744" spans="1:29" ht="15.45" customHeight="1" x14ac:dyDescent="0.25">
      <c r="A2744" s="29" t="s">
        <v>7115</v>
      </c>
      <c r="C2744" s="37" t="s">
        <v>2320</v>
      </c>
      <c r="E2744" s="37" t="s">
        <v>2927</v>
      </c>
      <c r="H2744" s="38" t="s">
        <v>6562</v>
      </c>
      <c r="J2744" s="215">
        <v>1960</v>
      </c>
      <c r="N2744" s="37" t="s">
        <v>6504</v>
      </c>
      <c r="O2744" s="37" t="s">
        <v>6559</v>
      </c>
      <c r="P2744" s="37" t="s">
        <v>1781</v>
      </c>
      <c r="S2744" s="10" t="s">
        <v>2983</v>
      </c>
      <c r="T2744" s="10" t="s">
        <v>6556</v>
      </c>
      <c r="U2744" s="22">
        <v>1</v>
      </c>
      <c r="V2744" s="22">
        <v>30</v>
      </c>
      <c r="W2744" s="73">
        <f t="shared" si="152"/>
        <v>780</v>
      </c>
      <c r="X2744" s="80">
        <f t="shared" si="153"/>
        <v>8826</v>
      </c>
      <c r="Y2744" s="82" t="s">
        <v>3584</v>
      </c>
      <c r="AB2744" s="177">
        <v>44634</v>
      </c>
      <c r="AC2744" s="84" t="s">
        <v>2885</v>
      </c>
    </row>
    <row r="2745" spans="1:29" ht="15.45" customHeight="1" x14ac:dyDescent="0.25">
      <c r="A2745" s="29" t="s">
        <v>7113</v>
      </c>
      <c r="C2745" s="37" t="s">
        <v>2320</v>
      </c>
      <c r="E2745" s="37" t="s">
        <v>2927</v>
      </c>
      <c r="H2745" s="38" t="s">
        <v>7114</v>
      </c>
      <c r="J2745" s="215">
        <v>1960</v>
      </c>
      <c r="N2745" s="37" t="s">
        <v>6504</v>
      </c>
      <c r="O2745" s="37" t="s">
        <v>6559</v>
      </c>
      <c r="P2745" s="37" t="s">
        <v>1781</v>
      </c>
      <c r="S2745" s="10" t="s">
        <v>2980</v>
      </c>
      <c r="T2745" s="10" t="s">
        <v>6556</v>
      </c>
      <c r="U2745" s="22">
        <v>1</v>
      </c>
      <c r="V2745" s="22">
        <v>11</v>
      </c>
      <c r="W2745" s="73">
        <f t="shared" ref="W2745:W2752" si="160">W2744+V2745</f>
        <v>791</v>
      </c>
      <c r="X2745" s="80">
        <f t="shared" ref="X2745:X2751" si="161">V2745+X2744</f>
        <v>8837</v>
      </c>
      <c r="Y2745" s="82" t="s">
        <v>3584</v>
      </c>
      <c r="AB2745" s="177">
        <v>44634</v>
      </c>
      <c r="AC2745" s="84" t="s">
        <v>2885</v>
      </c>
    </row>
    <row r="2746" spans="1:29" ht="15.45" customHeight="1" x14ac:dyDescent="0.25">
      <c r="A2746" s="230" t="s">
        <v>6882</v>
      </c>
      <c r="C2746" s="37" t="s">
        <v>2207</v>
      </c>
      <c r="E2746" s="37" t="s">
        <v>2927</v>
      </c>
      <c r="H2746" s="38" t="s">
        <v>3077</v>
      </c>
      <c r="J2746" s="214" t="s">
        <v>4146</v>
      </c>
      <c r="P2746" s="37" t="s">
        <v>1781</v>
      </c>
      <c r="S2746" s="10" t="s">
        <v>2983</v>
      </c>
      <c r="U2746" s="22">
        <v>0</v>
      </c>
      <c r="V2746" s="22">
        <v>0</v>
      </c>
      <c r="W2746" s="73">
        <f t="shared" si="160"/>
        <v>791</v>
      </c>
      <c r="X2746" s="80">
        <f t="shared" si="161"/>
        <v>8837</v>
      </c>
      <c r="Y2746" s="82" t="s">
        <v>3584</v>
      </c>
      <c r="AB2746" s="177">
        <v>43424</v>
      </c>
      <c r="AC2746" s="84" t="s">
        <v>2885</v>
      </c>
    </row>
    <row r="2747" spans="1:29" ht="15.45" customHeight="1" x14ac:dyDescent="0.25">
      <c r="A2747" s="194" t="s">
        <v>6564</v>
      </c>
      <c r="C2747" s="37" t="s">
        <v>2207</v>
      </c>
      <c r="E2747" s="37" t="s">
        <v>2927</v>
      </c>
      <c r="H2747" s="38" t="s">
        <v>6568</v>
      </c>
      <c r="J2747" s="214" t="s">
        <v>4353</v>
      </c>
      <c r="N2747" s="37" t="s">
        <v>2181</v>
      </c>
      <c r="P2747" s="37" t="s">
        <v>1781</v>
      </c>
      <c r="S2747" s="10" t="s">
        <v>3412</v>
      </c>
      <c r="U2747" s="22">
        <v>1</v>
      </c>
      <c r="V2747" s="22">
        <v>22</v>
      </c>
      <c r="W2747" s="73">
        <f t="shared" si="160"/>
        <v>813</v>
      </c>
      <c r="X2747" s="80">
        <f t="shared" si="161"/>
        <v>8859</v>
      </c>
      <c r="Y2747" s="82" t="s">
        <v>3584</v>
      </c>
      <c r="AB2747" s="177">
        <v>44634</v>
      </c>
      <c r="AC2747" s="84" t="s">
        <v>5308</v>
      </c>
    </row>
    <row r="2748" spans="1:29" ht="15.45" customHeight="1" x14ac:dyDescent="0.25">
      <c r="A2748" s="194" t="s">
        <v>6563</v>
      </c>
      <c r="C2748" s="37" t="s">
        <v>2207</v>
      </c>
      <c r="E2748" s="37" t="s">
        <v>2927</v>
      </c>
      <c r="H2748" s="38" t="s">
        <v>6569</v>
      </c>
      <c r="J2748" s="214" t="s">
        <v>4353</v>
      </c>
      <c r="N2748" s="37" t="s">
        <v>2181</v>
      </c>
      <c r="P2748" s="37" t="s">
        <v>1781</v>
      </c>
      <c r="S2748" s="10" t="s">
        <v>2980</v>
      </c>
      <c r="U2748" s="22">
        <v>1</v>
      </c>
      <c r="V2748" s="22">
        <v>11</v>
      </c>
      <c r="W2748" s="73">
        <f t="shared" si="160"/>
        <v>824</v>
      </c>
      <c r="X2748" s="80">
        <f t="shared" si="161"/>
        <v>8870</v>
      </c>
      <c r="Y2748" s="82" t="s">
        <v>3584</v>
      </c>
      <c r="AB2748" s="177">
        <v>44634</v>
      </c>
      <c r="AC2748" s="84" t="s">
        <v>5308</v>
      </c>
    </row>
    <row r="2749" spans="1:29" ht="15.45" customHeight="1" x14ac:dyDescent="0.25">
      <c r="A2749" s="194" t="s">
        <v>7116</v>
      </c>
      <c r="C2749" s="37" t="s">
        <v>2207</v>
      </c>
      <c r="E2749" s="37" t="s">
        <v>2927</v>
      </c>
      <c r="H2749" s="38" t="s">
        <v>7117</v>
      </c>
      <c r="J2749" s="214" t="s">
        <v>4353</v>
      </c>
      <c r="N2749" s="37" t="s">
        <v>2181</v>
      </c>
      <c r="P2749" s="37" t="s">
        <v>1781</v>
      </c>
      <c r="S2749" s="10" t="s">
        <v>2980</v>
      </c>
      <c r="U2749" s="22">
        <v>1</v>
      </c>
      <c r="V2749" s="22">
        <v>28</v>
      </c>
      <c r="W2749" s="73">
        <f t="shared" si="160"/>
        <v>852</v>
      </c>
      <c r="X2749" s="80">
        <f t="shared" si="161"/>
        <v>8898</v>
      </c>
      <c r="Y2749" s="82" t="s">
        <v>3584</v>
      </c>
      <c r="AB2749" s="177">
        <v>44634</v>
      </c>
      <c r="AC2749" s="84" t="s">
        <v>5308</v>
      </c>
    </row>
    <row r="2750" spans="1:29" ht="15.45" customHeight="1" x14ac:dyDescent="0.25">
      <c r="A2750" s="194" t="s">
        <v>6800</v>
      </c>
      <c r="C2750" s="37" t="s">
        <v>2207</v>
      </c>
      <c r="E2750" s="37" t="s">
        <v>2927</v>
      </c>
      <c r="H2750" s="38" t="s">
        <v>6570</v>
      </c>
      <c r="N2750" s="37" t="s">
        <v>5916</v>
      </c>
      <c r="S2750" s="10" t="s">
        <v>2980</v>
      </c>
      <c r="U2750" s="22">
        <v>1</v>
      </c>
      <c r="V2750" s="22">
        <v>8</v>
      </c>
      <c r="W2750" s="73">
        <f t="shared" si="160"/>
        <v>860</v>
      </c>
      <c r="X2750" s="80">
        <f t="shared" si="161"/>
        <v>8906</v>
      </c>
      <c r="Y2750" s="82" t="s">
        <v>3584</v>
      </c>
      <c r="AB2750" s="177">
        <v>44634</v>
      </c>
      <c r="AC2750" s="84" t="s">
        <v>5308</v>
      </c>
    </row>
    <row r="2751" spans="1:29" ht="15.45" customHeight="1" x14ac:dyDescent="0.25">
      <c r="A2751" s="194" t="s">
        <v>6806</v>
      </c>
      <c r="C2751" s="37" t="s">
        <v>2207</v>
      </c>
      <c r="E2751" s="37" t="s">
        <v>2927</v>
      </c>
      <c r="H2751" s="38" t="s">
        <v>6817</v>
      </c>
      <c r="N2751" s="37" t="s">
        <v>5916</v>
      </c>
      <c r="S2751" s="10" t="s">
        <v>2983</v>
      </c>
      <c r="U2751" s="22">
        <v>1</v>
      </c>
      <c r="V2751" s="22">
        <v>9</v>
      </c>
      <c r="W2751" s="73">
        <f t="shared" si="160"/>
        <v>869</v>
      </c>
      <c r="X2751" s="80">
        <f t="shared" si="161"/>
        <v>8915</v>
      </c>
      <c r="Y2751" s="82" t="s">
        <v>3584</v>
      </c>
      <c r="AB2751" s="177">
        <v>44703</v>
      </c>
      <c r="AC2751" s="84" t="s">
        <v>2885</v>
      </c>
    </row>
    <row r="2752" spans="1:29" ht="15.45" customHeight="1" x14ac:dyDescent="0.25">
      <c r="A2752" s="29" t="s">
        <v>6805</v>
      </c>
      <c r="C2752" s="37" t="s">
        <v>2207</v>
      </c>
      <c r="E2752" s="37" t="s">
        <v>2927</v>
      </c>
      <c r="H2752" s="38" t="s">
        <v>6565</v>
      </c>
      <c r="N2752" s="37" t="s">
        <v>5916</v>
      </c>
      <c r="S2752" s="10" t="s">
        <v>3412</v>
      </c>
      <c r="U2752" s="22">
        <v>1</v>
      </c>
      <c r="V2752" s="22">
        <v>3</v>
      </c>
      <c r="W2752" s="73">
        <f t="shared" si="160"/>
        <v>872</v>
      </c>
      <c r="X2752" s="80">
        <f t="shared" si="153"/>
        <v>8918</v>
      </c>
      <c r="Y2752" s="82" t="s">
        <v>3584</v>
      </c>
      <c r="AB2752" s="177">
        <v>44634</v>
      </c>
      <c r="AC2752" s="84" t="s">
        <v>5308</v>
      </c>
    </row>
    <row r="2753" spans="1:29" ht="15.45" customHeight="1" x14ac:dyDescent="0.25">
      <c r="A2753" s="29" t="s">
        <v>6813</v>
      </c>
      <c r="C2753" s="37" t="s">
        <v>2207</v>
      </c>
      <c r="E2753" s="37" t="s">
        <v>2927</v>
      </c>
      <c r="H2753" s="38" t="s">
        <v>6814</v>
      </c>
      <c r="N2753" s="37" t="s">
        <v>5916</v>
      </c>
      <c r="U2753" s="22">
        <v>1</v>
      </c>
      <c r="V2753" s="22">
        <v>74</v>
      </c>
      <c r="W2753" s="73">
        <f t="shared" si="152"/>
        <v>946</v>
      </c>
      <c r="X2753" s="80">
        <f t="shared" si="153"/>
        <v>8992</v>
      </c>
      <c r="Y2753" s="82" t="s">
        <v>3584</v>
      </c>
      <c r="AB2753" s="177">
        <v>44703</v>
      </c>
      <c r="AC2753" s="84" t="s">
        <v>2885</v>
      </c>
    </row>
    <row r="2754" spans="1:29" ht="15.45" customHeight="1" x14ac:dyDescent="0.25">
      <c r="A2754" s="29" t="s">
        <v>3080</v>
      </c>
      <c r="C2754" s="37" t="s">
        <v>2207</v>
      </c>
      <c r="E2754" s="37" t="s">
        <v>2927</v>
      </c>
      <c r="H2754" s="38" t="s">
        <v>3079</v>
      </c>
      <c r="J2754" s="215">
        <v>1975</v>
      </c>
      <c r="N2754" s="37" t="s">
        <v>3078</v>
      </c>
      <c r="S2754" s="10" t="s">
        <v>3412</v>
      </c>
      <c r="U2754" s="22">
        <v>1</v>
      </c>
      <c r="V2754" s="22">
        <v>36</v>
      </c>
      <c r="W2754" s="73">
        <f t="shared" si="152"/>
        <v>982</v>
      </c>
      <c r="X2754" s="80">
        <f t="shared" si="153"/>
        <v>9028</v>
      </c>
      <c r="Y2754" s="82" t="s">
        <v>2539</v>
      </c>
      <c r="Z2754" s="24" t="s">
        <v>2322</v>
      </c>
      <c r="AB2754" s="177">
        <v>43424</v>
      </c>
      <c r="AC2754" s="84" t="s">
        <v>2885</v>
      </c>
    </row>
    <row r="2755" spans="1:29" ht="15.45" customHeight="1" x14ac:dyDescent="0.25">
      <c r="A2755" s="29" t="s">
        <v>6852</v>
      </c>
      <c r="C2755" s="37" t="s">
        <v>2207</v>
      </c>
      <c r="E2755" s="37" t="s">
        <v>2927</v>
      </c>
      <c r="H2755" s="38" t="s">
        <v>6656</v>
      </c>
      <c r="J2755" s="215"/>
      <c r="N2755" s="37" t="s">
        <v>3078</v>
      </c>
      <c r="P2755" s="37" t="s">
        <v>1781</v>
      </c>
      <c r="Q2755" s="37" t="s">
        <v>3506</v>
      </c>
      <c r="R2755" s="37" t="s">
        <v>1792</v>
      </c>
      <c r="S2755" s="10" t="s">
        <v>3412</v>
      </c>
      <c r="T2755" s="10" t="s">
        <v>6657</v>
      </c>
      <c r="U2755" s="22">
        <v>1</v>
      </c>
      <c r="V2755" s="22">
        <v>191</v>
      </c>
      <c r="W2755" s="73">
        <f t="shared" si="152"/>
        <v>1173</v>
      </c>
      <c r="X2755" s="80">
        <f t="shared" si="153"/>
        <v>9219</v>
      </c>
      <c r="Y2755" s="82" t="s">
        <v>3584</v>
      </c>
      <c r="AB2755" s="177">
        <v>44655</v>
      </c>
      <c r="AC2755" s="84" t="s">
        <v>2885</v>
      </c>
    </row>
    <row r="2756" spans="1:29" ht="15.45" customHeight="1" x14ac:dyDescent="0.25">
      <c r="A2756" s="29" t="s">
        <v>6850</v>
      </c>
      <c r="C2756" s="37" t="s">
        <v>2207</v>
      </c>
      <c r="E2756" s="37" t="s">
        <v>2927</v>
      </c>
      <c r="H2756" s="38" t="s">
        <v>6851</v>
      </c>
      <c r="J2756" s="215">
        <v>1977</v>
      </c>
      <c r="N2756" s="37" t="s">
        <v>3081</v>
      </c>
      <c r="P2756" s="37" t="s">
        <v>1781</v>
      </c>
      <c r="Q2756" s="37" t="s">
        <v>3506</v>
      </c>
      <c r="R2756" s="37" t="s">
        <v>1792</v>
      </c>
      <c r="S2756" s="10" t="s">
        <v>3412</v>
      </c>
      <c r="U2756" s="22">
        <v>1</v>
      </c>
      <c r="V2756" s="22">
        <v>24</v>
      </c>
      <c r="W2756" s="73">
        <f t="shared" si="152"/>
        <v>1197</v>
      </c>
      <c r="X2756" s="80">
        <f t="shared" si="153"/>
        <v>9243</v>
      </c>
      <c r="Y2756" s="82" t="s">
        <v>3584</v>
      </c>
      <c r="AB2756" s="177">
        <v>43424</v>
      </c>
      <c r="AC2756" s="84" t="s">
        <v>2885</v>
      </c>
    </row>
    <row r="2757" spans="1:29" ht="15.45" customHeight="1" x14ac:dyDescent="0.25">
      <c r="A2757" s="29" t="s">
        <v>3083</v>
      </c>
      <c r="C2757" s="37" t="s">
        <v>2207</v>
      </c>
      <c r="E2757" s="37" t="s">
        <v>2927</v>
      </c>
      <c r="H2757" s="38" t="s">
        <v>6859</v>
      </c>
      <c r="N2757" s="37" t="s">
        <v>3082</v>
      </c>
      <c r="Q2757" s="37" t="s">
        <v>3506</v>
      </c>
      <c r="R2757" s="37" t="s">
        <v>1792</v>
      </c>
      <c r="S2757" s="10" t="s">
        <v>2983</v>
      </c>
      <c r="U2757" s="22">
        <v>1</v>
      </c>
      <c r="V2757" s="22">
        <v>37</v>
      </c>
      <c r="W2757" s="73">
        <f t="shared" ref="W2757:W2904" si="162">W2756+V2757</f>
        <v>1234</v>
      </c>
      <c r="X2757" s="80">
        <f t="shared" ref="X2757:X2905" si="163">V2757+X2756</f>
        <v>9280</v>
      </c>
      <c r="Y2757" s="82" t="s">
        <v>3584</v>
      </c>
      <c r="AB2757" s="177">
        <v>43424</v>
      </c>
      <c r="AC2757" s="84" t="s">
        <v>2885</v>
      </c>
    </row>
    <row r="2758" spans="1:29" ht="15.45" customHeight="1" x14ac:dyDescent="0.25">
      <c r="A2758" s="29" t="s">
        <v>6860</v>
      </c>
      <c r="C2758" s="37" t="s">
        <v>2207</v>
      </c>
      <c r="E2758" s="37" t="s">
        <v>2927</v>
      </c>
      <c r="H2758" s="38" t="s">
        <v>6857</v>
      </c>
      <c r="J2758" s="215">
        <v>1982</v>
      </c>
      <c r="N2758" s="37" t="s">
        <v>6858</v>
      </c>
      <c r="P2758" s="37" t="s">
        <v>1781</v>
      </c>
      <c r="Q2758" s="37" t="s">
        <v>3506</v>
      </c>
      <c r="R2758" s="37" t="s">
        <v>1792</v>
      </c>
      <c r="S2758" s="10" t="s">
        <v>3412</v>
      </c>
      <c r="U2758" s="22">
        <v>1</v>
      </c>
      <c r="V2758" s="22">
        <v>24</v>
      </c>
      <c r="W2758" s="73">
        <f t="shared" si="162"/>
        <v>1258</v>
      </c>
      <c r="X2758" s="80">
        <f t="shared" si="163"/>
        <v>9304</v>
      </c>
      <c r="Y2758" s="82" t="s">
        <v>3584</v>
      </c>
      <c r="AB2758" s="177">
        <v>43424</v>
      </c>
      <c r="AC2758" s="84" t="s">
        <v>2885</v>
      </c>
    </row>
    <row r="2759" spans="1:29" ht="15.45" customHeight="1" x14ac:dyDescent="0.25">
      <c r="A2759" s="29" t="s">
        <v>6856</v>
      </c>
      <c r="C2759" s="37" t="s">
        <v>2207</v>
      </c>
      <c r="E2759" s="37" t="s">
        <v>2927</v>
      </c>
      <c r="H2759" s="38" t="s">
        <v>6857</v>
      </c>
      <c r="J2759" s="215">
        <v>1982</v>
      </c>
      <c r="N2759" s="37" t="s">
        <v>6858</v>
      </c>
      <c r="P2759" s="37" t="s">
        <v>1781</v>
      </c>
      <c r="Q2759" s="37" t="s">
        <v>3506</v>
      </c>
      <c r="R2759" s="37" t="s">
        <v>1792</v>
      </c>
      <c r="S2759" s="10" t="s">
        <v>3412</v>
      </c>
      <c r="U2759" s="22">
        <v>1</v>
      </c>
      <c r="V2759" s="22">
        <v>24</v>
      </c>
      <c r="W2759" s="73">
        <f t="shared" ref="W2759:W2762" si="164">W2758+V2759</f>
        <v>1282</v>
      </c>
      <c r="X2759" s="80">
        <f t="shared" ref="X2759:X2762" si="165">V2759+X2758</f>
        <v>9328</v>
      </c>
      <c r="Y2759" s="82" t="s">
        <v>3584</v>
      </c>
      <c r="AB2759" s="177">
        <v>43424</v>
      </c>
      <c r="AC2759" s="84" t="s">
        <v>2885</v>
      </c>
    </row>
    <row r="2760" spans="1:29" ht="15.45" customHeight="1" x14ac:dyDescent="0.25">
      <c r="A2760" s="29" t="s">
        <v>6861</v>
      </c>
      <c r="C2760" s="37" t="s">
        <v>2207</v>
      </c>
      <c r="E2760" s="37" t="s">
        <v>2927</v>
      </c>
      <c r="H2760" s="38" t="s">
        <v>6857</v>
      </c>
      <c r="J2760" s="215">
        <v>1982</v>
      </c>
      <c r="N2760" s="37" t="s">
        <v>6858</v>
      </c>
      <c r="P2760" s="37" t="s">
        <v>1781</v>
      </c>
      <c r="Q2760" s="37" t="s">
        <v>3506</v>
      </c>
      <c r="R2760" s="37" t="s">
        <v>1792</v>
      </c>
      <c r="S2760" s="10" t="s">
        <v>3412</v>
      </c>
      <c r="U2760" s="22">
        <v>1</v>
      </c>
      <c r="V2760" s="22">
        <v>24</v>
      </c>
      <c r="W2760" s="73">
        <f t="shared" si="164"/>
        <v>1306</v>
      </c>
      <c r="X2760" s="80">
        <f t="shared" si="165"/>
        <v>9352</v>
      </c>
      <c r="Y2760" s="82" t="s">
        <v>3584</v>
      </c>
      <c r="AB2760" s="177">
        <v>43424</v>
      </c>
      <c r="AC2760" s="84" t="s">
        <v>2885</v>
      </c>
    </row>
    <row r="2761" spans="1:29" ht="15.45" customHeight="1" x14ac:dyDescent="0.25">
      <c r="A2761" s="29" t="s">
        <v>6840</v>
      </c>
      <c r="C2761" s="37" t="s">
        <v>2323</v>
      </c>
      <c r="E2761" s="37" t="s">
        <v>2927</v>
      </c>
      <c r="H2761" s="38" t="s">
        <v>6838</v>
      </c>
      <c r="J2761" s="214" t="s">
        <v>5801</v>
      </c>
      <c r="N2761" s="37" t="s">
        <v>3084</v>
      </c>
      <c r="P2761" s="37" t="s">
        <v>6839</v>
      </c>
      <c r="Q2761" s="37" t="s">
        <v>3506</v>
      </c>
      <c r="R2761" s="37" t="s">
        <v>1792</v>
      </c>
      <c r="S2761" s="10" t="s">
        <v>3412</v>
      </c>
      <c r="U2761" s="22">
        <v>1</v>
      </c>
      <c r="V2761" s="22">
        <v>192</v>
      </c>
      <c r="W2761" s="73">
        <f t="shared" si="164"/>
        <v>1498</v>
      </c>
      <c r="X2761" s="80">
        <f t="shared" si="165"/>
        <v>9544</v>
      </c>
      <c r="Y2761" s="82" t="s">
        <v>3584</v>
      </c>
      <c r="AB2761" s="177">
        <v>43424</v>
      </c>
      <c r="AC2761" s="84" t="s">
        <v>2885</v>
      </c>
    </row>
    <row r="2762" spans="1:29" ht="15.45" customHeight="1" x14ac:dyDescent="0.25">
      <c r="A2762" s="29" t="s">
        <v>6829</v>
      </c>
      <c r="C2762" s="37" t="s">
        <v>2207</v>
      </c>
      <c r="E2762" s="37" t="s">
        <v>2927</v>
      </c>
      <c r="H2762" s="38" t="s">
        <v>6827</v>
      </c>
      <c r="J2762" s="214" t="s">
        <v>5029</v>
      </c>
      <c r="N2762" s="37" t="s">
        <v>6828</v>
      </c>
      <c r="P2762" s="37" t="s">
        <v>1781</v>
      </c>
      <c r="Q2762" s="37" t="s">
        <v>3506</v>
      </c>
      <c r="R2762" s="37" t="s">
        <v>1792</v>
      </c>
      <c r="S2762" s="10" t="s">
        <v>3412</v>
      </c>
      <c r="T2762" s="10" t="s">
        <v>3098</v>
      </c>
      <c r="U2762" s="22">
        <v>1</v>
      </c>
      <c r="V2762" s="22">
        <v>179</v>
      </c>
      <c r="W2762" s="73">
        <f t="shared" si="164"/>
        <v>1677</v>
      </c>
      <c r="X2762" s="80">
        <f t="shared" si="165"/>
        <v>9723</v>
      </c>
      <c r="Y2762" s="82" t="s">
        <v>4059</v>
      </c>
      <c r="Z2762" s="24" t="s">
        <v>2322</v>
      </c>
      <c r="AB2762" s="177">
        <v>43424</v>
      </c>
      <c r="AC2762" s="84" t="s">
        <v>2885</v>
      </c>
    </row>
    <row r="2763" spans="1:29" ht="15.45" customHeight="1" x14ac:dyDescent="0.25">
      <c r="A2763" s="29" t="s">
        <v>6830</v>
      </c>
      <c r="C2763" s="37" t="s">
        <v>2207</v>
      </c>
      <c r="E2763" s="37" t="s">
        <v>2927</v>
      </c>
      <c r="H2763" s="38" t="s">
        <v>6827</v>
      </c>
      <c r="J2763" s="214" t="s">
        <v>5029</v>
      </c>
      <c r="N2763" s="37" t="s">
        <v>6828</v>
      </c>
      <c r="P2763" s="37" t="s">
        <v>1781</v>
      </c>
      <c r="Q2763" s="37" t="s">
        <v>3506</v>
      </c>
      <c r="R2763" s="37" t="s">
        <v>1792</v>
      </c>
      <c r="S2763" s="10" t="s">
        <v>3412</v>
      </c>
      <c r="U2763" s="22">
        <v>1</v>
      </c>
      <c r="V2763" s="22">
        <v>179</v>
      </c>
      <c r="W2763" s="73">
        <f t="shared" si="162"/>
        <v>1856</v>
      </c>
      <c r="X2763" s="80">
        <f t="shared" si="163"/>
        <v>9902</v>
      </c>
      <c r="Y2763" s="82" t="s">
        <v>4059</v>
      </c>
      <c r="Z2763" s="24" t="s">
        <v>2322</v>
      </c>
      <c r="AB2763" s="177">
        <v>43424</v>
      </c>
      <c r="AC2763" s="84" t="s">
        <v>2885</v>
      </c>
    </row>
    <row r="2764" spans="1:29" ht="15.45" customHeight="1" x14ac:dyDescent="0.25">
      <c r="A2764" s="29" t="s">
        <v>6832</v>
      </c>
      <c r="C2764" s="37" t="s">
        <v>2207</v>
      </c>
      <c r="E2764" s="37" t="s">
        <v>2927</v>
      </c>
      <c r="H2764" s="38" t="s">
        <v>6834</v>
      </c>
      <c r="N2764" s="37" t="s">
        <v>3085</v>
      </c>
      <c r="P2764" s="37" t="s">
        <v>4527</v>
      </c>
      <c r="Q2764" s="37" t="s">
        <v>3506</v>
      </c>
      <c r="R2764" s="37" t="s">
        <v>1792</v>
      </c>
      <c r="S2764" s="10" t="s">
        <v>2983</v>
      </c>
      <c r="T2764" s="10" t="s">
        <v>6833</v>
      </c>
      <c r="U2764" s="22">
        <v>1</v>
      </c>
      <c r="V2764" s="22">
        <v>244</v>
      </c>
      <c r="W2764" s="73">
        <f t="shared" si="162"/>
        <v>2100</v>
      </c>
      <c r="X2764" s="80">
        <f t="shared" si="163"/>
        <v>10146</v>
      </c>
      <c r="Y2764" s="82" t="s">
        <v>3584</v>
      </c>
      <c r="Z2764" s="24" t="s">
        <v>2322</v>
      </c>
      <c r="AB2764" s="177">
        <v>43424</v>
      </c>
      <c r="AC2764" s="84" t="s">
        <v>2885</v>
      </c>
    </row>
    <row r="2765" spans="1:29" ht="15.45" customHeight="1" x14ac:dyDescent="0.25">
      <c r="A2765" s="29" t="s">
        <v>6831</v>
      </c>
      <c r="C2765" s="37" t="s">
        <v>2207</v>
      </c>
      <c r="E2765" s="37" t="s">
        <v>2927</v>
      </c>
      <c r="H2765" s="38" t="s">
        <v>6834</v>
      </c>
      <c r="N2765" s="37" t="s">
        <v>3085</v>
      </c>
      <c r="P2765" s="37" t="s">
        <v>4527</v>
      </c>
      <c r="Q2765" s="37" t="s">
        <v>3506</v>
      </c>
      <c r="R2765" s="37" t="s">
        <v>1792</v>
      </c>
      <c r="S2765" s="10" t="s">
        <v>3412</v>
      </c>
      <c r="U2765" s="22">
        <v>1</v>
      </c>
      <c r="V2765" s="22">
        <v>276</v>
      </c>
      <c r="W2765" s="73">
        <f t="shared" ref="W2765:W2766" si="166">W2764+V2765</f>
        <v>2376</v>
      </c>
      <c r="X2765" s="80">
        <f t="shared" ref="X2765:X2766" si="167">V2765+X2764</f>
        <v>10422</v>
      </c>
      <c r="Y2765" s="82" t="s">
        <v>3584</v>
      </c>
      <c r="Z2765" s="24" t="s">
        <v>2322</v>
      </c>
      <c r="AB2765" s="177">
        <v>43424</v>
      </c>
      <c r="AC2765" s="84" t="s">
        <v>2885</v>
      </c>
    </row>
    <row r="2766" spans="1:29" ht="15.45" customHeight="1" x14ac:dyDescent="0.25">
      <c r="A2766" s="29" t="s">
        <v>6835</v>
      </c>
      <c r="C2766" s="37" t="s">
        <v>2207</v>
      </c>
      <c r="E2766" s="37" t="s">
        <v>2927</v>
      </c>
      <c r="H2766" s="38" t="s">
        <v>6837</v>
      </c>
      <c r="J2766" s="215">
        <v>1978</v>
      </c>
      <c r="N2766" s="37" t="s">
        <v>3086</v>
      </c>
      <c r="P2766" s="37" t="s">
        <v>1781</v>
      </c>
      <c r="Q2766" s="37" t="s">
        <v>3506</v>
      </c>
      <c r="R2766" s="37" t="s">
        <v>1792</v>
      </c>
      <c r="S2766" s="10" t="s">
        <v>2983</v>
      </c>
      <c r="T2766" s="10" t="s">
        <v>6836</v>
      </c>
      <c r="U2766" s="22">
        <v>1</v>
      </c>
      <c r="V2766" s="22">
        <v>240</v>
      </c>
      <c r="W2766" s="73">
        <f t="shared" si="166"/>
        <v>2616</v>
      </c>
      <c r="X2766" s="80">
        <f t="shared" si="167"/>
        <v>10662</v>
      </c>
      <c r="Y2766" s="82" t="s">
        <v>3584</v>
      </c>
      <c r="Z2766" s="24" t="s">
        <v>2322</v>
      </c>
      <c r="AB2766" s="177">
        <v>43424</v>
      </c>
      <c r="AC2766" s="84" t="s">
        <v>2885</v>
      </c>
    </row>
    <row r="2767" spans="1:29" ht="15.45" customHeight="1" x14ac:dyDescent="0.25">
      <c r="A2767" s="29" t="s">
        <v>6862</v>
      </c>
      <c r="C2767" s="37" t="s">
        <v>2207</v>
      </c>
      <c r="E2767" s="37" t="s">
        <v>2927</v>
      </c>
      <c r="H2767" s="38" t="s">
        <v>6888</v>
      </c>
      <c r="J2767" s="215">
        <v>1981</v>
      </c>
      <c r="N2767" s="37" t="s">
        <v>3084</v>
      </c>
      <c r="P2767" s="37" t="s">
        <v>1781</v>
      </c>
      <c r="Q2767" s="37" t="s">
        <v>3506</v>
      </c>
      <c r="R2767" s="37" t="s">
        <v>1792</v>
      </c>
      <c r="S2767" s="10" t="s">
        <v>3412</v>
      </c>
      <c r="U2767" s="22">
        <v>1</v>
      </c>
      <c r="V2767" s="22">
        <v>36</v>
      </c>
      <c r="W2767" s="73">
        <f t="shared" ref="W2767" si="168">W2766+V2767</f>
        <v>2652</v>
      </c>
      <c r="X2767" s="80">
        <f t="shared" ref="X2767" si="169">V2767+X2766</f>
        <v>10698</v>
      </c>
      <c r="Y2767" s="82" t="s">
        <v>4059</v>
      </c>
      <c r="Z2767" s="24" t="s">
        <v>2322</v>
      </c>
      <c r="AB2767" s="177">
        <v>43424</v>
      </c>
      <c r="AC2767" s="84" t="s">
        <v>2885</v>
      </c>
    </row>
    <row r="2768" spans="1:29" ht="15.45" customHeight="1" x14ac:dyDescent="0.25">
      <c r="A2768" s="29" t="s">
        <v>6863</v>
      </c>
      <c r="C2768" s="37" t="s">
        <v>2207</v>
      </c>
      <c r="E2768" s="37" t="s">
        <v>2927</v>
      </c>
      <c r="H2768" s="38" t="s">
        <v>6888</v>
      </c>
      <c r="J2768" s="215">
        <v>1981</v>
      </c>
      <c r="N2768" s="37" t="s">
        <v>3084</v>
      </c>
      <c r="P2768" s="37" t="s">
        <v>1781</v>
      </c>
      <c r="Q2768" s="37" t="s">
        <v>3506</v>
      </c>
      <c r="R2768" s="37" t="s">
        <v>1792</v>
      </c>
      <c r="S2768" s="10" t="s">
        <v>3412</v>
      </c>
      <c r="U2768" s="22">
        <v>1</v>
      </c>
      <c r="V2768" s="22">
        <v>36</v>
      </c>
      <c r="W2768" s="73">
        <f t="shared" ref="W2768:W2780" si="170">W2767+V2768</f>
        <v>2688</v>
      </c>
      <c r="X2768" s="80">
        <f t="shared" ref="X2768:X2779" si="171">V2768+X2767</f>
        <v>10734</v>
      </c>
      <c r="Y2768" s="82" t="s">
        <v>4059</v>
      </c>
      <c r="Z2768" s="24" t="s">
        <v>2322</v>
      </c>
      <c r="AB2768" s="177">
        <v>43424</v>
      </c>
      <c r="AC2768" s="84" t="s">
        <v>2885</v>
      </c>
    </row>
    <row r="2769" spans="1:29" ht="15.45" customHeight="1" x14ac:dyDescent="0.25">
      <c r="A2769" s="29" t="s">
        <v>6864</v>
      </c>
      <c r="C2769" s="37" t="s">
        <v>2207</v>
      </c>
      <c r="E2769" s="37" t="s">
        <v>2927</v>
      </c>
      <c r="H2769" s="38" t="s">
        <v>6888</v>
      </c>
      <c r="J2769" s="215">
        <v>1981</v>
      </c>
      <c r="N2769" s="37" t="s">
        <v>3084</v>
      </c>
      <c r="P2769" s="37" t="s">
        <v>1781</v>
      </c>
      <c r="Q2769" s="37" t="s">
        <v>3506</v>
      </c>
      <c r="R2769" s="37" t="s">
        <v>1792</v>
      </c>
      <c r="S2769" s="10" t="s">
        <v>3412</v>
      </c>
      <c r="U2769" s="22">
        <v>1</v>
      </c>
      <c r="V2769" s="22">
        <v>36</v>
      </c>
      <c r="W2769" s="73">
        <f t="shared" si="170"/>
        <v>2724</v>
      </c>
      <c r="X2769" s="80">
        <f t="shared" si="171"/>
        <v>10770</v>
      </c>
      <c r="Y2769" s="82" t="s">
        <v>4059</v>
      </c>
      <c r="Z2769" s="24" t="s">
        <v>2322</v>
      </c>
      <c r="AB2769" s="177">
        <v>43424</v>
      </c>
      <c r="AC2769" s="84" t="s">
        <v>2885</v>
      </c>
    </row>
    <row r="2770" spans="1:29" ht="15.45" customHeight="1" x14ac:dyDescent="0.25">
      <c r="A2770" s="29" t="s">
        <v>6865</v>
      </c>
      <c r="C2770" s="37" t="s">
        <v>2207</v>
      </c>
      <c r="E2770" s="37" t="s">
        <v>2927</v>
      </c>
      <c r="H2770" s="38" t="s">
        <v>6888</v>
      </c>
      <c r="J2770" s="215">
        <v>1981</v>
      </c>
      <c r="N2770" s="37" t="s">
        <v>3084</v>
      </c>
      <c r="P2770" s="37" t="s">
        <v>1781</v>
      </c>
      <c r="Q2770" s="37" t="s">
        <v>3506</v>
      </c>
      <c r="R2770" s="37" t="s">
        <v>1792</v>
      </c>
      <c r="S2770" s="10" t="s">
        <v>3412</v>
      </c>
      <c r="U2770" s="22">
        <v>1</v>
      </c>
      <c r="V2770" s="22">
        <v>36</v>
      </c>
      <c r="W2770" s="73">
        <f t="shared" si="170"/>
        <v>2760</v>
      </c>
      <c r="X2770" s="80">
        <f t="shared" si="171"/>
        <v>10806</v>
      </c>
      <c r="Y2770" s="82" t="s">
        <v>4059</v>
      </c>
      <c r="Z2770" s="24" t="s">
        <v>2322</v>
      </c>
      <c r="AB2770" s="177">
        <v>43424</v>
      </c>
      <c r="AC2770" s="84" t="s">
        <v>2885</v>
      </c>
    </row>
    <row r="2771" spans="1:29" ht="15.45" customHeight="1" x14ac:dyDescent="0.25">
      <c r="A2771" s="29" t="s">
        <v>6866</v>
      </c>
      <c r="C2771" s="37" t="s">
        <v>2207</v>
      </c>
      <c r="E2771" s="37" t="s">
        <v>2927</v>
      </c>
      <c r="H2771" s="38" t="s">
        <v>6888</v>
      </c>
      <c r="J2771" s="215">
        <v>1981</v>
      </c>
      <c r="N2771" s="37" t="s">
        <v>3084</v>
      </c>
      <c r="P2771" s="37" t="s">
        <v>1781</v>
      </c>
      <c r="Q2771" s="37" t="s">
        <v>3506</v>
      </c>
      <c r="R2771" s="37" t="s">
        <v>1792</v>
      </c>
      <c r="S2771" s="10" t="s">
        <v>3412</v>
      </c>
      <c r="U2771" s="22">
        <v>1</v>
      </c>
      <c r="V2771" s="22">
        <v>36</v>
      </c>
      <c r="W2771" s="73">
        <f t="shared" si="170"/>
        <v>2796</v>
      </c>
      <c r="X2771" s="80">
        <f t="shared" si="171"/>
        <v>10842</v>
      </c>
      <c r="Y2771" s="82" t="s">
        <v>4059</v>
      </c>
      <c r="Z2771" s="24" t="s">
        <v>2322</v>
      </c>
      <c r="AB2771" s="177">
        <v>43424</v>
      </c>
      <c r="AC2771" s="84" t="s">
        <v>2885</v>
      </c>
    </row>
    <row r="2772" spans="1:29" ht="15.45" customHeight="1" x14ac:dyDescent="0.25">
      <c r="A2772" s="29" t="s">
        <v>6867</v>
      </c>
      <c r="C2772" s="37" t="s">
        <v>2207</v>
      </c>
      <c r="E2772" s="37" t="s">
        <v>2927</v>
      </c>
      <c r="H2772" s="38" t="s">
        <v>6888</v>
      </c>
      <c r="J2772" s="215">
        <v>1981</v>
      </c>
      <c r="N2772" s="37" t="s">
        <v>3084</v>
      </c>
      <c r="P2772" s="37" t="s">
        <v>1781</v>
      </c>
      <c r="Q2772" s="37" t="s">
        <v>3506</v>
      </c>
      <c r="R2772" s="37" t="s">
        <v>1792</v>
      </c>
      <c r="S2772" s="10" t="s">
        <v>3412</v>
      </c>
      <c r="U2772" s="22">
        <v>1</v>
      </c>
      <c r="V2772" s="22">
        <v>36</v>
      </c>
      <c r="W2772" s="73">
        <f t="shared" si="170"/>
        <v>2832</v>
      </c>
      <c r="X2772" s="80">
        <f t="shared" si="171"/>
        <v>10878</v>
      </c>
      <c r="Y2772" s="82" t="s">
        <v>4059</v>
      </c>
      <c r="Z2772" s="24" t="s">
        <v>2322</v>
      </c>
      <c r="AB2772" s="177">
        <v>43424</v>
      </c>
      <c r="AC2772" s="84" t="s">
        <v>2885</v>
      </c>
    </row>
    <row r="2773" spans="1:29" ht="15.45" customHeight="1" x14ac:dyDescent="0.25">
      <c r="A2773" s="29" t="s">
        <v>6868</v>
      </c>
      <c r="C2773" s="37" t="s">
        <v>2207</v>
      </c>
      <c r="E2773" s="37" t="s">
        <v>2927</v>
      </c>
      <c r="H2773" s="38" t="s">
        <v>6888</v>
      </c>
      <c r="J2773" s="215">
        <v>1981</v>
      </c>
      <c r="N2773" s="37" t="s">
        <v>3084</v>
      </c>
      <c r="P2773" s="37" t="s">
        <v>1781</v>
      </c>
      <c r="Q2773" s="37" t="s">
        <v>3506</v>
      </c>
      <c r="R2773" s="37" t="s">
        <v>1792</v>
      </c>
      <c r="S2773" s="10" t="s">
        <v>3412</v>
      </c>
      <c r="U2773" s="22">
        <v>1</v>
      </c>
      <c r="V2773" s="22">
        <v>36</v>
      </c>
      <c r="W2773" s="73">
        <f t="shared" si="170"/>
        <v>2868</v>
      </c>
      <c r="X2773" s="80">
        <f t="shared" si="171"/>
        <v>10914</v>
      </c>
      <c r="Y2773" s="82" t="s">
        <v>4059</v>
      </c>
      <c r="Z2773" s="24" t="s">
        <v>2322</v>
      </c>
      <c r="AB2773" s="177">
        <v>43424</v>
      </c>
      <c r="AC2773" s="84" t="s">
        <v>2885</v>
      </c>
    </row>
    <row r="2774" spans="1:29" ht="15.45" customHeight="1" x14ac:dyDescent="0.25">
      <c r="A2774" s="29" t="s">
        <v>6869</v>
      </c>
      <c r="C2774" s="37" t="s">
        <v>2207</v>
      </c>
      <c r="E2774" s="37" t="s">
        <v>2927</v>
      </c>
      <c r="H2774" s="38" t="s">
        <v>6888</v>
      </c>
      <c r="J2774" s="215">
        <v>1981</v>
      </c>
      <c r="N2774" s="37" t="s">
        <v>3084</v>
      </c>
      <c r="P2774" s="37" t="s">
        <v>1781</v>
      </c>
      <c r="Q2774" s="37" t="s">
        <v>3506</v>
      </c>
      <c r="R2774" s="37" t="s">
        <v>1792</v>
      </c>
      <c r="S2774" s="10" t="s">
        <v>3412</v>
      </c>
      <c r="U2774" s="22">
        <v>1</v>
      </c>
      <c r="V2774" s="22">
        <v>36</v>
      </c>
      <c r="W2774" s="73">
        <f t="shared" si="170"/>
        <v>2904</v>
      </c>
      <c r="X2774" s="80">
        <f t="shared" si="171"/>
        <v>10950</v>
      </c>
      <c r="Y2774" s="82" t="s">
        <v>4059</v>
      </c>
      <c r="Z2774" s="24" t="s">
        <v>2322</v>
      </c>
      <c r="AB2774" s="177">
        <v>43424</v>
      </c>
      <c r="AC2774" s="84" t="s">
        <v>2885</v>
      </c>
    </row>
    <row r="2775" spans="1:29" ht="15.45" customHeight="1" x14ac:dyDescent="0.25">
      <c r="A2775" s="29" t="s">
        <v>6870</v>
      </c>
      <c r="C2775" s="37" t="s">
        <v>2207</v>
      </c>
      <c r="E2775" s="37" t="s">
        <v>2927</v>
      </c>
      <c r="H2775" s="38" t="s">
        <v>6888</v>
      </c>
      <c r="J2775" s="215">
        <v>1981</v>
      </c>
      <c r="N2775" s="37" t="s">
        <v>3084</v>
      </c>
      <c r="P2775" s="37" t="s">
        <v>1781</v>
      </c>
      <c r="Q2775" s="37" t="s">
        <v>3506</v>
      </c>
      <c r="R2775" s="37" t="s">
        <v>1792</v>
      </c>
      <c r="S2775" s="10" t="s">
        <v>3412</v>
      </c>
      <c r="U2775" s="22">
        <v>1</v>
      </c>
      <c r="V2775" s="22">
        <v>36</v>
      </c>
      <c r="W2775" s="73">
        <f t="shared" si="170"/>
        <v>2940</v>
      </c>
      <c r="X2775" s="80">
        <f t="shared" si="171"/>
        <v>10986</v>
      </c>
      <c r="Y2775" s="82" t="s">
        <v>4059</v>
      </c>
      <c r="Z2775" s="24" t="s">
        <v>2322</v>
      </c>
      <c r="AB2775" s="177">
        <v>43424</v>
      </c>
      <c r="AC2775" s="84" t="s">
        <v>2885</v>
      </c>
    </row>
    <row r="2776" spans="1:29" ht="15.45" customHeight="1" x14ac:dyDescent="0.25">
      <c r="A2776" s="29" t="s">
        <v>6871</v>
      </c>
      <c r="C2776" s="37" t="s">
        <v>2207</v>
      </c>
      <c r="E2776" s="37" t="s">
        <v>2927</v>
      </c>
      <c r="H2776" s="38" t="s">
        <v>6888</v>
      </c>
      <c r="J2776" s="215">
        <v>1981</v>
      </c>
      <c r="N2776" s="37" t="s">
        <v>3084</v>
      </c>
      <c r="P2776" s="37" t="s">
        <v>1781</v>
      </c>
      <c r="Q2776" s="37" t="s">
        <v>3506</v>
      </c>
      <c r="R2776" s="37" t="s">
        <v>1792</v>
      </c>
      <c r="S2776" s="10" t="s">
        <v>3412</v>
      </c>
      <c r="U2776" s="22">
        <v>1</v>
      </c>
      <c r="V2776" s="22">
        <v>36</v>
      </c>
      <c r="W2776" s="73">
        <f t="shared" si="170"/>
        <v>2976</v>
      </c>
      <c r="X2776" s="80">
        <f t="shared" si="171"/>
        <v>11022</v>
      </c>
      <c r="Y2776" s="82" t="s">
        <v>4059</v>
      </c>
      <c r="Z2776" s="24" t="s">
        <v>2322</v>
      </c>
      <c r="AB2776" s="177">
        <v>43424</v>
      </c>
      <c r="AC2776" s="84" t="s">
        <v>2885</v>
      </c>
    </row>
    <row r="2777" spans="1:29" ht="15.45" customHeight="1" x14ac:dyDescent="0.25">
      <c r="A2777" s="29" t="s">
        <v>6844</v>
      </c>
      <c r="C2777" s="37" t="s">
        <v>2207</v>
      </c>
      <c r="E2777" s="37" t="s">
        <v>2927</v>
      </c>
      <c r="H2777" s="38" t="s">
        <v>6845</v>
      </c>
      <c r="J2777" s="215">
        <v>1996</v>
      </c>
      <c r="N2777" s="37" t="s">
        <v>6846</v>
      </c>
      <c r="P2777" s="37" t="s">
        <v>1781</v>
      </c>
      <c r="Q2777" s="37" t="s">
        <v>3506</v>
      </c>
      <c r="R2777" s="37" t="s">
        <v>1792</v>
      </c>
      <c r="S2777" s="10" t="s">
        <v>3412</v>
      </c>
      <c r="U2777" s="22">
        <v>1</v>
      </c>
      <c r="V2777" s="22">
        <v>40</v>
      </c>
      <c r="W2777" s="73">
        <f t="shared" si="170"/>
        <v>3016</v>
      </c>
      <c r="X2777" s="80">
        <f t="shared" si="171"/>
        <v>11062</v>
      </c>
      <c r="Y2777" s="82" t="s">
        <v>2539</v>
      </c>
      <c r="Z2777" s="24" t="s">
        <v>2322</v>
      </c>
      <c r="AB2777" s="177">
        <v>43424</v>
      </c>
      <c r="AC2777" s="84" t="s">
        <v>2885</v>
      </c>
    </row>
    <row r="2778" spans="1:29" ht="15.45" customHeight="1" x14ac:dyDescent="0.25">
      <c r="A2778" s="29" t="s">
        <v>6848</v>
      </c>
      <c r="C2778" s="37" t="s">
        <v>2207</v>
      </c>
      <c r="E2778" s="37" t="s">
        <v>2927</v>
      </c>
      <c r="H2778" s="38" t="s">
        <v>6972</v>
      </c>
      <c r="J2778" s="215">
        <v>1987</v>
      </c>
      <c r="N2778" s="37" t="s">
        <v>5594</v>
      </c>
      <c r="P2778" s="37" t="s">
        <v>1781</v>
      </c>
      <c r="Q2778" s="37" t="s">
        <v>3506</v>
      </c>
      <c r="R2778" s="37" t="s">
        <v>1792</v>
      </c>
      <c r="S2778" s="10" t="s">
        <v>2983</v>
      </c>
      <c r="T2778" s="10" t="s">
        <v>6849</v>
      </c>
      <c r="U2778" s="22">
        <v>1</v>
      </c>
      <c r="V2778" s="22">
        <v>93</v>
      </c>
      <c r="W2778" s="73">
        <f t="shared" si="170"/>
        <v>3109</v>
      </c>
      <c r="X2778" s="80">
        <f t="shared" si="171"/>
        <v>11155</v>
      </c>
      <c r="Y2778" s="82" t="s">
        <v>2539</v>
      </c>
      <c r="Z2778" s="24" t="s">
        <v>2322</v>
      </c>
      <c r="AB2778" s="177">
        <v>43424</v>
      </c>
      <c r="AC2778" s="84" t="s">
        <v>2885</v>
      </c>
    </row>
    <row r="2779" spans="1:29" ht="15.45" customHeight="1" x14ac:dyDescent="0.25">
      <c r="A2779" s="29" t="s">
        <v>6847</v>
      </c>
      <c r="C2779" s="37" t="s">
        <v>2207</v>
      </c>
      <c r="E2779" s="37" t="s">
        <v>2927</v>
      </c>
      <c r="H2779" s="38" t="s">
        <v>7008</v>
      </c>
      <c r="J2779" s="215"/>
      <c r="N2779" s="37" t="s">
        <v>2826</v>
      </c>
      <c r="Q2779" s="37" t="s">
        <v>3506</v>
      </c>
      <c r="R2779" s="37" t="s">
        <v>1792</v>
      </c>
      <c r="S2779" s="10" t="s">
        <v>2981</v>
      </c>
      <c r="U2779" s="22">
        <v>1</v>
      </c>
      <c r="V2779" s="22">
        <v>26</v>
      </c>
      <c r="W2779" s="73">
        <f t="shared" si="170"/>
        <v>3135</v>
      </c>
      <c r="X2779" s="80">
        <f t="shared" si="171"/>
        <v>11181</v>
      </c>
      <c r="Y2779" s="82" t="s">
        <v>2986</v>
      </c>
      <c r="Z2779" s="24" t="s">
        <v>2322</v>
      </c>
      <c r="AB2779" s="177">
        <v>43424</v>
      </c>
      <c r="AC2779" s="84" t="s">
        <v>2885</v>
      </c>
    </row>
    <row r="2780" spans="1:29" ht="15.45" customHeight="1" x14ac:dyDescent="0.25">
      <c r="A2780" s="29" t="s">
        <v>6853</v>
      </c>
      <c r="C2780" s="37" t="s">
        <v>2207</v>
      </c>
      <c r="E2780" s="37" t="s">
        <v>2927</v>
      </c>
      <c r="H2780" s="38" t="s">
        <v>6854</v>
      </c>
      <c r="J2780" s="214" t="s">
        <v>5916</v>
      </c>
      <c r="N2780" s="37" t="s">
        <v>2826</v>
      </c>
      <c r="Q2780" s="37" t="s">
        <v>3506</v>
      </c>
      <c r="R2780" s="37" t="s">
        <v>1792</v>
      </c>
      <c r="S2780" s="10" t="s">
        <v>2983</v>
      </c>
      <c r="T2780" s="10" t="s">
        <v>6855</v>
      </c>
      <c r="U2780" s="22">
        <v>1</v>
      </c>
      <c r="V2780" s="22">
        <v>413</v>
      </c>
      <c r="W2780" s="73">
        <f t="shared" si="170"/>
        <v>3548</v>
      </c>
      <c r="X2780" s="80">
        <f t="shared" ref="X2780" si="172">V2780+X2779</f>
        <v>11594</v>
      </c>
      <c r="Y2780" s="82" t="s">
        <v>3584</v>
      </c>
      <c r="AB2780" s="177">
        <v>43424</v>
      </c>
      <c r="AC2780" s="84" t="s">
        <v>2885</v>
      </c>
    </row>
    <row r="2781" spans="1:29" ht="15.45" customHeight="1" x14ac:dyDescent="0.25">
      <c r="A2781" s="29" t="s">
        <v>6843</v>
      </c>
      <c r="C2781" s="37" t="s">
        <v>2314</v>
      </c>
      <c r="E2781" s="37" t="s">
        <v>2927</v>
      </c>
      <c r="H2781" s="38" t="s">
        <v>6841</v>
      </c>
      <c r="J2781" s="215">
        <v>1976</v>
      </c>
      <c r="N2781" s="37" t="s">
        <v>6623</v>
      </c>
      <c r="P2781" s="37" t="s">
        <v>1781</v>
      </c>
      <c r="Q2781" s="37" t="s">
        <v>3506</v>
      </c>
      <c r="R2781" s="37" t="s">
        <v>1792</v>
      </c>
      <c r="S2781" s="10" t="s">
        <v>3412</v>
      </c>
      <c r="T2781" s="10" t="s">
        <v>6842</v>
      </c>
      <c r="U2781" s="22">
        <v>1</v>
      </c>
      <c r="V2781" s="22">
        <v>399</v>
      </c>
      <c r="W2781" s="73">
        <f t="shared" ref="W2781" si="173">W2780+V2781</f>
        <v>3947</v>
      </c>
      <c r="X2781" s="80">
        <f t="shared" ref="X2781" si="174">V2781+X2780</f>
        <v>11993</v>
      </c>
      <c r="Y2781" s="82" t="s">
        <v>3584</v>
      </c>
      <c r="AB2781" s="177">
        <v>43424</v>
      </c>
      <c r="AC2781" s="84" t="s">
        <v>2885</v>
      </c>
    </row>
    <row r="2782" spans="1:29" ht="15.45" customHeight="1" x14ac:dyDescent="0.25">
      <c r="A2782" s="29" t="s">
        <v>6692</v>
      </c>
      <c r="C2782" s="37" t="s">
        <v>2314</v>
      </c>
      <c r="E2782" s="37" t="s">
        <v>2927</v>
      </c>
      <c r="H2782" s="38" t="s">
        <v>6807</v>
      </c>
      <c r="J2782" s="215" t="s">
        <v>3406</v>
      </c>
      <c r="N2782" s="37" t="s">
        <v>6693</v>
      </c>
      <c r="Q2782" s="37" t="s">
        <v>6694</v>
      </c>
      <c r="R2782" s="37" t="s">
        <v>1792</v>
      </c>
      <c r="S2782" s="10" t="s">
        <v>3412</v>
      </c>
      <c r="U2782" s="22">
        <v>1</v>
      </c>
      <c r="V2782" s="22">
        <v>8</v>
      </c>
      <c r="W2782" s="73">
        <f t="shared" si="162"/>
        <v>3955</v>
      </c>
      <c r="X2782" s="80">
        <f t="shared" si="163"/>
        <v>12001</v>
      </c>
      <c r="Y2782" s="82" t="s">
        <v>3584</v>
      </c>
      <c r="AB2782" s="177">
        <v>44656</v>
      </c>
      <c r="AC2782" s="84" t="s">
        <v>2885</v>
      </c>
    </row>
    <row r="2783" spans="1:29" ht="15.45" customHeight="1" x14ac:dyDescent="0.25">
      <c r="A2783" s="29" t="s">
        <v>6808</v>
      </c>
      <c r="C2783" s="37" t="s">
        <v>2314</v>
      </c>
      <c r="E2783" s="37" t="s">
        <v>2927</v>
      </c>
      <c r="H2783" s="38" t="s">
        <v>6973</v>
      </c>
      <c r="J2783" s="215">
        <v>1988</v>
      </c>
      <c r="N2783" s="37" t="s">
        <v>6976</v>
      </c>
      <c r="Q2783" s="37" t="s">
        <v>3506</v>
      </c>
      <c r="R2783" s="37" t="s">
        <v>1792</v>
      </c>
      <c r="S2783" s="10" t="s">
        <v>3412</v>
      </c>
      <c r="U2783" s="22">
        <v>2</v>
      </c>
      <c r="V2783" s="22">
        <v>170</v>
      </c>
      <c r="W2783" s="73">
        <f t="shared" si="162"/>
        <v>4125</v>
      </c>
      <c r="X2783" s="80">
        <f t="shared" si="163"/>
        <v>12171</v>
      </c>
      <c r="Y2783" s="82" t="s">
        <v>4059</v>
      </c>
      <c r="Z2783" s="24" t="s">
        <v>2322</v>
      </c>
      <c r="AB2783" s="177">
        <v>44703</v>
      </c>
      <c r="AC2783" s="84" t="s">
        <v>2885</v>
      </c>
    </row>
    <row r="2784" spans="1:29" ht="15.45" customHeight="1" x14ac:dyDescent="0.25">
      <c r="A2784" s="29" t="s">
        <v>6809</v>
      </c>
      <c r="C2784" s="37" t="s">
        <v>2314</v>
      </c>
      <c r="E2784" s="37" t="s">
        <v>2927</v>
      </c>
      <c r="H2784" s="38" t="s">
        <v>6810</v>
      </c>
      <c r="J2784" s="215">
        <v>1988</v>
      </c>
      <c r="N2784" s="37" t="s">
        <v>6976</v>
      </c>
      <c r="Q2784" s="37" t="s">
        <v>3506</v>
      </c>
      <c r="R2784" s="37" t="s">
        <v>1792</v>
      </c>
      <c r="S2784" s="10" t="s">
        <v>3412</v>
      </c>
      <c r="U2784" s="22">
        <v>2</v>
      </c>
      <c r="V2784" s="22">
        <v>20</v>
      </c>
      <c r="W2784" s="73">
        <f t="shared" si="162"/>
        <v>4145</v>
      </c>
      <c r="X2784" s="80">
        <f t="shared" si="163"/>
        <v>12191</v>
      </c>
      <c r="Y2784" s="82" t="s">
        <v>4059</v>
      </c>
      <c r="Z2784" s="24" t="s">
        <v>2322</v>
      </c>
      <c r="AB2784" s="177">
        <v>44703</v>
      </c>
      <c r="AC2784" s="84" t="s">
        <v>2885</v>
      </c>
    </row>
    <row r="2785" spans="1:29" ht="15.45" customHeight="1" x14ac:dyDescent="0.25">
      <c r="A2785" s="29" t="s">
        <v>6974</v>
      </c>
      <c r="H2785" s="38" t="s">
        <v>6975</v>
      </c>
      <c r="J2785" s="215">
        <v>1988</v>
      </c>
      <c r="N2785" s="37" t="s">
        <v>6976</v>
      </c>
      <c r="Q2785" s="37" t="s">
        <v>3506</v>
      </c>
      <c r="R2785" s="37" t="s">
        <v>1792</v>
      </c>
      <c r="S2785" s="10" t="s">
        <v>3412</v>
      </c>
      <c r="U2785" s="22">
        <v>1</v>
      </c>
      <c r="V2785" s="22">
        <v>1</v>
      </c>
      <c r="W2785" s="73">
        <f t="shared" si="162"/>
        <v>4146</v>
      </c>
      <c r="X2785" s="80">
        <f t="shared" si="163"/>
        <v>12192</v>
      </c>
      <c r="Y2785" s="82" t="s">
        <v>4059</v>
      </c>
      <c r="Z2785" s="24" t="s">
        <v>2322</v>
      </c>
      <c r="AB2785" s="177">
        <v>44703</v>
      </c>
      <c r="AC2785" s="84" t="s">
        <v>2885</v>
      </c>
    </row>
    <row r="2786" spans="1:29" ht="15.45" customHeight="1" x14ac:dyDescent="0.25">
      <c r="A2786" s="29" t="s">
        <v>6684</v>
      </c>
      <c r="C2786" s="37" t="s">
        <v>2314</v>
      </c>
      <c r="E2786" s="37" t="s">
        <v>2927</v>
      </c>
      <c r="H2786" s="38" t="s">
        <v>6686</v>
      </c>
      <c r="J2786" s="215" t="s">
        <v>6679</v>
      </c>
      <c r="N2786" s="37" t="s">
        <v>6680</v>
      </c>
      <c r="P2786" s="37" t="s">
        <v>1463</v>
      </c>
      <c r="Q2786" s="37" t="s">
        <v>3506</v>
      </c>
      <c r="R2786" s="37" t="s">
        <v>1792</v>
      </c>
      <c r="S2786" s="10" t="s">
        <v>3412</v>
      </c>
      <c r="U2786" s="22">
        <v>1</v>
      </c>
      <c r="V2786" s="22">
        <v>38</v>
      </c>
      <c r="W2786" s="73">
        <f t="shared" si="162"/>
        <v>4184</v>
      </c>
      <c r="X2786" s="80">
        <f t="shared" si="163"/>
        <v>12230</v>
      </c>
      <c r="Y2786" s="82" t="s">
        <v>5748</v>
      </c>
      <c r="Z2786" s="24" t="s">
        <v>6683</v>
      </c>
      <c r="AB2786" s="177">
        <v>44656</v>
      </c>
      <c r="AC2786" s="84" t="s">
        <v>2885</v>
      </c>
    </row>
    <row r="2787" spans="1:29" ht="15.45" customHeight="1" x14ac:dyDescent="0.25">
      <c r="A2787" s="29" t="s">
        <v>6681</v>
      </c>
      <c r="C2787" s="37" t="s">
        <v>2314</v>
      </c>
      <c r="E2787" s="37" t="s">
        <v>2927</v>
      </c>
      <c r="H2787" s="38" t="s">
        <v>6685</v>
      </c>
      <c r="J2787" s="215" t="s">
        <v>3406</v>
      </c>
      <c r="N2787" s="37" t="s">
        <v>6682</v>
      </c>
      <c r="P2787" s="37" t="s">
        <v>1463</v>
      </c>
      <c r="Q2787" s="37" t="s">
        <v>3506</v>
      </c>
      <c r="R2787" s="37" t="s">
        <v>1792</v>
      </c>
      <c r="S2787" s="10" t="s">
        <v>3412</v>
      </c>
      <c r="U2787" s="22">
        <v>1</v>
      </c>
      <c r="V2787" s="22">
        <v>22</v>
      </c>
      <c r="W2787" s="73">
        <f t="shared" si="162"/>
        <v>4206</v>
      </c>
      <c r="X2787" s="80">
        <f t="shared" si="163"/>
        <v>12252</v>
      </c>
      <c r="Y2787" s="82" t="s">
        <v>5748</v>
      </c>
      <c r="Z2787" s="24" t="s">
        <v>6683</v>
      </c>
      <c r="AB2787" s="177">
        <v>44656</v>
      </c>
      <c r="AC2787" s="84" t="s">
        <v>2885</v>
      </c>
    </row>
    <row r="2788" spans="1:29" ht="15.45" customHeight="1" x14ac:dyDescent="0.25">
      <c r="A2788" s="29" t="s">
        <v>6689</v>
      </c>
      <c r="C2788" s="37" t="s">
        <v>2314</v>
      </c>
      <c r="E2788" s="37" t="s">
        <v>2927</v>
      </c>
      <c r="H2788" s="38" t="s">
        <v>6687</v>
      </c>
      <c r="J2788" s="215" t="s">
        <v>3406</v>
      </c>
      <c r="N2788" s="37" t="s">
        <v>6688</v>
      </c>
      <c r="Q2788" s="37" t="s">
        <v>3506</v>
      </c>
      <c r="R2788" s="37" t="s">
        <v>1792</v>
      </c>
      <c r="S2788" s="10" t="s">
        <v>3412</v>
      </c>
      <c r="U2788" s="22">
        <v>1</v>
      </c>
      <c r="V2788" s="22">
        <v>17</v>
      </c>
      <c r="W2788" s="73">
        <f t="shared" si="162"/>
        <v>4223</v>
      </c>
      <c r="X2788" s="80">
        <f t="shared" si="163"/>
        <v>12269</v>
      </c>
      <c r="Y2788" s="82" t="s">
        <v>5748</v>
      </c>
      <c r="Z2788" s="24" t="s">
        <v>6683</v>
      </c>
      <c r="AB2788" s="177">
        <v>44656</v>
      </c>
      <c r="AC2788" s="84" t="s">
        <v>2885</v>
      </c>
    </row>
    <row r="2789" spans="1:29" ht="15.45" customHeight="1" x14ac:dyDescent="0.25">
      <c r="A2789" s="29" t="s">
        <v>6690</v>
      </c>
      <c r="C2789" s="37" t="s">
        <v>2314</v>
      </c>
      <c r="E2789" s="37" t="s">
        <v>2927</v>
      </c>
      <c r="H2789" s="38" t="s">
        <v>6691</v>
      </c>
      <c r="J2789" s="215" t="s">
        <v>3406</v>
      </c>
      <c r="N2789" s="37" t="s">
        <v>2826</v>
      </c>
      <c r="Q2789" s="37" t="s">
        <v>3506</v>
      </c>
      <c r="R2789" s="37" t="s">
        <v>1792</v>
      </c>
      <c r="S2789" s="10" t="s">
        <v>3412</v>
      </c>
      <c r="U2789" s="22">
        <v>1</v>
      </c>
      <c r="V2789" s="22">
        <v>15</v>
      </c>
      <c r="W2789" s="73">
        <f t="shared" si="162"/>
        <v>4238</v>
      </c>
      <c r="X2789" s="80">
        <f t="shared" si="163"/>
        <v>12284</v>
      </c>
      <c r="Y2789" s="82" t="s">
        <v>5748</v>
      </c>
      <c r="Z2789" s="24" t="s">
        <v>6683</v>
      </c>
      <c r="AB2789" s="177">
        <v>44656</v>
      </c>
      <c r="AC2789" s="84" t="s">
        <v>2885</v>
      </c>
    </row>
    <row r="2790" spans="1:29" ht="15.45" customHeight="1" x14ac:dyDescent="0.25">
      <c r="A2790" s="29" t="s">
        <v>6811</v>
      </c>
      <c r="C2790" s="37" t="s">
        <v>2314</v>
      </c>
      <c r="E2790" s="37" t="s">
        <v>2927</v>
      </c>
      <c r="H2790" s="38" t="s">
        <v>6812</v>
      </c>
      <c r="J2790" s="215" t="s">
        <v>3406</v>
      </c>
      <c r="N2790" s="37" t="s">
        <v>2826</v>
      </c>
      <c r="Q2790" s="37" t="s">
        <v>3506</v>
      </c>
      <c r="R2790" s="37" t="s">
        <v>1792</v>
      </c>
      <c r="S2790" s="10" t="s">
        <v>3412</v>
      </c>
      <c r="U2790" s="22">
        <v>1</v>
      </c>
      <c r="V2790" s="22">
        <v>7</v>
      </c>
      <c r="W2790" s="73">
        <f t="shared" si="162"/>
        <v>4245</v>
      </c>
      <c r="X2790" s="80">
        <f t="shared" si="163"/>
        <v>12291</v>
      </c>
      <c r="Y2790" s="82" t="s">
        <v>5748</v>
      </c>
      <c r="Z2790" s="24" t="s">
        <v>6683</v>
      </c>
      <c r="AB2790" s="177">
        <v>44703</v>
      </c>
      <c r="AC2790" s="84" t="s">
        <v>2885</v>
      </c>
    </row>
    <row r="2791" spans="1:29" ht="15.45" customHeight="1" x14ac:dyDescent="0.25">
      <c r="A2791" s="29" t="s">
        <v>6796</v>
      </c>
      <c r="C2791" s="37" t="s">
        <v>2207</v>
      </c>
      <c r="E2791" s="37" t="s">
        <v>2927</v>
      </c>
      <c r="H2791" s="38" t="s">
        <v>6799</v>
      </c>
      <c r="J2791" s="214" t="s">
        <v>5827</v>
      </c>
      <c r="N2791" s="37" t="s">
        <v>2826</v>
      </c>
      <c r="Q2791" s="37" t="s">
        <v>3506</v>
      </c>
      <c r="R2791" s="37" t="s">
        <v>1792</v>
      </c>
      <c r="S2791" s="10" t="s">
        <v>3412</v>
      </c>
      <c r="U2791" s="22">
        <v>1</v>
      </c>
      <c r="V2791" s="22">
        <v>26</v>
      </c>
      <c r="W2791" s="73">
        <f t="shared" si="162"/>
        <v>4271</v>
      </c>
      <c r="X2791" s="80">
        <f t="shared" si="163"/>
        <v>12317</v>
      </c>
      <c r="Y2791" s="82" t="s">
        <v>3584</v>
      </c>
      <c r="AB2791" s="177">
        <v>44702</v>
      </c>
      <c r="AC2791" s="84" t="s">
        <v>2885</v>
      </c>
    </row>
    <row r="2792" spans="1:29" ht="15.45" customHeight="1" x14ac:dyDescent="0.25">
      <c r="A2792" s="29" t="s">
        <v>6797</v>
      </c>
      <c r="C2792" s="37" t="s">
        <v>2207</v>
      </c>
      <c r="E2792" s="37" t="s">
        <v>2927</v>
      </c>
      <c r="H2792" s="38" t="s">
        <v>6798</v>
      </c>
      <c r="J2792" s="214" t="s">
        <v>5827</v>
      </c>
      <c r="N2792" s="37" t="s">
        <v>2826</v>
      </c>
      <c r="Q2792" s="37" t="s">
        <v>3506</v>
      </c>
      <c r="R2792" s="37" t="s">
        <v>1792</v>
      </c>
      <c r="S2792" s="10" t="s">
        <v>3412</v>
      </c>
      <c r="U2792" s="22">
        <v>1</v>
      </c>
      <c r="V2792" s="22">
        <v>29</v>
      </c>
      <c r="W2792" s="73">
        <f t="shared" si="162"/>
        <v>4300</v>
      </c>
      <c r="X2792" s="80">
        <f t="shared" si="163"/>
        <v>12346</v>
      </c>
      <c r="Y2792" s="82" t="s">
        <v>3584</v>
      </c>
      <c r="AB2792" s="177">
        <v>44702</v>
      </c>
      <c r="AC2792" s="84" t="s">
        <v>2885</v>
      </c>
    </row>
    <row r="2793" spans="1:29" ht="15.45" customHeight="1" x14ac:dyDescent="0.25">
      <c r="A2793" s="29" t="s">
        <v>6730</v>
      </c>
      <c r="C2793" s="37" t="s">
        <v>2207</v>
      </c>
      <c r="E2793" s="37" t="s">
        <v>2927</v>
      </c>
      <c r="H2793" s="38" t="s">
        <v>6738</v>
      </c>
      <c r="J2793" s="214" t="s">
        <v>6731</v>
      </c>
      <c r="N2793" s="37" t="s">
        <v>7018</v>
      </c>
      <c r="O2793" s="37" t="s">
        <v>6732</v>
      </c>
      <c r="P2793" s="37" t="s">
        <v>1781</v>
      </c>
      <c r="Q2793" s="37" t="s">
        <v>3506</v>
      </c>
      <c r="R2793" s="37" t="s">
        <v>1792</v>
      </c>
      <c r="S2793" s="10" t="s">
        <v>3412</v>
      </c>
      <c r="U2793" s="22">
        <v>1</v>
      </c>
      <c r="V2793" s="22">
        <v>253</v>
      </c>
      <c r="W2793" s="73">
        <f t="shared" si="162"/>
        <v>4553</v>
      </c>
      <c r="X2793" s="80">
        <f t="shared" si="163"/>
        <v>12599</v>
      </c>
      <c r="Y2793" s="82" t="s">
        <v>4059</v>
      </c>
      <c r="Z2793" s="24" t="s">
        <v>2322</v>
      </c>
      <c r="AB2793" s="177">
        <v>44676</v>
      </c>
      <c r="AC2793" s="84" t="s">
        <v>2885</v>
      </c>
    </row>
    <row r="2794" spans="1:29" ht="15.45" customHeight="1" x14ac:dyDescent="0.25">
      <c r="A2794" s="29" t="s">
        <v>6733</v>
      </c>
      <c r="C2794" s="37" t="s">
        <v>2314</v>
      </c>
      <c r="E2794" s="37" t="s">
        <v>2927</v>
      </c>
      <c r="H2794" s="38" t="s">
        <v>6744</v>
      </c>
      <c r="J2794" s="214" t="s">
        <v>5673</v>
      </c>
      <c r="N2794" s="37" t="s">
        <v>7018</v>
      </c>
      <c r="O2794" s="37" t="s">
        <v>6732</v>
      </c>
      <c r="P2794" s="37" t="s">
        <v>1781</v>
      </c>
      <c r="Q2794" s="37" t="s">
        <v>3506</v>
      </c>
      <c r="R2794" s="37" t="s">
        <v>1792</v>
      </c>
      <c r="S2794" s="10" t="s">
        <v>3412</v>
      </c>
      <c r="U2794" s="22">
        <v>1</v>
      </c>
      <c r="V2794" s="22">
        <v>408</v>
      </c>
      <c r="W2794" s="73">
        <f t="shared" si="162"/>
        <v>4961</v>
      </c>
      <c r="X2794" s="80">
        <f t="shared" si="163"/>
        <v>13007</v>
      </c>
      <c r="Y2794" s="82" t="s">
        <v>4059</v>
      </c>
      <c r="Z2794" s="24" t="s">
        <v>2322</v>
      </c>
      <c r="AB2794" s="177">
        <v>44676</v>
      </c>
      <c r="AC2794" s="84" t="s">
        <v>2885</v>
      </c>
    </row>
    <row r="2795" spans="1:29" ht="15.45" customHeight="1" x14ac:dyDescent="0.25">
      <c r="A2795" s="29" t="s">
        <v>6734</v>
      </c>
      <c r="C2795" s="37" t="s">
        <v>2314</v>
      </c>
      <c r="E2795" s="37" t="s">
        <v>2927</v>
      </c>
      <c r="H2795" s="38" t="s">
        <v>6743</v>
      </c>
      <c r="J2795" s="214" t="s">
        <v>5827</v>
      </c>
      <c r="N2795" s="37" t="s">
        <v>7018</v>
      </c>
      <c r="O2795" s="37" t="s">
        <v>6732</v>
      </c>
      <c r="P2795" s="37" t="s">
        <v>1781</v>
      </c>
      <c r="Q2795" s="37" t="s">
        <v>3506</v>
      </c>
      <c r="R2795" s="37" t="s">
        <v>1792</v>
      </c>
      <c r="S2795" s="10" t="s">
        <v>2981</v>
      </c>
      <c r="U2795" s="22">
        <v>1</v>
      </c>
      <c r="V2795" s="22">
        <v>72</v>
      </c>
      <c r="W2795" s="73">
        <f t="shared" si="162"/>
        <v>5033</v>
      </c>
      <c r="X2795" s="80">
        <f t="shared" si="163"/>
        <v>13079</v>
      </c>
      <c r="Y2795" s="82" t="s">
        <v>4059</v>
      </c>
      <c r="Z2795" s="24" t="s">
        <v>2322</v>
      </c>
      <c r="AB2795" s="177">
        <v>44676</v>
      </c>
      <c r="AC2795" s="84" t="s">
        <v>2885</v>
      </c>
    </row>
    <row r="2796" spans="1:29" ht="15.45" customHeight="1" x14ac:dyDescent="0.25">
      <c r="A2796" s="29" t="s">
        <v>6735</v>
      </c>
      <c r="C2796" s="37" t="s">
        <v>2314</v>
      </c>
      <c r="E2796" s="37" t="s">
        <v>2927</v>
      </c>
      <c r="H2796" s="38" t="s">
        <v>6742</v>
      </c>
      <c r="J2796" s="215" t="s">
        <v>3406</v>
      </c>
      <c r="N2796" s="37" t="s">
        <v>7018</v>
      </c>
      <c r="O2796" s="37" t="s">
        <v>6732</v>
      </c>
      <c r="P2796" s="37" t="s">
        <v>1781</v>
      </c>
      <c r="Q2796" s="37" t="s">
        <v>3506</v>
      </c>
      <c r="R2796" s="37" t="s">
        <v>1792</v>
      </c>
      <c r="S2796" s="10" t="s">
        <v>3436</v>
      </c>
      <c r="U2796" s="22">
        <v>1</v>
      </c>
      <c r="V2796" s="22">
        <v>240</v>
      </c>
      <c r="W2796" s="73">
        <f t="shared" si="162"/>
        <v>5273</v>
      </c>
      <c r="X2796" s="80">
        <f t="shared" si="163"/>
        <v>13319</v>
      </c>
      <c r="Y2796" s="82" t="s">
        <v>4059</v>
      </c>
      <c r="Z2796" s="24" t="s">
        <v>2322</v>
      </c>
      <c r="AB2796" s="177">
        <v>44676</v>
      </c>
      <c r="AC2796" s="84" t="s">
        <v>2885</v>
      </c>
    </row>
    <row r="2797" spans="1:29" ht="15.45" customHeight="1" x14ac:dyDescent="0.25">
      <c r="A2797" s="29" t="s">
        <v>6737</v>
      </c>
      <c r="C2797" s="37" t="s">
        <v>2314</v>
      </c>
      <c r="E2797" s="37" t="s">
        <v>2927</v>
      </c>
      <c r="H2797" s="38" t="s">
        <v>6741</v>
      </c>
      <c r="J2797" s="214" t="s">
        <v>5801</v>
      </c>
      <c r="N2797" s="37" t="s">
        <v>7018</v>
      </c>
      <c r="O2797" s="37" t="s">
        <v>6736</v>
      </c>
      <c r="P2797" s="37" t="s">
        <v>1781</v>
      </c>
      <c r="Q2797" s="37" t="s">
        <v>3506</v>
      </c>
      <c r="R2797" s="37" t="s">
        <v>1792</v>
      </c>
      <c r="S2797" s="10" t="s">
        <v>3436</v>
      </c>
      <c r="U2797" s="22">
        <v>1</v>
      </c>
      <c r="V2797" s="22">
        <v>240</v>
      </c>
      <c r="W2797" s="73">
        <f t="shared" si="162"/>
        <v>5513</v>
      </c>
      <c r="X2797" s="80">
        <f t="shared" si="163"/>
        <v>13559</v>
      </c>
      <c r="Y2797" s="82" t="s">
        <v>4059</v>
      </c>
      <c r="Z2797" s="24" t="s">
        <v>2322</v>
      </c>
      <c r="AA2797" s="82"/>
      <c r="AB2797" s="177">
        <v>44676</v>
      </c>
      <c r="AC2797" s="84" t="s">
        <v>2885</v>
      </c>
    </row>
    <row r="2798" spans="1:29" ht="15.45" customHeight="1" x14ac:dyDescent="0.25">
      <c r="A2798" s="29" t="s">
        <v>6745</v>
      </c>
      <c r="C2798" s="37" t="s">
        <v>2314</v>
      </c>
      <c r="E2798" s="37" t="s">
        <v>2927</v>
      </c>
      <c r="H2798" s="38" t="s">
        <v>6748</v>
      </c>
      <c r="J2798" s="214" t="s">
        <v>5827</v>
      </c>
      <c r="N2798" s="37" t="s">
        <v>6746</v>
      </c>
      <c r="P2798" s="37" t="s">
        <v>4527</v>
      </c>
      <c r="Q2798" s="37" t="s">
        <v>3506</v>
      </c>
      <c r="R2798" s="37" t="s">
        <v>1792</v>
      </c>
      <c r="S2798" s="10" t="s">
        <v>3412</v>
      </c>
      <c r="U2798" s="22">
        <v>1</v>
      </c>
      <c r="V2798" s="22">
        <v>180</v>
      </c>
      <c r="W2798" s="73">
        <f t="shared" si="162"/>
        <v>5693</v>
      </c>
      <c r="X2798" s="80">
        <f t="shared" si="163"/>
        <v>13739</v>
      </c>
      <c r="Y2798" s="82" t="s">
        <v>4059</v>
      </c>
      <c r="Z2798" s="24" t="s">
        <v>2322</v>
      </c>
      <c r="AA2798" s="82"/>
      <c r="AB2798" s="177">
        <v>44676</v>
      </c>
      <c r="AC2798" s="84" t="s">
        <v>2885</v>
      </c>
    </row>
    <row r="2799" spans="1:29" ht="15.45" customHeight="1" x14ac:dyDescent="0.25">
      <c r="A2799" s="29" t="s">
        <v>6772</v>
      </c>
      <c r="C2799" s="37" t="s">
        <v>2314</v>
      </c>
      <c r="E2799" s="37" t="s">
        <v>2927</v>
      </c>
      <c r="H2799" s="38" t="s">
        <v>6773</v>
      </c>
      <c r="J2799" s="214" t="s">
        <v>5029</v>
      </c>
      <c r="N2799" s="37" t="s">
        <v>7018</v>
      </c>
      <c r="O2799" s="37" t="s">
        <v>6774</v>
      </c>
      <c r="P2799" s="37" t="s">
        <v>1781</v>
      </c>
      <c r="Q2799" s="37" t="s">
        <v>3506</v>
      </c>
      <c r="R2799" s="37" t="s">
        <v>1792</v>
      </c>
      <c r="S2799" s="10" t="s">
        <v>3412</v>
      </c>
      <c r="U2799" s="22">
        <v>1</v>
      </c>
      <c r="V2799" s="22">
        <v>12</v>
      </c>
      <c r="W2799" s="73">
        <f t="shared" si="162"/>
        <v>5705</v>
      </c>
      <c r="X2799" s="80">
        <f t="shared" si="163"/>
        <v>13751</v>
      </c>
      <c r="Y2799" s="82" t="s">
        <v>3587</v>
      </c>
      <c r="Z2799" s="82"/>
      <c r="AA2799" s="82"/>
      <c r="AB2799" s="177">
        <v>44702</v>
      </c>
      <c r="AC2799" s="84" t="s">
        <v>2885</v>
      </c>
    </row>
    <row r="2800" spans="1:29" ht="15.45" customHeight="1" x14ac:dyDescent="0.25">
      <c r="A2800" s="29" t="s">
        <v>6775</v>
      </c>
      <c r="C2800" s="37" t="s">
        <v>2314</v>
      </c>
      <c r="E2800" s="37" t="s">
        <v>2927</v>
      </c>
      <c r="H2800" s="38" t="s">
        <v>6778</v>
      </c>
      <c r="J2800" s="214" t="s">
        <v>6335</v>
      </c>
      <c r="N2800" s="37" t="s">
        <v>7018</v>
      </c>
      <c r="O2800" s="37" t="s">
        <v>6774</v>
      </c>
      <c r="P2800" s="37" t="s">
        <v>1781</v>
      </c>
      <c r="Q2800" s="37" t="s">
        <v>3506</v>
      </c>
      <c r="R2800" s="37" t="s">
        <v>1792</v>
      </c>
      <c r="S2800" s="10" t="s">
        <v>3412</v>
      </c>
      <c r="U2800" s="22">
        <v>1</v>
      </c>
      <c r="V2800" s="22">
        <v>36</v>
      </c>
      <c r="W2800" s="73">
        <f t="shared" si="162"/>
        <v>5741</v>
      </c>
      <c r="X2800" s="80">
        <f t="shared" si="163"/>
        <v>13787</v>
      </c>
      <c r="Y2800" s="82" t="s">
        <v>4059</v>
      </c>
      <c r="Z2800" s="24" t="s">
        <v>2322</v>
      </c>
      <c r="AA2800" s="82"/>
      <c r="AB2800" s="177">
        <v>44702</v>
      </c>
      <c r="AC2800" s="84" t="s">
        <v>2885</v>
      </c>
    </row>
    <row r="2801" spans="1:29" ht="15.45" customHeight="1" x14ac:dyDescent="0.25">
      <c r="A2801" s="29" t="s">
        <v>6776</v>
      </c>
      <c r="C2801" s="37" t="s">
        <v>2314</v>
      </c>
      <c r="E2801" s="37" t="s">
        <v>2927</v>
      </c>
      <c r="H2801" s="38" t="s">
        <v>6777</v>
      </c>
      <c r="J2801" s="214" t="s">
        <v>6335</v>
      </c>
      <c r="N2801" s="37" t="s">
        <v>7018</v>
      </c>
      <c r="O2801" s="37" t="s">
        <v>6774</v>
      </c>
      <c r="P2801" s="37" t="s">
        <v>1781</v>
      </c>
      <c r="Q2801" s="37" t="s">
        <v>3506</v>
      </c>
      <c r="R2801" s="37" t="s">
        <v>1792</v>
      </c>
      <c r="S2801" s="10" t="s">
        <v>3412</v>
      </c>
      <c r="U2801" s="22">
        <v>1</v>
      </c>
      <c r="V2801" s="22">
        <v>36</v>
      </c>
      <c r="W2801" s="73">
        <f t="shared" si="162"/>
        <v>5777</v>
      </c>
      <c r="X2801" s="80">
        <f t="shared" si="163"/>
        <v>13823</v>
      </c>
      <c r="Y2801" s="82" t="s">
        <v>4059</v>
      </c>
      <c r="Z2801" s="24" t="s">
        <v>2322</v>
      </c>
      <c r="AA2801" s="82"/>
      <c r="AB2801" s="177">
        <v>44702</v>
      </c>
      <c r="AC2801" s="84" t="s">
        <v>2885</v>
      </c>
    </row>
    <row r="2802" spans="1:29" ht="15.45" customHeight="1" x14ac:dyDescent="0.25">
      <c r="A2802" s="29" t="s">
        <v>6779</v>
      </c>
      <c r="C2802" s="37" t="s">
        <v>2314</v>
      </c>
      <c r="E2802" s="37" t="s">
        <v>2927</v>
      </c>
      <c r="H2802" s="38" t="s">
        <v>6780</v>
      </c>
      <c r="J2802" s="214" t="s">
        <v>6335</v>
      </c>
      <c r="N2802" s="37" t="s">
        <v>7018</v>
      </c>
      <c r="O2802" s="37" t="s">
        <v>6774</v>
      </c>
      <c r="P2802" s="37" t="s">
        <v>1781</v>
      </c>
      <c r="Q2802" s="37" t="s">
        <v>3506</v>
      </c>
      <c r="R2802" s="37" t="s">
        <v>1792</v>
      </c>
      <c r="S2802" s="10" t="s">
        <v>3412</v>
      </c>
      <c r="U2802" s="22">
        <v>1</v>
      </c>
      <c r="V2802" s="22">
        <v>36</v>
      </c>
      <c r="W2802" s="73">
        <f t="shared" si="162"/>
        <v>5813</v>
      </c>
      <c r="X2802" s="80">
        <f t="shared" si="163"/>
        <v>13859</v>
      </c>
      <c r="Y2802" s="82" t="s">
        <v>4059</v>
      </c>
      <c r="Z2802" s="24" t="s">
        <v>2322</v>
      </c>
      <c r="AA2802" s="82"/>
      <c r="AB2802" s="177">
        <v>44702</v>
      </c>
      <c r="AC2802" s="84" t="s">
        <v>2885</v>
      </c>
    </row>
    <row r="2803" spans="1:29" ht="15.45" customHeight="1" x14ac:dyDescent="0.25">
      <c r="A2803" s="29" t="s">
        <v>6781</v>
      </c>
      <c r="C2803" s="37" t="s">
        <v>2314</v>
      </c>
      <c r="E2803" s="37" t="s">
        <v>2927</v>
      </c>
      <c r="H2803" s="38" t="s">
        <v>6783</v>
      </c>
      <c r="N2803" s="37" t="s">
        <v>6782</v>
      </c>
      <c r="P2803" s="37" t="s">
        <v>1781</v>
      </c>
      <c r="Q2803" s="37" t="s">
        <v>3506</v>
      </c>
      <c r="R2803" s="37" t="s">
        <v>1792</v>
      </c>
      <c r="S2803" s="10" t="s">
        <v>2983</v>
      </c>
      <c r="U2803" s="22">
        <v>1</v>
      </c>
      <c r="V2803" s="22">
        <v>470</v>
      </c>
      <c r="W2803" s="73">
        <f t="shared" si="162"/>
        <v>6283</v>
      </c>
      <c r="X2803" s="80">
        <f t="shared" si="163"/>
        <v>14329</v>
      </c>
      <c r="Y2803" s="82" t="s">
        <v>4060</v>
      </c>
      <c r="Z2803" s="82"/>
      <c r="AA2803" s="82"/>
      <c r="AB2803" s="177">
        <v>44702</v>
      </c>
      <c r="AC2803" s="84" t="s">
        <v>2885</v>
      </c>
    </row>
    <row r="2804" spans="1:29" ht="15.45" customHeight="1" x14ac:dyDescent="0.25">
      <c r="A2804" s="29" t="s">
        <v>6747</v>
      </c>
      <c r="C2804" s="37" t="s">
        <v>2314</v>
      </c>
      <c r="E2804" s="37" t="s">
        <v>2927</v>
      </c>
      <c r="H2804" s="38" t="s">
        <v>6749</v>
      </c>
      <c r="J2804" s="214" t="s">
        <v>5827</v>
      </c>
      <c r="N2804" s="37" t="s">
        <v>6746</v>
      </c>
      <c r="P2804" s="37" t="s">
        <v>4527</v>
      </c>
      <c r="Q2804" s="37" t="s">
        <v>3506</v>
      </c>
      <c r="R2804" s="37" t="s">
        <v>1792</v>
      </c>
      <c r="S2804" s="10" t="s">
        <v>2981</v>
      </c>
      <c r="U2804" s="22">
        <v>1</v>
      </c>
      <c r="V2804" s="22">
        <v>12</v>
      </c>
      <c r="W2804" s="73">
        <f t="shared" si="162"/>
        <v>6295</v>
      </c>
      <c r="X2804" s="80">
        <f t="shared" si="163"/>
        <v>14341</v>
      </c>
      <c r="Y2804" s="82" t="s">
        <v>4059</v>
      </c>
      <c r="Z2804" s="24" t="s">
        <v>2322</v>
      </c>
      <c r="AA2804" s="82"/>
      <c r="AB2804" s="177">
        <v>44676</v>
      </c>
      <c r="AC2804" s="84" t="s">
        <v>2885</v>
      </c>
    </row>
    <row r="2805" spans="1:29" ht="15.45" customHeight="1" x14ac:dyDescent="0.25">
      <c r="A2805" s="29" t="s">
        <v>6750</v>
      </c>
      <c r="C2805" s="37" t="s">
        <v>2314</v>
      </c>
      <c r="E2805" s="37" t="s">
        <v>2927</v>
      </c>
      <c r="H2805" s="38" t="s">
        <v>6753</v>
      </c>
      <c r="J2805" s="214" t="s">
        <v>5827</v>
      </c>
      <c r="N2805" s="37" t="s">
        <v>6746</v>
      </c>
      <c r="P2805" s="37" t="s">
        <v>4527</v>
      </c>
      <c r="Q2805" s="37" t="s">
        <v>3506</v>
      </c>
      <c r="R2805" s="37" t="s">
        <v>1792</v>
      </c>
      <c r="S2805" s="10" t="s">
        <v>2981</v>
      </c>
      <c r="U2805" s="22">
        <v>1</v>
      </c>
      <c r="V2805" s="22">
        <v>140</v>
      </c>
      <c r="W2805" s="73">
        <f t="shared" si="162"/>
        <v>6435</v>
      </c>
      <c r="X2805" s="80">
        <f t="shared" si="163"/>
        <v>14481</v>
      </c>
      <c r="Y2805" s="82" t="s">
        <v>4059</v>
      </c>
      <c r="Z2805" s="24" t="s">
        <v>2322</v>
      </c>
      <c r="AA2805" s="82"/>
      <c r="AB2805" s="177">
        <v>44676</v>
      </c>
      <c r="AC2805" s="84" t="s">
        <v>2885</v>
      </c>
    </row>
    <row r="2806" spans="1:29" ht="15.45" customHeight="1" x14ac:dyDescent="0.25">
      <c r="A2806" s="29" t="s">
        <v>6751</v>
      </c>
      <c r="C2806" s="37" t="s">
        <v>2314</v>
      </c>
      <c r="E2806" s="37" t="s">
        <v>2927</v>
      </c>
      <c r="H2806" s="38" t="s">
        <v>6752</v>
      </c>
      <c r="J2806" s="214" t="s">
        <v>5827</v>
      </c>
      <c r="N2806" s="37" t="s">
        <v>6746</v>
      </c>
      <c r="P2806" s="37" t="s">
        <v>4527</v>
      </c>
      <c r="Q2806" s="37" t="s">
        <v>3506</v>
      </c>
      <c r="R2806" s="37" t="s">
        <v>1792</v>
      </c>
      <c r="S2806" s="10" t="s">
        <v>2981</v>
      </c>
      <c r="U2806" s="22">
        <v>1</v>
      </c>
      <c r="V2806" s="22">
        <v>153</v>
      </c>
      <c r="W2806" s="73">
        <f t="shared" si="162"/>
        <v>6588</v>
      </c>
      <c r="X2806" s="80">
        <f t="shared" si="163"/>
        <v>14634</v>
      </c>
      <c r="Y2806" s="82" t="s">
        <v>4059</v>
      </c>
      <c r="Z2806" s="24" t="s">
        <v>2322</v>
      </c>
      <c r="AA2806" s="82"/>
      <c r="AB2806" s="177">
        <v>44676</v>
      </c>
      <c r="AC2806" s="84" t="s">
        <v>2885</v>
      </c>
    </row>
    <row r="2807" spans="1:29" ht="15.45" customHeight="1" x14ac:dyDescent="0.25">
      <c r="A2807" s="29" t="s">
        <v>6755</v>
      </c>
      <c r="C2807" s="37" t="s">
        <v>2314</v>
      </c>
      <c r="E2807" s="37" t="s">
        <v>2927</v>
      </c>
      <c r="H2807" s="38" t="s">
        <v>6754</v>
      </c>
      <c r="J2807" s="214" t="s">
        <v>5827</v>
      </c>
      <c r="N2807" s="37" t="s">
        <v>6746</v>
      </c>
      <c r="P2807" s="37" t="s">
        <v>4527</v>
      </c>
      <c r="Q2807" s="37" t="s">
        <v>3506</v>
      </c>
      <c r="R2807" s="37" t="s">
        <v>1792</v>
      </c>
      <c r="S2807" s="10" t="s">
        <v>2980</v>
      </c>
      <c r="U2807" s="22">
        <v>1</v>
      </c>
      <c r="V2807" s="22">
        <v>141</v>
      </c>
      <c r="W2807" s="73">
        <f t="shared" si="162"/>
        <v>6729</v>
      </c>
      <c r="X2807" s="80">
        <f t="shared" si="163"/>
        <v>14775</v>
      </c>
      <c r="Y2807" s="82" t="s">
        <v>4059</v>
      </c>
      <c r="Z2807" s="24" t="s">
        <v>2322</v>
      </c>
      <c r="AA2807" s="82"/>
      <c r="AB2807" s="177">
        <v>44676</v>
      </c>
      <c r="AC2807" s="84" t="s">
        <v>2885</v>
      </c>
    </row>
    <row r="2808" spans="1:29" ht="15.45" customHeight="1" x14ac:dyDescent="0.25">
      <c r="A2808" s="29" t="s">
        <v>7020</v>
      </c>
      <c r="C2808" s="37" t="s">
        <v>2314</v>
      </c>
      <c r="E2808" s="37" t="s">
        <v>2927</v>
      </c>
      <c r="H2808" s="38" t="s">
        <v>7080</v>
      </c>
      <c r="J2808" s="214" t="s">
        <v>5636</v>
      </c>
      <c r="N2808" s="37" t="s">
        <v>7018</v>
      </c>
      <c r="O2808" s="37" t="s">
        <v>6774</v>
      </c>
      <c r="P2808" s="37" t="s">
        <v>1781</v>
      </c>
      <c r="Q2808" s="37" t="s">
        <v>3506</v>
      </c>
      <c r="R2808" s="37" t="s">
        <v>1792</v>
      </c>
      <c r="S2808" s="10" t="s">
        <v>2981</v>
      </c>
      <c r="T2808" s="10" t="s">
        <v>7019</v>
      </c>
      <c r="U2808" s="22">
        <v>1</v>
      </c>
      <c r="V2808" s="22">
        <v>13</v>
      </c>
      <c r="W2808" s="73">
        <f t="shared" si="162"/>
        <v>6742</v>
      </c>
      <c r="X2808" s="80">
        <f t="shared" si="163"/>
        <v>14788</v>
      </c>
      <c r="Y2808" s="82" t="s">
        <v>3587</v>
      </c>
      <c r="AA2808" s="82"/>
      <c r="AB2808" s="177">
        <v>44733</v>
      </c>
      <c r="AC2808" s="84" t="s">
        <v>2885</v>
      </c>
    </row>
    <row r="2809" spans="1:29" ht="15.45" customHeight="1" x14ac:dyDescent="0.25">
      <c r="A2809" s="29" t="s">
        <v>7021</v>
      </c>
      <c r="C2809" s="37" t="s">
        <v>2314</v>
      </c>
      <c r="E2809" s="37" t="s">
        <v>2927</v>
      </c>
      <c r="H2809" s="38" t="s">
        <v>7080</v>
      </c>
      <c r="J2809" s="214" t="s">
        <v>5636</v>
      </c>
      <c r="N2809" s="37" t="s">
        <v>7018</v>
      </c>
      <c r="O2809" s="37" t="s">
        <v>6774</v>
      </c>
      <c r="P2809" s="37" t="s">
        <v>1781</v>
      </c>
      <c r="Q2809" s="37" t="s">
        <v>3506</v>
      </c>
      <c r="R2809" s="37" t="s">
        <v>1792</v>
      </c>
      <c r="S2809" s="10" t="s">
        <v>2980</v>
      </c>
      <c r="T2809" s="10" t="s">
        <v>7022</v>
      </c>
      <c r="U2809" s="22">
        <v>1</v>
      </c>
      <c r="V2809" s="22">
        <v>24</v>
      </c>
      <c r="W2809" s="73">
        <f t="shared" si="162"/>
        <v>6766</v>
      </c>
      <c r="X2809" s="80">
        <f t="shared" si="163"/>
        <v>14812</v>
      </c>
      <c r="Y2809" s="82" t="s">
        <v>3587</v>
      </c>
      <c r="AA2809" s="82"/>
      <c r="AB2809" s="177">
        <v>44733</v>
      </c>
      <c r="AC2809" s="84" t="s">
        <v>2885</v>
      </c>
    </row>
    <row r="2810" spans="1:29" ht="15.45" customHeight="1" x14ac:dyDescent="0.25">
      <c r="A2810" s="29" t="s">
        <v>7023</v>
      </c>
      <c r="C2810" s="37" t="s">
        <v>2314</v>
      </c>
      <c r="E2810" s="37" t="s">
        <v>2927</v>
      </c>
      <c r="H2810" s="38" t="s">
        <v>7080</v>
      </c>
      <c r="J2810" s="214" t="s">
        <v>5636</v>
      </c>
      <c r="N2810" s="37" t="s">
        <v>7018</v>
      </c>
      <c r="O2810" s="37" t="s">
        <v>6774</v>
      </c>
      <c r="P2810" s="37" t="s">
        <v>1781</v>
      </c>
      <c r="Q2810" s="37" t="s">
        <v>3506</v>
      </c>
      <c r="R2810" s="37" t="s">
        <v>1792</v>
      </c>
      <c r="S2810" s="10" t="s">
        <v>3436</v>
      </c>
      <c r="T2810" s="10" t="s">
        <v>7025</v>
      </c>
      <c r="U2810" s="22">
        <v>1</v>
      </c>
      <c r="V2810" s="22">
        <v>36</v>
      </c>
      <c r="W2810" s="73">
        <f t="shared" si="162"/>
        <v>6802</v>
      </c>
      <c r="X2810" s="80">
        <f t="shared" si="163"/>
        <v>14848</v>
      </c>
      <c r="Y2810" s="82" t="s">
        <v>3587</v>
      </c>
      <c r="AA2810" s="82"/>
      <c r="AB2810" s="177">
        <v>44733</v>
      </c>
      <c r="AC2810" s="84" t="s">
        <v>2885</v>
      </c>
    </row>
    <row r="2811" spans="1:29" ht="15.45" customHeight="1" x14ac:dyDescent="0.25">
      <c r="A2811" s="29" t="s">
        <v>7024</v>
      </c>
      <c r="C2811" s="37" t="s">
        <v>2314</v>
      </c>
      <c r="E2811" s="37" t="s">
        <v>2927</v>
      </c>
      <c r="H2811" s="38" t="s">
        <v>7080</v>
      </c>
      <c r="J2811" s="214" t="s">
        <v>5636</v>
      </c>
      <c r="N2811" s="37" t="s">
        <v>7018</v>
      </c>
      <c r="O2811" s="37" t="s">
        <v>6774</v>
      </c>
      <c r="P2811" s="37" t="s">
        <v>1781</v>
      </c>
      <c r="Q2811" s="37" t="s">
        <v>3506</v>
      </c>
      <c r="R2811" s="37" t="s">
        <v>1792</v>
      </c>
      <c r="S2811" s="10" t="s">
        <v>2980</v>
      </c>
      <c r="T2811" s="10" t="s">
        <v>7026</v>
      </c>
      <c r="U2811" s="22">
        <v>1</v>
      </c>
      <c r="V2811" s="22">
        <v>26</v>
      </c>
      <c r="W2811" s="73">
        <f t="shared" si="162"/>
        <v>6828</v>
      </c>
      <c r="X2811" s="80">
        <f t="shared" si="163"/>
        <v>14874</v>
      </c>
      <c r="Y2811" s="82" t="s">
        <v>3587</v>
      </c>
      <c r="AA2811" s="82"/>
      <c r="AB2811" s="177">
        <v>44733</v>
      </c>
      <c r="AC2811" s="84" t="s">
        <v>2885</v>
      </c>
    </row>
    <row r="2812" spans="1:29" ht="15.45" customHeight="1" x14ac:dyDescent="0.25">
      <c r="A2812" s="29" t="s">
        <v>7027</v>
      </c>
      <c r="C2812" s="37" t="s">
        <v>2314</v>
      </c>
      <c r="E2812" s="37" t="s">
        <v>2927</v>
      </c>
      <c r="H2812" s="38" t="s">
        <v>7080</v>
      </c>
      <c r="J2812" s="214" t="s">
        <v>5636</v>
      </c>
      <c r="N2812" s="37" t="s">
        <v>7018</v>
      </c>
      <c r="O2812" s="37" t="s">
        <v>6774</v>
      </c>
      <c r="P2812" s="37" t="s">
        <v>1781</v>
      </c>
      <c r="Q2812" s="37" t="s">
        <v>3506</v>
      </c>
      <c r="R2812" s="37" t="s">
        <v>1792</v>
      </c>
      <c r="S2812" s="10" t="s">
        <v>2980</v>
      </c>
      <c r="T2812" s="10" t="s">
        <v>7028</v>
      </c>
      <c r="U2812" s="22">
        <v>1</v>
      </c>
      <c r="V2812" s="22">
        <v>25</v>
      </c>
      <c r="W2812" s="73">
        <f t="shared" si="162"/>
        <v>6853</v>
      </c>
      <c r="X2812" s="80">
        <f t="shared" si="163"/>
        <v>14899</v>
      </c>
      <c r="Y2812" s="82" t="s">
        <v>3587</v>
      </c>
      <c r="AA2812" s="82"/>
      <c r="AB2812" s="177">
        <v>44733</v>
      </c>
      <c r="AC2812" s="84" t="s">
        <v>2885</v>
      </c>
    </row>
    <row r="2813" spans="1:29" ht="15.45" customHeight="1" x14ac:dyDescent="0.25">
      <c r="A2813" s="29" t="s">
        <v>7029</v>
      </c>
      <c r="C2813" s="37" t="s">
        <v>2314</v>
      </c>
      <c r="E2813" s="37" t="s">
        <v>2927</v>
      </c>
      <c r="H2813" s="38" t="s">
        <v>7080</v>
      </c>
      <c r="J2813" s="214" t="s">
        <v>5636</v>
      </c>
      <c r="N2813" s="37" t="s">
        <v>7018</v>
      </c>
      <c r="O2813" s="37" t="s">
        <v>6774</v>
      </c>
      <c r="P2813" s="37" t="s">
        <v>1781</v>
      </c>
      <c r="Q2813" s="37" t="s">
        <v>3506</v>
      </c>
      <c r="R2813" s="37" t="s">
        <v>1792</v>
      </c>
      <c r="S2813" s="10" t="s">
        <v>2980</v>
      </c>
      <c r="T2813" s="10" t="s">
        <v>7030</v>
      </c>
      <c r="U2813" s="22">
        <v>1</v>
      </c>
      <c r="V2813" s="22">
        <v>21</v>
      </c>
      <c r="W2813" s="73">
        <f t="shared" si="162"/>
        <v>6874</v>
      </c>
      <c r="X2813" s="80">
        <f t="shared" si="163"/>
        <v>14920</v>
      </c>
      <c r="Y2813" s="82" t="s">
        <v>3587</v>
      </c>
      <c r="AA2813" s="82"/>
      <c r="AB2813" s="177">
        <v>44733</v>
      </c>
      <c r="AC2813" s="84" t="s">
        <v>2885</v>
      </c>
    </row>
    <row r="2814" spans="1:29" ht="15.45" customHeight="1" x14ac:dyDescent="0.25">
      <c r="A2814" s="29" t="s">
        <v>7031</v>
      </c>
      <c r="C2814" s="37" t="s">
        <v>2314</v>
      </c>
      <c r="E2814" s="37" t="s">
        <v>2927</v>
      </c>
      <c r="H2814" s="38" t="s">
        <v>7080</v>
      </c>
      <c r="J2814" s="214" t="s">
        <v>5636</v>
      </c>
      <c r="N2814" s="37" t="s">
        <v>7018</v>
      </c>
      <c r="O2814" s="37" t="s">
        <v>6774</v>
      </c>
      <c r="P2814" s="37" t="s">
        <v>1781</v>
      </c>
      <c r="Q2814" s="37" t="s">
        <v>3506</v>
      </c>
      <c r="R2814" s="37" t="s">
        <v>1792</v>
      </c>
      <c r="S2814" s="10" t="s">
        <v>2980</v>
      </c>
      <c r="T2814" s="10" t="s">
        <v>7032</v>
      </c>
      <c r="U2814" s="22">
        <v>1</v>
      </c>
      <c r="V2814" s="22">
        <v>27</v>
      </c>
      <c r="W2814" s="73">
        <f t="shared" si="162"/>
        <v>6901</v>
      </c>
      <c r="X2814" s="80">
        <f t="shared" si="163"/>
        <v>14947</v>
      </c>
      <c r="Y2814" s="82" t="s">
        <v>3587</v>
      </c>
      <c r="AA2814" s="82"/>
      <c r="AB2814" s="177">
        <v>44733</v>
      </c>
      <c r="AC2814" s="84" t="s">
        <v>2885</v>
      </c>
    </row>
    <row r="2815" spans="1:29" ht="15.45" customHeight="1" x14ac:dyDescent="0.25">
      <c r="A2815" s="29" t="s">
        <v>7033</v>
      </c>
      <c r="C2815" s="37" t="s">
        <v>2314</v>
      </c>
      <c r="E2815" s="37" t="s">
        <v>2927</v>
      </c>
      <c r="H2815" s="38" t="s">
        <v>7080</v>
      </c>
      <c r="J2815" s="214" t="s">
        <v>5636</v>
      </c>
      <c r="N2815" s="37" t="s">
        <v>7018</v>
      </c>
      <c r="O2815" s="37" t="s">
        <v>6774</v>
      </c>
      <c r="P2815" s="37" t="s">
        <v>1781</v>
      </c>
      <c r="Q2815" s="37" t="s">
        <v>3506</v>
      </c>
      <c r="R2815" s="37" t="s">
        <v>1792</v>
      </c>
      <c r="S2815" s="10" t="s">
        <v>2983</v>
      </c>
      <c r="T2815" s="10" t="s">
        <v>7034</v>
      </c>
      <c r="U2815" s="22">
        <v>1</v>
      </c>
      <c r="V2815" s="22">
        <v>30</v>
      </c>
      <c r="W2815" s="73">
        <f t="shared" si="162"/>
        <v>6931</v>
      </c>
      <c r="X2815" s="80">
        <f t="shared" si="163"/>
        <v>14977</v>
      </c>
      <c r="Y2815" s="82" t="s">
        <v>3587</v>
      </c>
      <c r="AA2815" s="82"/>
      <c r="AB2815" s="177">
        <v>44733</v>
      </c>
      <c r="AC2815" s="84" t="s">
        <v>2885</v>
      </c>
    </row>
    <row r="2816" spans="1:29" ht="15.45" customHeight="1" x14ac:dyDescent="0.25">
      <c r="A2816" s="29" t="s">
        <v>7035</v>
      </c>
      <c r="C2816" s="37" t="s">
        <v>2314</v>
      </c>
      <c r="E2816" s="37" t="s">
        <v>2927</v>
      </c>
      <c r="H2816" s="38" t="s">
        <v>7080</v>
      </c>
      <c r="J2816" s="214" t="s">
        <v>5636</v>
      </c>
      <c r="N2816" s="37" t="s">
        <v>7018</v>
      </c>
      <c r="O2816" s="37" t="s">
        <v>6774</v>
      </c>
      <c r="P2816" s="37" t="s">
        <v>1781</v>
      </c>
      <c r="Q2816" s="37" t="s">
        <v>3506</v>
      </c>
      <c r="R2816" s="37" t="s">
        <v>1792</v>
      </c>
      <c r="S2816" s="10" t="s">
        <v>2980</v>
      </c>
      <c r="T2816" s="10" t="s">
        <v>7036</v>
      </c>
      <c r="U2816" s="22">
        <v>1</v>
      </c>
      <c r="V2816" s="22">
        <v>22</v>
      </c>
      <c r="W2816" s="73">
        <f t="shared" si="162"/>
        <v>6953</v>
      </c>
      <c r="X2816" s="80">
        <f t="shared" si="163"/>
        <v>14999</v>
      </c>
      <c r="Y2816" s="82" t="s">
        <v>3587</v>
      </c>
      <c r="AA2816" s="82"/>
      <c r="AB2816" s="177">
        <v>44733</v>
      </c>
      <c r="AC2816" s="84" t="s">
        <v>2885</v>
      </c>
    </row>
    <row r="2817" spans="1:29" ht="15.45" customHeight="1" x14ac:dyDescent="0.25">
      <c r="A2817" s="29" t="s">
        <v>7037</v>
      </c>
      <c r="C2817" s="37" t="s">
        <v>2314</v>
      </c>
      <c r="E2817" s="37" t="s">
        <v>2927</v>
      </c>
      <c r="H2817" s="38" t="s">
        <v>7080</v>
      </c>
      <c r="J2817" s="214" t="s">
        <v>5636</v>
      </c>
      <c r="N2817" s="37" t="s">
        <v>7018</v>
      </c>
      <c r="O2817" s="37" t="s">
        <v>6774</v>
      </c>
      <c r="P2817" s="37" t="s">
        <v>1781</v>
      </c>
      <c r="Q2817" s="37" t="s">
        <v>3506</v>
      </c>
      <c r="R2817" s="37" t="s">
        <v>1792</v>
      </c>
      <c r="S2817" s="10" t="s">
        <v>3412</v>
      </c>
      <c r="T2817" s="10" t="s">
        <v>7025</v>
      </c>
      <c r="U2817" s="22">
        <v>1</v>
      </c>
      <c r="V2817" s="22">
        <v>36</v>
      </c>
      <c r="W2817" s="73">
        <f t="shared" si="162"/>
        <v>6989</v>
      </c>
      <c r="X2817" s="80">
        <f t="shared" si="163"/>
        <v>15035</v>
      </c>
      <c r="Y2817" s="82" t="s">
        <v>3587</v>
      </c>
      <c r="AA2817" s="82"/>
      <c r="AB2817" s="177">
        <v>44733</v>
      </c>
      <c r="AC2817" s="84" t="s">
        <v>2885</v>
      </c>
    </row>
    <row r="2818" spans="1:29" ht="15.45" customHeight="1" x14ac:dyDescent="0.25">
      <c r="A2818" s="29" t="s">
        <v>7038</v>
      </c>
      <c r="C2818" s="37" t="s">
        <v>2314</v>
      </c>
      <c r="E2818" s="37" t="s">
        <v>2927</v>
      </c>
      <c r="H2818" s="38" t="s">
        <v>7080</v>
      </c>
      <c r="J2818" s="214" t="s">
        <v>5636</v>
      </c>
      <c r="N2818" s="37" t="s">
        <v>7018</v>
      </c>
      <c r="O2818" s="37" t="s">
        <v>6774</v>
      </c>
      <c r="P2818" s="37" t="s">
        <v>1781</v>
      </c>
      <c r="Q2818" s="37" t="s">
        <v>3506</v>
      </c>
      <c r="R2818" s="37" t="s">
        <v>1792</v>
      </c>
      <c r="S2818" s="10" t="s">
        <v>2983</v>
      </c>
      <c r="T2818" s="10" t="s">
        <v>7034</v>
      </c>
      <c r="U2818" s="22">
        <v>1</v>
      </c>
      <c r="V2818" s="22">
        <v>30</v>
      </c>
      <c r="W2818" s="73">
        <f t="shared" si="162"/>
        <v>7019</v>
      </c>
      <c r="X2818" s="80">
        <f t="shared" si="163"/>
        <v>15065</v>
      </c>
      <c r="Y2818" s="82" t="s">
        <v>3587</v>
      </c>
      <c r="AA2818" s="82"/>
      <c r="AB2818" s="177">
        <v>44733</v>
      </c>
      <c r="AC2818" s="84" t="s">
        <v>2885</v>
      </c>
    </row>
    <row r="2819" spans="1:29" ht="15.45" customHeight="1" x14ac:dyDescent="0.25">
      <c r="A2819" s="29" t="s">
        <v>7039</v>
      </c>
      <c r="C2819" s="37" t="s">
        <v>2314</v>
      </c>
      <c r="E2819" s="37" t="s">
        <v>2927</v>
      </c>
      <c r="H2819" s="38" t="s">
        <v>7080</v>
      </c>
      <c r="J2819" s="214" t="s">
        <v>5636</v>
      </c>
      <c r="N2819" s="37" t="s">
        <v>7018</v>
      </c>
      <c r="O2819" s="37" t="s">
        <v>6774</v>
      </c>
      <c r="P2819" s="37" t="s">
        <v>1781</v>
      </c>
      <c r="Q2819" s="37" t="s">
        <v>3506</v>
      </c>
      <c r="R2819" s="37" t="s">
        <v>1792</v>
      </c>
      <c r="S2819" s="10" t="s">
        <v>2983</v>
      </c>
      <c r="T2819" s="10" t="s">
        <v>7034</v>
      </c>
      <c r="U2819" s="22">
        <v>1</v>
      </c>
      <c r="V2819" s="22">
        <v>30</v>
      </c>
      <c r="W2819" s="73">
        <f t="shared" si="162"/>
        <v>7049</v>
      </c>
      <c r="X2819" s="80">
        <f t="shared" si="163"/>
        <v>15095</v>
      </c>
      <c r="Y2819" s="82" t="s">
        <v>3587</v>
      </c>
      <c r="AA2819" s="82"/>
      <c r="AB2819" s="177">
        <v>44733</v>
      </c>
      <c r="AC2819" s="84" t="s">
        <v>2885</v>
      </c>
    </row>
    <row r="2820" spans="1:29" ht="15.45" customHeight="1" x14ac:dyDescent="0.25">
      <c r="A2820" s="29" t="s">
        <v>7040</v>
      </c>
      <c r="C2820" s="37" t="s">
        <v>2314</v>
      </c>
      <c r="E2820" s="37" t="s">
        <v>2927</v>
      </c>
      <c r="H2820" s="38" t="s">
        <v>7080</v>
      </c>
      <c r="J2820" s="214" t="s">
        <v>5636</v>
      </c>
      <c r="N2820" s="37" t="s">
        <v>7018</v>
      </c>
      <c r="O2820" s="37" t="s">
        <v>6774</v>
      </c>
      <c r="P2820" s="37" t="s">
        <v>1781</v>
      </c>
      <c r="Q2820" s="37" t="s">
        <v>3506</v>
      </c>
      <c r="R2820" s="37" t="s">
        <v>1792</v>
      </c>
      <c r="S2820" s="10" t="s">
        <v>3412</v>
      </c>
      <c r="T2820" s="10" t="s">
        <v>7025</v>
      </c>
      <c r="U2820" s="22">
        <v>1</v>
      </c>
      <c r="V2820" s="22">
        <v>36</v>
      </c>
      <c r="W2820" s="73">
        <f t="shared" si="162"/>
        <v>7085</v>
      </c>
      <c r="X2820" s="80">
        <f t="shared" si="163"/>
        <v>15131</v>
      </c>
      <c r="Y2820" s="82" t="s">
        <v>3587</v>
      </c>
      <c r="AA2820" s="82"/>
      <c r="AB2820" s="177">
        <v>44733</v>
      </c>
      <c r="AC2820" s="84" t="s">
        <v>2885</v>
      </c>
    </row>
    <row r="2821" spans="1:29" ht="15.45" customHeight="1" x14ac:dyDescent="0.25">
      <c r="A2821" s="29" t="s">
        <v>7041</v>
      </c>
      <c r="C2821" s="37" t="s">
        <v>2314</v>
      </c>
      <c r="E2821" s="37" t="s">
        <v>2927</v>
      </c>
      <c r="H2821" s="38" t="s">
        <v>7080</v>
      </c>
      <c r="J2821" s="214" t="s">
        <v>5636</v>
      </c>
      <c r="N2821" s="37" t="s">
        <v>7018</v>
      </c>
      <c r="O2821" s="37" t="s">
        <v>6774</v>
      </c>
      <c r="P2821" s="37" t="s">
        <v>1781</v>
      </c>
      <c r="Q2821" s="37" t="s">
        <v>3506</v>
      </c>
      <c r="R2821" s="37" t="s">
        <v>1792</v>
      </c>
      <c r="S2821" s="10" t="s">
        <v>3412</v>
      </c>
      <c r="T2821" s="10" t="s">
        <v>7025</v>
      </c>
      <c r="U2821" s="22">
        <v>1</v>
      </c>
      <c r="V2821" s="22">
        <v>36</v>
      </c>
      <c r="W2821" s="73">
        <f t="shared" si="162"/>
        <v>7121</v>
      </c>
      <c r="X2821" s="80">
        <f t="shared" si="163"/>
        <v>15167</v>
      </c>
      <c r="Y2821" s="82" t="s">
        <v>3587</v>
      </c>
      <c r="AA2821" s="82"/>
      <c r="AB2821" s="177">
        <v>44733</v>
      </c>
      <c r="AC2821" s="84" t="s">
        <v>2885</v>
      </c>
    </row>
    <row r="2822" spans="1:29" ht="15.45" customHeight="1" x14ac:dyDescent="0.25">
      <c r="A2822" s="29" t="s">
        <v>7042</v>
      </c>
      <c r="C2822" s="37" t="s">
        <v>2314</v>
      </c>
      <c r="E2822" s="37" t="s">
        <v>2927</v>
      </c>
      <c r="H2822" s="38" t="s">
        <v>7080</v>
      </c>
      <c r="J2822" s="214" t="s">
        <v>5636</v>
      </c>
      <c r="N2822" s="37" t="s">
        <v>7018</v>
      </c>
      <c r="O2822" s="37" t="s">
        <v>6774</v>
      </c>
      <c r="P2822" s="37" t="s">
        <v>1781</v>
      </c>
      <c r="Q2822" s="37" t="s">
        <v>3506</v>
      </c>
      <c r="R2822" s="37" t="s">
        <v>1792</v>
      </c>
      <c r="S2822" s="10" t="s">
        <v>2980</v>
      </c>
      <c r="T2822" s="10" t="s">
        <v>7043</v>
      </c>
      <c r="U2822" s="22">
        <v>1</v>
      </c>
      <c r="V2822" s="22">
        <v>20</v>
      </c>
      <c r="W2822" s="73">
        <f t="shared" si="162"/>
        <v>7141</v>
      </c>
      <c r="X2822" s="80">
        <f t="shared" si="163"/>
        <v>15187</v>
      </c>
      <c r="Y2822" s="82" t="s">
        <v>3587</v>
      </c>
      <c r="AA2822" s="82"/>
      <c r="AB2822" s="177">
        <v>44733</v>
      </c>
      <c r="AC2822" s="84" t="s">
        <v>2885</v>
      </c>
    </row>
    <row r="2823" spans="1:29" ht="15.45" customHeight="1" x14ac:dyDescent="0.25">
      <c r="A2823" s="29" t="s">
        <v>7044</v>
      </c>
      <c r="C2823" s="37" t="s">
        <v>2314</v>
      </c>
      <c r="E2823" s="37" t="s">
        <v>2927</v>
      </c>
      <c r="H2823" s="38" t="s">
        <v>7080</v>
      </c>
      <c r="J2823" s="214" t="s">
        <v>5636</v>
      </c>
      <c r="N2823" s="37" t="s">
        <v>7018</v>
      </c>
      <c r="O2823" s="37" t="s">
        <v>6774</v>
      </c>
      <c r="P2823" s="37" t="s">
        <v>1781</v>
      </c>
      <c r="Q2823" s="37" t="s">
        <v>3506</v>
      </c>
      <c r="R2823" s="37" t="s">
        <v>1792</v>
      </c>
      <c r="S2823" s="10" t="s">
        <v>2983</v>
      </c>
      <c r="T2823" s="10" t="s">
        <v>7045</v>
      </c>
      <c r="U2823" s="22">
        <v>1</v>
      </c>
      <c r="V2823" s="22">
        <v>31</v>
      </c>
      <c r="W2823" s="73">
        <f t="shared" si="162"/>
        <v>7172</v>
      </c>
      <c r="X2823" s="80">
        <f t="shared" si="163"/>
        <v>15218</v>
      </c>
      <c r="Y2823" s="82" t="s">
        <v>3587</v>
      </c>
      <c r="AA2823" s="82"/>
      <c r="AB2823" s="177">
        <v>44733</v>
      </c>
      <c r="AC2823" s="84" t="s">
        <v>2885</v>
      </c>
    </row>
    <row r="2824" spans="1:29" ht="15.45" customHeight="1" x14ac:dyDescent="0.25">
      <c r="A2824" s="29" t="s">
        <v>7047</v>
      </c>
      <c r="C2824" s="37" t="s">
        <v>2314</v>
      </c>
      <c r="E2824" s="37" t="s">
        <v>2927</v>
      </c>
      <c r="H2824" s="38" t="s">
        <v>7080</v>
      </c>
      <c r="J2824" s="214" t="s">
        <v>5636</v>
      </c>
      <c r="N2824" s="37" t="s">
        <v>7018</v>
      </c>
      <c r="O2824" s="37" t="s">
        <v>6774</v>
      </c>
      <c r="P2824" s="37" t="s">
        <v>1781</v>
      </c>
      <c r="Q2824" s="37" t="s">
        <v>3506</v>
      </c>
      <c r="R2824" s="37" t="s">
        <v>1792</v>
      </c>
      <c r="S2824" s="10" t="s">
        <v>3412</v>
      </c>
      <c r="T2824" s="10" t="s">
        <v>7025</v>
      </c>
      <c r="U2824" s="22">
        <v>1</v>
      </c>
      <c r="V2824" s="22">
        <v>36</v>
      </c>
      <c r="W2824" s="73">
        <f t="shared" si="162"/>
        <v>7208</v>
      </c>
      <c r="X2824" s="80">
        <f t="shared" si="163"/>
        <v>15254</v>
      </c>
      <c r="Y2824" s="82" t="s">
        <v>3587</v>
      </c>
      <c r="AA2824" s="82"/>
      <c r="AB2824" s="177">
        <v>44733</v>
      </c>
      <c r="AC2824" s="84" t="s">
        <v>2885</v>
      </c>
    </row>
    <row r="2825" spans="1:29" ht="15.45" customHeight="1" x14ac:dyDescent="0.25">
      <c r="A2825" s="29" t="s">
        <v>7046</v>
      </c>
      <c r="C2825" s="37" t="s">
        <v>2314</v>
      </c>
      <c r="E2825" s="37" t="s">
        <v>2927</v>
      </c>
      <c r="H2825" s="38" t="s">
        <v>7080</v>
      </c>
      <c r="J2825" s="214" t="s">
        <v>5636</v>
      </c>
      <c r="N2825" s="37" t="s">
        <v>7018</v>
      </c>
      <c r="O2825" s="37" t="s">
        <v>6774</v>
      </c>
      <c r="P2825" s="37" t="s">
        <v>1781</v>
      </c>
      <c r="Q2825" s="37" t="s">
        <v>3506</v>
      </c>
      <c r="R2825" s="37" t="s">
        <v>1792</v>
      </c>
      <c r="S2825" s="10" t="s">
        <v>2982</v>
      </c>
      <c r="T2825" s="10" t="s">
        <v>7048</v>
      </c>
      <c r="U2825" s="22">
        <v>1</v>
      </c>
      <c r="V2825" s="22">
        <v>1</v>
      </c>
      <c r="W2825" s="73">
        <f t="shared" si="162"/>
        <v>7209</v>
      </c>
      <c r="X2825" s="80">
        <f t="shared" si="163"/>
        <v>15255</v>
      </c>
      <c r="Y2825" s="82" t="s">
        <v>3587</v>
      </c>
      <c r="AA2825" s="82"/>
      <c r="AB2825" s="177">
        <v>44733</v>
      </c>
      <c r="AC2825" s="84" t="s">
        <v>2885</v>
      </c>
    </row>
    <row r="2826" spans="1:29" ht="15.45" customHeight="1" x14ac:dyDescent="0.25">
      <c r="A2826" s="29" t="s">
        <v>7049</v>
      </c>
      <c r="C2826" s="37" t="s">
        <v>2314</v>
      </c>
      <c r="E2826" s="37" t="s">
        <v>2927</v>
      </c>
      <c r="H2826" s="38" t="s">
        <v>7080</v>
      </c>
      <c r="J2826" s="214" t="s">
        <v>5636</v>
      </c>
      <c r="N2826" s="37" t="s">
        <v>7018</v>
      </c>
      <c r="O2826" s="37" t="s">
        <v>6774</v>
      </c>
      <c r="P2826" s="37" t="s">
        <v>1781</v>
      </c>
      <c r="Q2826" s="37" t="s">
        <v>3506</v>
      </c>
      <c r="R2826" s="37" t="s">
        <v>1792</v>
      </c>
      <c r="S2826" s="10" t="s">
        <v>2981</v>
      </c>
      <c r="T2826" s="10" t="s">
        <v>7050</v>
      </c>
      <c r="U2826" s="22">
        <v>1</v>
      </c>
      <c r="V2826" s="22">
        <v>17</v>
      </c>
      <c r="W2826" s="73">
        <f t="shared" si="162"/>
        <v>7226</v>
      </c>
      <c r="X2826" s="80">
        <f t="shared" si="163"/>
        <v>15272</v>
      </c>
      <c r="Y2826" s="82" t="s">
        <v>3587</v>
      </c>
      <c r="AA2826" s="82"/>
      <c r="AB2826" s="177">
        <v>44733</v>
      </c>
      <c r="AC2826" s="84" t="s">
        <v>2885</v>
      </c>
    </row>
    <row r="2827" spans="1:29" ht="15.45" customHeight="1" x14ac:dyDescent="0.25">
      <c r="A2827" s="29" t="s">
        <v>7051</v>
      </c>
      <c r="C2827" s="37" t="s">
        <v>2314</v>
      </c>
      <c r="E2827" s="37" t="s">
        <v>2927</v>
      </c>
      <c r="H2827" s="38" t="s">
        <v>7080</v>
      </c>
      <c r="J2827" s="214" t="s">
        <v>5636</v>
      </c>
      <c r="N2827" s="37" t="s">
        <v>7018</v>
      </c>
      <c r="O2827" s="37" t="s">
        <v>6774</v>
      </c>
      <c r="P2827" s="37" t="s">
        <v>1781</v>
      </c>
      <c r="Q2827" s="37" t="s">
        <v>3506</v>
      </c>
      <c r="R2827" s="37" t="s">
        <v>1792</v>
      </c>
      <c r="S2827" s="10" t="s">
        <v>2980</v>
      </c>
      <c r="T2827" s="10" t="s">
        <v>7028</v>
      </c>
      <c r="U2827" s="22">
        <v>1</v>
      </c>
      <c r="V2827" s="22">
        <v>25</v>
      </c>
      <c r="W2827" s="73">
        <f t="shared" si="162"/>
        <v>7251</v>
      </c>
      <c r="X2827" s="80">
        <f t="shared" si="163"/>
        <v>15297</v>
      </c>
      <c r="Y2827" s="82" t="s">
        <v>3587</v>
      </c>
      <c r="AA2827" s="82"/>
      <c r="AB2827" s="177">
        <v>44733</v>
      </c>
      <c r="AC2827" s="84" t="s">
        <v>2885</v>
      </c>
    </row>
    <row r="2828" spans="1:29" ht="15.45" customHeight="1" x14ac:dyDescent="0.25">
      <c r="A2828" s="29" t="s">
        <v>7052</v>
      </c>
      <c r="C2828" s="37" t="s">
        <v>2314</v>
      </c>
      <c r="E2828" s="37" t="s">
        <v>2927</v>
      </c>
      <c r="H2828" s="38" t="s">
        <v>7080</v>
      </c>
      <c r="J2828" s="214" t="s">
        <v>5636</v>
      </c>
      <c r="N2828" s="37" t="s">
        <v>7018</v>
      </c>
      <c r="O2828" s="37" t="s">
        <v>6774</v>
      </c>
      <c r="P2828" s="37" t="s">
        <v>1781</v>
      </c>
      <c r="Q2828" s="37" t="s">
        <v>3506</v>
      </c>
      <c r="R2828" s="37" t="s">
        <v>1792</v>
      </c>
      <c r="S2828" s="10" t="s">
        <v>2983</v>
      </c>
      <c r="T2828" s="10" t="s">
        <v>7053</v>
      </c>
      <c r="U2828" s="22">
        <v>1</v>
      </c>
      <c r="V2828" s="22">
        <v>29</v>
      </c>
      <c r="W2828" s="73">
        <f t="shared" si="162"/>
        <v>7280</v>
      </c>
      <c r="X2828" s="80">
        <f t="shared" si="163"/>
        <v>15326</v>
      </c>
      <c r="Y2828" s="82" t="s">
        <v>3587</v>
      </c>
      <c r="AA2828" s="82"/>
      <c r="AB2828" s="177">
        <v>44733</v>
      </c>
      <c r="AC2828" s="84" t="s">
        <v>2885</v>
      </c>
    </row>
    <row r="2829" spans="1:29" ht="15.45" customHeight="1" x14ac:dyDescent="0.25">
      <c r="A2829" s="29" t="s">
        <v>7054</v>
      </c>
      <c r="C2829" s="37" t="s">
        <v>2314</v>
      </c>
      <c r="E2829" s="37" t="s">
        <v>2927</v>
      </c>
      <c r="H2829" s="38" t="s">
        <v>7080</v>
      </c>
      <c r="J2829" s="214" t="s">
        <v>5636</v>
      </c>
      <c r="N2829" s="37" t="s">
        <v>7018</v>
      </c>
      <c r="O2829" s="37" t="s">
        <v>6774</v>
      </c>
      <c r="P2829" s="37" t="s">
        <v>1781</v>
      </c>
      <c r="Q2829" s="37" t="s">
        <v>3506</v>
      </c>
      <c r="R2829" s="37" t="s">
        <v>1792</v>
      </c>
      <c r="S2829" s="10" t="s">
        <v>2981</v>
      </c>
      <c r="T2829" s="10" t="s">
        <v>7055</v>
      </c>
      <c r="U2829" s="22">
        <v>1</v>
      </c>
      <c r="V2829" s="22">
        <v>19</v>
      </c>
      <c r="W2829" s="73">
        <f t="shared" si="162"/>
        <v>7299</v>
      </c>
      <c r="X2829" s="80">
        <f t="shared" si="163"/>
        <v>15345</v>
      </c>
      <c r="Y2829" s="82" t="s">
        <v>3587</v>
      </c>
      <c r="AA2829" s="82"/>
      <c r="AB2829" s="177">
        <v>44733</v>
      </c>
      <c r="AC2829" s="84" t="s">
        <v>2885</v>
      </c>
    </row>
    <row r="2830" spans="1:29" ht="15.45" customHeight="1" x14ac:dyDescent="0.25">
      <c r="A2830" s="29" t="s">
        <v>7056</v>
      </c>
      <c r="C2830" s="37" t="s">
        <v>2314</v>
      </c>
      <c r="E2830" s="37" t="s">
        <v>2927</v>
      </c>
      <c r="H2830" s="38" t="s">
        <v>7080</v>
      </c>
      <c r="J2830" s="214" t="s">
        <v>5636</v>
      </c>
      <c r="N2830" s="37" t="s">
        <v>7018</v>
      </c>
      <c r="O2830" s="37" t="s">
        <v>6774</v>
      </c>
      <c r="P2830" s="37" t="s">
        <v>1781</v>
      </c>
      <c r="Q2830" s="37" t="s">
        <v>3506</v>
      </c>
      <c r="R2830" s="37" t="s">
        <v>1792</v>
      </c>
      <c r="S2830" s="10" t="s">
        <v>3412</v>
      </c>
      <c r="T2830" s="10" t="s">
        <v>7025</v>
      </c>
      <c r="U2830" s="22">
        <v>1</v>
      </c>
      <c r="V2830" s="22">
        <v>36</v>
      </c>
      <c r="W2830" s="73">
        <f t="shared" si="162"/>
        <v>7335</v>
      </c>
      <c r="X2830" s="80">
        <f t="shared" si="163"/>
        <v>15381</v>
      </c>
      <c r="Y2830" s="82" t="s">
        <v>3587</v>
      </c>
      <c r="AA2830" s="82"/>
      <c r="AB2830" s="177">
        <v>44733</v>
      </c>
      <c r="AC2830" s="84" t="s">
        <v>2885</v>
      </c>
    </row>
    <row r="2831" spans="1:29" ht="15.45" customHeight="1" x14ac:dyDescent="0.25">
      <c r="A2831" s="29" t="s">
        <v>7057</v>
      </c>
      <c r="C2831" s="37" t="s">
        <v>2314</v>
      </c>
      <c r="E2831" s="37" t="s">
        <v>2927</v>
      </c>
      <c r="H2831" s="38" t="s">
        <v>7080</v>
      </c>
      <c r="J2831" s="214" t="s">
        <v>5636</v>
      </c>
      <c r="N2831" s="37" t="s">
        <v>7018</v>
      </c>
      <c r="O2831" s="37" t="s">
        <v>6774</v>
      </c>
      <c r="P2831" s="37" t="s">
        <v>1781</v>
      </c>
      <c r="Q2831" s="37" t="s">
        <v>3506</v>
      </c>
      <c r="R2831" s="37" t="s">
        <v>1792</v>
      </c>
      <c r="S2831" s="10" t="s">
        <v>2981</v>
      </c>
      <c r="T2831" s="10" t="s">
        <v>7055</v>
      </c>
      <c r="U2831" s="22">
        <v>1</v>
      </c>
      <c r="V2831" s="22">
        <v>25</v>
      </c>
      <c r="W2831" s="73">
        <f t="shared" si="162"/>
        <v>7360</v>
      </c>
      <c r="X2831" s="80">
        <f t="shared" si="163"/>
        <v>15406</v>
      </c>
      <c r="Y2831" s="82" t="s">
        <v>3587</v>
      </c>
      <c r="AA2831" s="82"/>
      <c r="AB2831" s="177">
        <v>44733</v>
      </c>
      <c r="AC2831" s="84" t="s">
        <v>2885</v>
      </c>
    </row>
    <row r="2832" spans="1:29" ht="15.45" customHeight="1" x14ac:dyDescent="0.25">
      <c r="A2832" s="29" t="s">
        <v>7058</v>
      </c>
      <c r="C2832" s="37" t="s">
        <v>2314</v>
      </c>
      <c r="E2832" s="37" t="s">
        <v>2927</v>
      </c>
      <c r="H2832" s="38" t="s">
        <v>7080</v>
      </c>
      <c r="J2832" s="214" t="s">
        <v>5636</v>
      </c>
      <c r="N2832" s="37" t="s">
        <v>7018</v>
      </c>
      <c r="O2832" s="37" t="s">
        <v>6774</v>
      </c>
      <c r="P2832" s="37" t="s">
        <v>1781</v>
      </c>
      <c r="Q2832" s="37" t="s">
        <v>3506</v>
      </c>
      <c r="R2832" s="37" t="s">
        <v>1792</v>
      </c>
      <c r="S2832" s="10" t="s">
        <v>2982</v>
      </c>
      <c r="T2832" s="10" t="s">
        <v>7059</v>
      </c>
      <c r="U2832" s="22">
        <v>1</v>
      </c>
      <c r="V2832" s="22">
        <v>6</v>
      </c>
      <c r="W2832" s="73">
        <f t="shared" si="162"/>
        <v>7366</v>
      </c>
      <c r="X2832" s="80">
        <f t="shared" si="163"/>
        <v>15412</v>
      </c>
      <c r="Y2832" s="82" t="s">
        <v>3587</v>
      </c>
      <c r="AA2832" s="82"/>
      <c r="AB2832" s="177">
        <v>44733</v>
      </c>
      <c r="AC2832" s="84" t="s">
        <v>2885</v>
      </c>
    </row>
    <row r="2833" spans="1:29" ht="15.45" customHeight="1" x14ac:dyDescent="0.25">
      <c r="A2833" s="29" t="s">
        <v>7060</v>
      </c>
      <c r="C2833" s="37" t="s">
        <v>2314</v>
      </c>
      <c r="E2833" s="37" t="s">
        <v>2927</v>
      </c>
      <c r="H2833" s="38" t="s">
        <v>7080</v>
      </c>
      <c r="J2833" s="214" t="s">
        <v>5636</v>
      </c>
      <c r="N2833" s="37" t="s">
        <v>7018</v>
      </c>
      <c r="O2833" s="37" t="s">
        <v>6774</v>
      </c>
      <c r="P2833" s="37" t="s">
        <v>1781</v>
      </c>
      <c r="Q2833" s="37" t="s">
        <v>3506</v>
      </c>
      <c r="R2833" s="37" t="s">
        <v>1792</v>
      </c>
      <c r="S2833" s="10" t="s">
        <v>2980</v>
      </c>
      <c r="T2833" s="10" t="s">
        <v>7026</v>
      </c>
      <c r="U2833" s="22">
        <v>1</v>
      </c>
      <c r="V2833" s="22">
        <v>26</v>
      </c>
      <c r="W2833" s="73">
        <f t="shared" si="162"/>
        <v>7392</v>
      </c>
      <c r="X2833" s="80">
        <f t="shared" si="163"/>
        <v>15438</v>
      </c>
      <c r="Y2833" s="82" t="s">
        <v>3587</v>
      </c>
      <c r="AA2833" s="82"/>
      <c r="AB2833" s="177">
        <v>44733</v>
      </c>
      <c r="AC2833" s="84" t="s">
        <v>2885</v>
      </c>
    </row>
    <row r="2834" spans="1:29" ht="15.45" customHeight="1" x14ac:dyDescent="0.25">
      <c r="A2834" s="29" t="s">
        <v>7061</v>
      </c>
      <c r="C2834" s="37" t="s">
        <v>2314</v>
      </c>
      <c r="E2834" s="37" t="s">
        <v>2927</v>
      </c>
      <c r="H2834" s="38" t="s">
        <v>7080</v>
      </c>
      <c r="J2834" s="214" t="s">
        <v>5636</v>
      </c>
      <c r="N2834" s="37" t="s">
        <v>7018</v>
      </c>
      <c r="O2834" s="37" t="s">
        <v>6774</v>
      </c>
      <c r="P2834" s="37" t="s">
        <v>1781</v>
      </c>
      <c r="Q2834" s="37" t="s">
        <v>3506</v>
      </c>
      <c r="R2834" s="37" t="s">
        <v>1792</v>
      </c>
      <c r="S2834" s="10" t="s">
        <v>2983</v>
      </c>
      <c r="T2834" s="10" t="s">
        <v>7053</v>
      </c>
      <c r="U2834" s="22">
        <v>1</v>
      </c>
      <c r="V2834" s="22">
        <v>29</v>
      </c>
      <c r="W2834" s="73">
        <f t="shared" si="162"/>
        <v>7421</v>
      </c>
      <c r="X2834" s="80">
        <f t="shared" si="163"/>
        <v>15467</v>
      </c>
      <c r="Y2834" s="82" t="s">
        <v>3587</v>
      </c>
      <c r="AA2834" s="82"/>
      <c r="AB2834" s="177">
        <v>44733</v>
      </c>
      <c r="AC2834" s="84" t="s">
        <v>2885</v>
      </c>
    </row>
    <row r="2835" spans="1:29" ht="15.45" customHeight="1" x14ac:dyDescent="0.25">
      <c r="A2835" s="29" t="s">
        <v>7062</v>
      </c>
      <c r="C2835" s="37" t="s">
        <v>2314</v>
      </c>
      <c r="E2835" s="37" t="s">
        <v>2927</v>
      </c>
      <c r="H2835" s="38" t="s">
        <v>7080</v>
      </c>
      <c r="J2835" s="214" t="s">
        <v>5636</v>
      </c>
      <c r="N2835" s="37" t="s">
        <v>7018</v>
      </c>
      <c r="O2835" s="37" t="s">
        <v>6774</v>
      </c>
      <c r="P2835" s="37" t="s">
        <v>1781</v>
      </c>
      <c r="Q2835" s="37" t="s">
        <v>3506</v>
      </c>
      <c r="R2835" s="37" t="s">
        <v>1792</v>
      </c>
      <c r="S2835" s="10" t="s">
        <v>2983</v>
      </c>
      <c r="T2835" s="10" t="s">
        <v>7066</v>
      </c>
      <c r="U2835" s="22">
        <v>1</v>
      </c>
      <c r="V2835" s="22">
        <v>35</v>
      </c>
      <c r="W2835" s="73">
        <f t="shared" si="162"/>
        <v>7456</v>
      </c>
      <c r="X2835" s="80">
        <f t="shared" si="163"/>
        <v>15502</v>
      </c>
      <c r="Y2835" s="82" t="s">
        <v>3587</v>
      </c>
      <c r="AA2835" s="82"/>
      <c r="AB2835" s="177">
        <v>44733</v>
      </c>
      <c r="AC2835" s="84" t="s">
        <v>2885</v>
      </c>
    </row>
    <row r="2836" spans="1:29" ht="15.45" customHeight="1" x14ac:dyDescent="0.25">
      <c r="A2836" s="29" t="s">
        <v>7064</v>
      </c>
      <c r="C2836" s="37" t="s">
        <v>2314</v>
      </c>
      <c r="E2836" s="37" t="s">
        <v>2927</v>
      </c>
      <c r="H2836" s="38" t="s">
        <v>7080</v>
      </c>
      <c r="J2836" s="214" t="s">
        <v>5636</v>
      </c>
      <c r="N2836" s="37" t="s">
        <v>7018</v>
      </c>
      <c r="O2836" s="37" t="s">
        <v>6774</v>
      </c>
      <c r="P2836" s="37" t="s">
        <v>1781</v>
      </c>
      <c r="Q2836" s="37" t="s">
        <v>3506</v>
      </c>
      <c r="R2836" s="37" t="s">
        <v>1792</v>
      </c>
      <c r="S2836" s="10" t="s">
        <v>2983</v>
      </c>
      <c r="T2836" s="10" t="s">
        <v>7065</v>
      </c>
      <c r="U2836" s="22">
        <v>1</v>
      </c>
      <c r="V2836" s="22">
        <v>33</v>
      </c>
      <c r="W2836" s="73">
        <f t="shared" si="162"/>
        <v>7489</v>
      </c>
      <c r="X2836" s="80">
        <f t="shared" si="163"/>
        <v>15535</v>
      </c>
      <c r="Y2836" s="82" t="s">
        <v>3587</v>
      </c>
      <c r="AA2836" s="82"/>
      <c r="AB2836" s="177">
        <v>44733</v>
      </c>
      <c r="AC2836" s="84" t="s">
        <v>2885</v>
      </c>
    </row>
    <row r="2837" spans="1:29" ht="15.45" customHeight="1" x14ac:dyDescent="0.25">
      <c r="A2837" s="29" t="s">
        <v>7067</v>
      </c>
      <c r="C2837" s="37" t="s">
        <v>2314</v>
      </c>
      <c r="E2837" s="37" t="s">
        <v>2927</v>
      </c>
      <c r="H2837" s="38" t="s">
        <v>7080</v>
      </c>
      <c r="J2837" s="214" t="s">
        <v>5636</v>
      </c>
      <c r="N2837" s="37" t="s">
        <v>7018</v>
      </c>
      <c r="O2837" s="37" t="s">
        <v>6774</v>
      </c>
      <c r="P2837" s="37" t="s">
        <v>1781</v>
      </c>
      <c r="Q2837" s="37" t="s">
        <v>3506</v>
      </c>
      <c r="R2837" s="37" t="s">
        <v>1792</v>
      </c>
      <c r="S2837" s="10" t="s">
        <v>3412</v>
      </c>
      <c r="T2837" s="10" t="s">
        <v>7025</v>
      </c>
      <c r="U2837" s="22">
        <v>1</v>
      </c>
      <c r="V2837" s="22">
        <v>36</v>
      </c>
      <c r="W2837" s="73">
        <f t="shared" si="162"/>
        <v>7525</v>
      </c>
      <c r="X2837" s="80">
        <f t="shared" si="163"/>
        <v>15571</v>
      </c>
      <c r="Y2837" s="82" t="s">
        <v>3587</v>
      </c>
      <c r="AA2837" s="82"/>
      <c r="AB2837" s="177">
        <v>44733</v>
      </c>
      <c r="AC2837" s="84" t="s">
        <v>2885</v>
      </c>
    </row>
    <row r="2838" spans="1:29" ht="15.45" customHeight="1" x14ac:dyDescent="0.25">
      <c r="A2838" s="29" t="s">
        <v>7068</v>
      </c>
      <c r="C2838" s="37" t="s">
        <v>2314</v>
      </c>
      <c r="E2838" s="37" t="s">
        <v>2927</v>
      </c>
      <c r="H2838" s="38" t="s">
        <v>7080</v>
      </c>
      <c r="J2838" s="214" t="s">
        <v>5636</v>
      </c>
      <c r="N2838" s="37" t="s">
        <v>7018</v>
      </c>
      <c r="O2838" s="37" t="s">
        <v>6774</v>
      </c>
      <c r="P2838" s="37" t="s">
        <v>1781</v>
      </c>
      <c r="Q2838" s="37" t="s">
        <v>3506</v>
      </c>
      <c r="R2838" s="37" t="s">
        <v>1792</v>
      </c>
      <c r="S2838" s="10" t="s">
        <v>2983</v>
      </c>
      <c r="T2838" s="10" t="s">
        <v>7069</v>
      </c>
      <c r="U2838" s="22">
        <v>1</v>
      </c>
      <c r="V2838" s="22">
        <v>32</v>
      </c>
      <c r="W2838" s="73">
        <f t="shared" si="162"/>
        <v>7557</v>
      </c>
      <c r="X2838" s="80">
        <f t="shared" si="163"/>
        <v>15603</v>
      </c>
      <c r="Y2838" s="82" t="s">
        <v>3587</v>
      </c>
      <c r="AA2838" s="82"/>
      <c r="AB2838" s="177">
        <v>44733</v>
      </c>
      <c r="AC2838" s="84" t="s">
        <v>2885</v>
      </c>
    </row>
    <row r="2839" spans="1:29" ht="15.45" customHeight="1" x14ac:dyDescent="0.25">
      <c r="A2839" s="29" t="s">
        <v>7070</v>
      </c>
      <c r="C2839" s="37" t="s">
        <v>2314</v>
      </c>
      <c r="E2839" s="37" t="s">
        <v>2927</v>
      </c>
      <c r="H2839" s="38" t="s">
        <v>7080</v>
      </c>
      <c r="J2839" s="214" t="s">
        <v>5636</v>
      </c>
      <c r="N2839" s="37" t="s">
        <v>7018</v>
      </c>
      <c r="O2839" s="37" t="s">
        <v>6774</v>
      </c>
      <c r="P2839" s="37" t="s">
        <v>1781</v>
      </c>
      <c r="Q2839" s="37" t="s">
        <v>3506</v>
      </c>
      <c r="R2839" s="37" t="s">
        <v>1792</v>
      </c>
      <c r="S2839" s="10" t="s">
        <v>2981</v>
      </c>
      <c r="T2839" s="10" t="s">
        <v>7055</v>
      </c>
      <c r="U2839" s="22">
        <v>1</v>
      </c>
      <c r="V2839" s="22">
        <v>19</v>
      </c>
      <c r="W2839" s="73">
        <f t="shared" si="162"/>
        <v>7576</v>
      </c>
      <c r="X2839" s="80">
        <f t="shared" si="163"/>
        <v>15622</v>
      </c>
      <c r="Y2839" s="82" t="s">
        <v>3587</v>
      </c>
      <c r="AA2839" s="82"/>
      <c r="AB2839" s="177">
        <v>44733</v>
      </c>
      <c r="AC2839" s="84" t="s">
        <v>2885</v>
      </c>
    </row>
    <row r="2840" spans="1:29" ht="15.45" customHeight="1" x14ac:dyDescent="0.25">
      <c r="A2840" s="29" t="s">
        <v>7071</v>
      </c>
      <c r="C2840" s="37" t="s">
        <v>2314</v>
      </c>
      <c r="E2840" s="37" t="s">
        <v>2927</v>
      </c>
      <c r="H2840" s="38" t="s">
        <v>7080</v>
      </c>
      <c r="J2840" s="214" t="s">
        <v>5636</v>
      </c>
      <c r="N2840" s="37" t="s">
        <v>7018</v>
      </c>
      <c r="O2840" s="37" t="s">
        <v>6774</v>
      </c>
      <c r="P2840" s="37" t="s">
        <v>1781</v>
      </c>
      <c r="Q2840" s="37" t="s">
        <v>3506</v>
      </c>
      <c r="R2840" s="37" t="s">
        <v>1792</v>
      </c>
      <c r="S2840" s="10" t="s">
        <v>2980</v>
      </c>
      <c r="T2840" s="10" t="s">
        <v>7028</v>
      </c>
      <c r="U2840" s="22">
        <v>1</v>
      </c>
      <c r="V2840" s="22">
        <v>25</v>
      </c>
      <c r="W2840" s="73">
        <f t="shared" si="162"/>
        <v>7601</v>
      </c>
      <c r="X2840" s="80">
        <f t="shared" si="163"/>
        <v>15647</v>
      </c>
      <c r="Y2840" s="82" t="s">
        <v>3587</v>
      </c>
      <c r="AA2840" s="82"/>
      <c r="AB2840" s="177">
        <v>44733</v>
      </c>
      <c r="AC2840" s="84" t="s">
        <v>2885</v>
      </c>
    </row>
    <row r="2841" spans="1:29" ht="15.45" customHeight="1" x14ac:dyDescent="0.25">
      <c r="A2841" s="29" t="s">
        <v>7072</v>
      </c>
      <c r="C2841" s="37" t="s">
        <v>2314</v>
      </c>
      <c r="E2841" s="37" t="s">
        <v>2927</v>
      </c>
      <c r="H2841" s="38" t="s">
        <v>7080</v>
      </c>
      <c r="J2841" s="214" t="s">
        <v>5636</v>
      </c>
      <c r="N2841" s="37" t="s">
        <v>7018</v>
      </c>
      <c r="O2841" s="37" t="s">
        <v>6774</v>
      </c>
      <c r="P2841" s="37" t="s">
        <v>1781</v>
      </c>
      <c r="Q2841" s="37" t="s">
        <v>3506</v>
      </c>
      <c r="R2841" s="37" t="s">
        <v>1792</v>
      </c>
      <c r="S2841" s="10" t="s">
        <v>3412</v>
      </c>
      <c r="T2841" s="10" t="s">
        <v>7025</v>
      </c>
      <c r="U2841" s="22">
        <v>1</v>
      </c>
      <c r="V2841" s="22">
        <v>36</v>
      </c>
      <c r="W2841" s="73">
        <f t="shared" si="162"/>
        <v>7637</v>
      </c>
      <c r="X2841" s="80">
        <f t="shared" si="163"/>
        <v>15683</v>
      </c>
      <c r="Y2841" s="82" t="s">
        <v>3587</v>
      </c>
      <c r="AA2841" s="82"/>
      <c r="AB2841" s="177">
        <v>44733</v>
      </c>
      <c r="AC2841" s="84" t="s">
        <v>2885</v>
      </c>
    </row>
    <row r="2842" spans="1:29" ht="15.45" customHeight="1" x14ac:dyDescent="0.25">
      <c r="A2842" s="29" t="s">
        <v>7073</v>
      </c>
      <c r="C2842" s="37" t="s">
        <v>2314</v>
      </c>
      <c r="E2842" s="37" t="s">
        <v>2927</v>
      </c>
      <c r="H2842" s="38" t="s">
        <v>7080</v>
      </c>
      <c r="J2842" s="214" t="s">
        <v>5636</v>
      </c>
      <c r="N2842" s="37" t="s">
        <v>7018</v>
      </c>
      <c r="O2842" s="37" t="s">
        <v>6774</v>
      </c>
      <c r="P2842" s="37" t="s">
        <v>1781</v>
      </c>
      <c r="Q2842" s="37" t="s">
        <v>3506</v>
      </c>
      <c r="R2842" s="37" t="s">
        <v>1792</v>
      </c>
      <c r="S2842" s="10" t="s">
        <v>2982</v>
      </c>
      <c r="T2842" s="10" t="s">
        <v>7074</v>
      </c>
      <c r="U2842" s="22">
        <v>1</v>
      </c>
      <c r="V2842" s="22">
        <v>5</v>
      </c>
      <c r="W2842" s="73">
        <f t="shared" si="162"/>
        <v>7642</v>
      </c>
      <c r="X2842" s="80">
        <f t="shared" si="163"/>
        <v>15688</v>
      </c>
      <c r="Y2842" s="82" t="s">
        <v>3587</v>
      </c>
      <c r="AA2842" s="82"/>
      <c r="AB2842" s="177">
        <v>44733</v>
      </c>
      <c r="AC2842" s="84" t="s">
        <v>2885</v>
      </c>
    </row>
    <row r="2843" spans="1:29" ht="15.45" customHeight="1" x14ac:dyDescent="0.25">
      <c r="A2843" s="29" t="s">
        <v>7075</v>
      </c>
      <c r="C2843" s="37" t="s">
        <v>2314</v>
      </c>
      <c r="E2843" s="37" t="s">
        <v>2927</v>
      </c>
      <c r="H2843" s="38" t="s">
        <v>7080</v>
      </c>
      <c r="J2843" s="214" t="s">
        <v>5636</v>
      </c>
      <c r="N2843" s="37" t="s">
        <v>7018</v>
      </c>
      <c r="O2843" s="37" t="s">
        <v>6774</v>
      </c>
      <c r="P2843" s="37" t="s">
        <v>1781</v>
      </c>
      <c r="Q2843" s="37" t="s">
        <v>3506</v>
      </c>
      <c r="R2843" s="37" t="s">
        <v>1792</v>
      </c>
      <c r="S2843" s="10" t="s">
        <v>2983</v>
      </c>
      <c r="T2843" s="10" t="s">
        <v>7053</v>
      </c>
      <c r="U2843" s="22">
        <v>1</v>
      </c>
      <c r="V2843" s="22">
        <v>29</v>
      </c>
      <c r="W2843" s="73">
        <f t="shared" si="162"/>
        <v>7671</v>
      </c>
      <c r="X2843" s="80">
        <f t="shared" si="163"/>
        <v>15717</v>
      </c>
      <c r="Y2843" s="82" t="s">
        <v>3587</v>
      </c>
      <c r="AA2843" s="82"/>
      <c r="AB2843" s="177">
        <v>44733</v>
      </c>
      <c r="AC2843" s="84" t="s">
        <v>2885</v>
      </c>
    </row>
    <row r="2844" spans="1:29" ht="15.45" customHeight="1" x14ac:dyDescent="0.25">
      <c r="A2844" s="29" t="s">
        <v>7076</v>
      </c>
      <c r="C2844" s="37" t="s">
        <v>2314</v>
      </c>
      <c r="E2844" s="37" t="s">
        <v>2927</v>
      </c>
      <c r="H2844" s="38" t="s">
        <v>7080</v>
      </c>
      <c r="J2844" s="214" t="s">
        <v>5636</v>
      </c>
      <c r="N2844" s="37" t="s">
        <v>7018</v>
      </c>
      <c r="O2844" s="37" t="s">
        <v>6774</v>
      </c>
      <c r="P2844" s="37" t="s">
        <v>1781</v>
      </c>
      <c r="Q2844" s="37" t="s">
        <v>3506</v>
      </c>
      <c r="R2844" s="37" t="s">
        <v>1792</v>
      </c>
      <c r="S2844" s="10" t="s">
        <v>2981</v>
      </c>
      <c r="T2844" s="10" t="s">
        <v>7077</v>
      </c>
      <c r="U2844" s="22">
        <v>1</v>
      </c>
      <c r="V2844" s="22">
        <v>15</v>
      </c>
      <c r="W2844" s="73">
        <f t="shared" si="162"/>
        <v>7686</v>
      </c>
      <c r="X2844" s="80">
        <f t="shared" si="163"/>
        <v>15732</v>
      </c>
      <c r="Y2844" s="82" t="s">
        <v>3587</v>
      </c>
      <c r="AA2844" s="82"/>
      <c r="AB2844" s="177">
        <v>44733</v>
      </c>
      <c r="AC2844" s="84" t="s">
        <v>2885</v>
      </c>
    </row>
    <row r="2845" spans="1:29" ht="15.45" customHeight="1" x14ac:dyDescent="0.25">
      <c r="A2845" s="29" t="s">
        <v>7078</v>
      </c>
      <c r="C2845" s="37" t="s">
        <v>2314</v>
      </c>
      <c r="E2845" s="37" t="s">
        <v>2927</v>
      </c>
      <c r="H2845" s="38" t="s">
        <v>7080</v>
      </c>
      <c r="J2845" s="214" t="s">
        <v>5636</v>
      </c>
      <c r="N2845" s="37" t="s">
        <v>7018</v>
      </c>
      <c r="O2845" s="37" t="s">
        <v>6774</v>
      </c>
      <c r="P2845" s="37" t="s">
        <v>1781</v>
      </c>
      <c r="Q2845" s="37" t="s">
        <v>3506</v>
      </c>
      <c r="R2845" s="37" t="s">
        <v>1792</v>
      </c>
      <c r="S2845" s="10" t="s">
        <v>2981</v>
      </c>
      <c r="T2845" s="10" t="s">
        <v>7066</v>
      </c>
      <c r="U2845" s="22">
        <v>1</v>
      </c>
      <c r="V2845" s="22">
        <v>19</v>
      </c>
      <c r="W2845" s="73">
        <f t="shared" si="162"/>
        <v>7705</v>
      </c>
      <c r="X2845" s="80">
        <f t="shared" si="163"/>
        <v>15751</v>
      </c>
      <c r="Y2845" s="82" t="s">
        <v>3587</v>
      </c>
      <c r="AA2845" s="82"/>
      <c r="AB2845" s="177">
        <v>44733</v>
      </c>
      <c r="AC2845" s="84" t="s">
        <v>2885</v>
      </c>
    </row>
    <row r="2846" spans="1:29" ht="15.45" customHeight="1" x14ac:dyDescent="0.25">
      <c r="A2846" s="29" t="s">
        <v>7079</v>
      </c>
      <c r="C2846" s="37" t="s">
        <v>2314</v>
      </c>
      <c r="E2846" s="37" t="s">
        <v>2927</v>
      </c>
      <c r="H2846" s="38" t="s">
        <v>7081</v>
      </c>
      <c r="J2846" s="214" t="s">
        <v>5305</v>
      </c>
      <c r="N2846" s="37" t="s">
        <v>7018</v>
      </c>
      <c r="O2846" s="37" t="s">
        <v>6774</v>
      </c>
      <c r="P2846" s="37" t="s">
        <v>1781</v>
      </c>
      <c r="Q2846" s="37" t="s">
        <v>3506</v>
      </c>
      <c r="R2846" s="37" t="s">
        <v>1792</v>
      </c>
      <c r="S2846" s="10" t="s">
        <v>2983</v>
      </c>
      <c r="T2846" s="10" t="s">
        <v>7063</v>
      </c>
      <c r="U2846" s="22">
        <v>1</v>
      </c>
      <c r="V2846" s="22">
        <v>31</v>
      </c>
      <c r="W2846" s="73">
        <f t="shared" si="162"/>
        <v>7736</v>
      </c>
      <c r="X2846" s="80">
        <f t="shared" si="163"/>
        <v>15782</v>
      </c>
      <c r="Y2846" s="82" t="s">
        <v>3587</v>
      </c>
      <c r="AA2846" s="82"/>
      <c r="AB2846" s="177">
        <v>44733</v>
      </c>
      <c r="AC2846" s="84" t="s">
        <v>2885</v>
      </c>
    </row>
    <row r="2847" spans="1:29" ht="15.45" customHeight="1" x14ac:dyDescent="0.25">
      <c r="A2847" s="29" t="s">
        <v>7082</v>
      </c>
      <c r="C2847" s="37" t="s">
        <v>2314</v>
      </c>
      <c r="E2847" s="37" t="s">
        <v>2927</v>
      </c>
      <c r="H2847" s="38" t="s">
        <v>7081</v>
      </c>
      <c r="J2847" s="214" t="s">
        <v>5305</v>
      </c>
      <c r="N2847" s="37" t="s">
        <v>7018</v>
      </c>
      <c r="O2847" s="37" t="s">
        <v>6774</v>
      </c>
      <c r="P2847" s="37" t="s">
        <v>1781</v>
      </c>
      <c r="Q2847" s="37" t="s">
        <v>3506</v>
      </c>
      <c r="R2847" s="37" t="s">
        <v>1792</v>
      </c>
      <c r="S2847" s="10" t="s">
        <v>2983</v>
      </c>
      <c r="T2847" s="10" t="s">
        <v>7065</v>
      </c>
      <c r="U2847" s="22">
        <v>1</v>
      </c>
      <c r="V2847" s="22">
        <v>29</v>
      </c>
      <c r="W2847" s="73">
        <f t="shared" si="162"/>
        <v>7765</v>
      </c>
      <c r="X2847" s="80">
        <f t="shared" si="163"/>
        <v>15811</v>
      </c>
      <c r="Y2847" s="82" t="s">
        <v>3587</v>
      </c>
      <c r="AA2847" s="82"/>
      <c r="AB2847" s="177">
        <v>44733</v>
      </c>
      <c r="AC2847" s="84" t="s">
        <v>2885</v>
      </c>
    </row>
    <row r="2848" spans="1:29" ht="15.45" customHeight="1" x14ac:dyDescent="0.25">
      <c r="A2848" s="29" t="s">
        <v>7083</v>
      </c>
      <c r="C2848" s="37" t="s">
        <v>2314</v>
      </c>
      <c r="E2848" s="37" t="s">
        <v>2927</v>
      </c>
      <c r="H2848" s="38" t="s">
        <v>7081</v>
      </c>
      <c r="J2848" s="214" t="s">
        <v>5305</v>
      </c>
      <c r="N2848" s="37" t="s">
        <v>7018</v>
      </c>
      <c r="O2848" s="37" t="s">
        <v>6774</v>
      </c>
      <c r="P2848" s="37" t="s">
        <v>1781</v>
      </c>
      <c r="Q2848" s="37" t="s">
        <v>3506</v>
      </c>
      <c r="R2848" s="37" t="s">
        <v>1792</v>
      </c>
      <c r="S2848" s="10" t="s">
        <v>2981</v>
      </c>
      <c r="T2848" s="10" t="s">
        <v>7084</v>
      </c>
      <c r="U2848" s="22">
        <v>1</v>
      </c>
      <c r="V2848" s="22">
        <v>10</v>
      </c>
      <c r="W2848" s="73">
        <f t="shared" si="162"/>
        <v>7775</v>
      </c>
      <c r="X2848" s="80">
        <f t="shared" si="163"/>
        <v>15821</v>
      </c>
      <c r="Y2848" s="82" t="s">
        <v>3587</v>
      </c>
      <c r="AA2848" s="82"/>
      <c r="AB2848" s="177">
        <v>44733</v>
      </c>
      <c r="AC2848" s="84" t="s">
        <v>2885</v>
      </c>
    </row>
    <row r="2849" spans="1:29" ht="15.45" customHeight="1" x14ac:dyDescent="0.25">
      <c r="A2849" s="29" t="s">
        <v>7090</v>
      </c>
      <c r="C2849" s="37" t="s">
        <v>2314</v>
      </c>
      <c r="E2849" s="37" t="s">
        <v>2927</v>
      </c>
      <c r="H2849" s="38" t="s">
        <v>7098</v>
      </c>
      <c r="J2849" s="214" t="s">
        <v>7086</v>
      </c>
      <c r="N2849" s="37" t="s">
        <v>7087</v>
      </c>
      <c r="P2849" s="37" t="s">
        <v>1781</v>
      </c>
      <c r="Q2849" s="37" t="s">
        <v>3506</v>
      </c>
      <c r="R2849" s="37" t="s">
        <v>1792</v>
      </c>
      <c r="S2849" s="10" t="s">
        <v>3412</v>
      </c>
      <c r="U2849" s="22">
        <v>1</v>
      </c>
      <c r="V2849" s="22">
        <v>12</v>
      </c>
      <c r="W2849" s="73">
        <f t="shared" si="162"/>
        <v>7787</v>
      </c>
      <c r="X2849" s="80">
        <f t="shared" si="163"/>
        <v>15833</v>
      </c>
      <c r="Y2849" s="82" t="s">
        <v>3587</v>
      </c>
      <c r="AA2849" s="82"/>
      <c r="AB2849" s="177">
        <v>44739</v>
      </c>
      <c r="AC2849" s="84" t="s">
        <v>2885</v>
      </c>
    </row>
    <row r="2850" spans="1:29" ht="15.45" customHeight="1" x14ac:dyDescent="0.25">
      <c r="A2850" s="29" t="s">
        <v>7089</v>
      </c>
      <c r="C2850" s="37" t="s">
        <v>2314</v>
      </c>
      <c r="E2850" s="37" t="s">
        <v>2927</v>
      </c>
      <c r="H2850" s="38" t="s">
        <v>7098</v>
      </c>
      <c r="J2850" s="214" t="s">
        <v>7086</v>
      </c>
      <c r="N2850" s="37" t="s">
        <v>7087</v>
      </c>
      <c r="P2850" s="37" t="s">
        <v>1781</v>
      </c>
      <c r="Q2850" s="37" t="s">
        <v>3506</v>
      </c>
      <c r="R2850" s="37" t="s">
        <v>1792</v>
      </c>
      <c r="S2850" s="10" t="s">
        <v>3412</v>
      </c>
      <c r="U2850" s="22">
        <v>1</v>
      </c>
      <c r="V2850" s="22">
        <v>12</v>
      </c>
      <c r="W2850" s="73">
        <f t="shared" si="162"/>
        <v>7799</v>
      </c>
      <c r="X2850" s="80">
        <f t="shared" si="163"/>
        <v>15845</v>
      </c>
      <c r="Y2850" s="82" t="s">
        <v>3587</v>
      </c>
      <c r="AA2850" s="82"/>
      <c r="AB2850" s="177">
        <v>44739</v>
      </c>
      <c r="AC2850" s="84" t="s">
        <v>2885</v>
      </c>
    </row>
    <row r="2851" spans="1:29" ht="15.45" customHeight="1" x14ac:dyDescent="0.25">
      <c r="A2851" s="29" t="s">
        <v>7088</v>
      </c>
      <c r="C2851" s="37" t="s">
        <v>2314</v>
      </c>
      <c r="E2851" s="37" t="s">
        <v>2927</v>
      </c>
      <c r="H2851" s="38" t="s">
        <v>7098</v>
      </c>
      <c r="J2851" s="214" t="s">
        <v>7086</v>
      </c>
      <c r="N2851" s="37" t="s">
        <v>7087</v>
      </c>
      <c r="P2851" s="37" t="s">
        <v>1781</v>
      </c>
      <c r="Q2851" s="37" t="s">
        <v>3506</v>
      </c>
      <c r="R2851" s="37" t="s">
        <v>1792</v>
      </c>
      <c r="S2851" s="10" t="s">
        <v>3412</v>
      </c>
      <c r="U2851" s="22">
        <v>1</v>
      </c>
      <c r="V2851" s="22">
        <v>12</v>
      </c>
      <c r="W2851" s="73">
        <f t="shared" si="162"/>
        <v>7811</v>
      </c>
      <c r="X2851" s="80">
        <f t="shared" si="163"/>
        <v>15857</v>
      </c>
      <c r="Y2851" s="82" t="s">
        <v>3587</v>
      </c>
      <c r="AA2851" s="82"/>
      <c r="AB2851" s="177">
        <v>44739</v>
      </c>
      <c r="AC2851" s="84" t="s">
        <v>2885</v>
      </c>
    </row>
    <row r="2852" spans="1:29" ht="15.45" customHeight="1" x14ac:dyDescent="0.25">
      <c r="A2852" s="29" t="s">
        <v>7091</v>
      </c>
      <c r="C2852" s="37" t="s">
        <v>2314</v>
      </c>
      <c r="E2852" s="37" t="s">
        <v>2927</v>
      </c>
      <c r="H2852" s="38" t="s">
        <v>7098</v>
      </c>
      <c r="J2852" s="214" t="s">
        <v>7086</v>
      </c>
      <c r="N2852" s="37" t="s">
        <v>7087</v>
      </c>
      <c r="P2852" s="37" t="s">
        <v>1781</v>
      </c>
      <c r="Q2852" s="37" t="s">
        <v>3506</v>
      </c>
      <c r="R2852" s="37" t="s">
        <v>1792</v>
      </c>
      <c r="S2852" s="10" t="s">
        <v>3412</v>
      </c>
      <c r="U2852" s="22">
        <v>1</v>
      </c>
      <c r="V2852" s="22">
        <v>12</v>
      </c>
      <c r="W2852" s="73">
        <f t="shared" si="162"/>
        <v>7823</v>
      </c>
      <c r="X2852" s="80">
        <f t="shared" si="163"/>
        <v>15869</v>
      </c>
      <c r="Y2852" s="82" t="s">
        <v>3587</v>
      </c>
      <c r="AA2852" s="82"/>
      <c r="AB2852" s="177">
        <v>44739</v>
      </c>
      <c r="AC2852" s="84" t="s">
        <v>2885</v>
      </c>
    </row>
    <row r="2853" spans="1:29" ht="15.45" customHeight="1" x14ac:dyDescent="0.25">
      <c r="A2853" s="29" t="s">
        <v>7092</v>
      </c>
      <c r="C2853" s="37" t="s">
        <v>2314</v>
      </c>
      <c r="E2853" s="37" t="s">
        <v>2927</v>
      </c>
      <c r="H2853" s="38" t="s">
        <v>7098</v>
      </c>
      <c r="J2853" s="214" t="s">
        <v>7086</v>
      </c>
      <c r="N2853" s="37" t="s">
        <v>7087</v>
      </c>
      <c r="P2853" s="37" t="s">
        <v>1781</v>
      </c>
      <c r="Q2853" s="37" t="s">
        <v>3506</v>
      </c>
      <c r="R2853" s="37" t="s">
        <v>1792</v>
      </c>
      <c r="S2853" s="10" t="s">
        <v>2982</v>
      </c>
      <c r="T2853" s="10" t="s">
        <v>7093</v>
      </c>
      <c r="U2853" s="22">
        <v>1</v>
      </c>
      <c r="V2853" s="22">
        <v>0</v>
      </c>
      <c r="W2853" s="73">
        <f t="shared" si="162"/>
        <v>7823</v>
      </c>
      <c r="X2853" s="80">
        <f t="shared" si="163"/>
        <v>15869</v>
      </c>
      <c r="Y2853" s="82" t="s">
        <v>3587</v>
      </c>
      <c r="AA2853" s="82"/>
      <c r="AB2853" s="177">
        <v>44739</v>
      </c>
      <c r="AC2853" s="84" t="s">
        <v>2885</v>
      </c>
    </row>
    <row r="2854" spans="1:29" ht="15.45" customHeight="1" x14ac:dyDescent="0.25">
      <c r="A2854" s="29" t="s">
        <v>7094</v>
      </c>
      <c r="C2854" s="37" t="s">
        <v>2314</v>
      </c>
      <c r="E2854" s="37" t="s">
        <v>2927</v>
      </c>
      <c r="H2854" s="38" t="s">
        <v>7098</v>
      </c>
      <c r="J2854" s="214" t="s">
        <v>7086</v>
      </c>
      <c r="N2854" s="37" t="s">
        <v>7087</v>
      </c>
      <c r="P2854" s="37" t="s">
        <v>1781</v>
      </c>
      <c r="Q2854" s="37" t="s">
        <v>3506</v>
      </c>
      <c r="R2854" s="37" t="s">
        <v>1792</v>
      </c>
      <c r="S2854" s="10" t="s">
        <v>2981</v>
      </c>
      <c r="T2854" s="10" t="s">
        <v>7053</v>
      </c>
      <c r="U2854" s="22">
        <v>1</v>
      </c>
      <c r="V2854" s="22">
        <v>5</v>
      </c>
      <c r="W2854" s="73">
        <f t="shared" si="162"/>
        <v>7828</v>
      </c>
      <c r="X2854" s="80">
        <f t="shared" si="163"/>
        <v>15874</v>
      </c>
      <c r="Y2854" s="82" t="s">
        <v>3587</v>
      </c>
      <c r="AA2854" s="82"/>
      <c r="AB2854" s="177">
        <v>44739</v>
      </c>
      <c r="AC2854" s="84" t="s">
        <v>2885</v>
      </c>
    </row>
    <row r="2855" spans="1:29" ht="15.45" customHeight="1" x14ac:dyDescent="0.25">
      <c r="A2855" s="29" t="s">
        <v>7095</v>
      </c>
      <c r="C2855" s="37" t="s">
        <v>2314</v>
      </c>
      <c r="E2855" s="37" t="s">
        <v>2927</v>
      </c>
      <c r="H2855" s="38" t="s">
        <v>7098</v>
      </c>
      <c r="J2855" s="214" t="s">
        <v>7086</v>
      </c>
      <c r="N2855" s="37" t="s">
        <v>7087</v>
      </c>
      <c r="P2855" s="37" t="s">
        <v>1781</v>
      </c>
      <c r="Q2855" s="37" t="s">
        <v>3506</v>
      </c>
      <c r="R2855" s="37" t="s">
        <v>1792</v>
      </c>
      <c r="S2855" s="10" t="s">
        <v>2980</v>
      </c>
      <c r="T2855" s="10" t="s">
        <v>7069</v>
      </c>
      <c r="U2855" s="22">
        <v>1</v>
      </c>
      <c r="V2855" s="22">
        <v>8</v>
      </c>
      <c r="W2855" s="73">
        <f t="shared" si="162"/>
        <v>7836</v>
      </c>
      <c r="X2855" s="80">
        <f t="shared" si="163"/>
        <v>15882</v>
      </c>
      <c r="Y2855" s="82" t="s">
        <v>3587</v>
      </c>
      <c r="AA2855" s="82"/>
      <c r="AB2855" s="177">
        <v>44739</v>
      </c>
      <c r="AC2855" s="84" t="s">
        <v>2885</v>
      </c>
    </row>
    <row r="2856" spans="1:29" ht="15.45" customHeight="1" x14ac:dyDescent="0.25">
      <c r="A2856" s="29" t="s">
        <v>7095</v>
      </c>
      <c r="C2856" s="37" t="s">
        <v>2314</v>
      </c>
      <c r="E2856" s="37" t="s">
        <v>2927</v>
      </c>
      <c r="H2856" s="38" t="s">
        <v>7098</v>
      </c>
      <c r="J2856" s="214" t="s">
        <v>7086</v>
      </c>
      <c r="N2856" s="37" t="s">
        <v>7087</v>
      </c>
      <c r="P2856" s="37" t="s">
        <v>1781</v>
      </c>
      <c r="Q2856" s="37" t="s">
        <v>3506</v>
      </c>
      <c r="R2856" s="37" t="s">
        <v>1792</v>
      </c>
      <c r="S2856" s="10" t="s">
        <v>2982</v>
      </c>
      <c r="T2856" s="10" t="s">
        <v>7032</v>
      </c>
      <c r="U2856" s="22">
        <v>1</v>
      </c>
      <c r="V2856" s="22">
        <v>3</v>
      </c>
      <c r="W2856" s="73">
        <f t="shared" si="162"/>
        <v>7839</v>
      </c>
      <c r="X2856" s="80">
        <f t="shared" si="163"/>
        <v>15885</v>
      </c>
      <c r="Y2856" s="82" t="s">
        <v>3587</v>
      </c>
      <c r="AA2856" s="82"/>
      <c r="AB2856" s="177">
        <v>44739</v>
      </c>
      <c r="AC2856" s="84" t="s">
        <v>2885</v>
      </c>
    </row>
    <row r="2857" spans="1:29" ht="15.45" customHeight="1" x14ac:dyDescent="0.25">
      <c r="A2857" s="29" t="s">
        <v>7096</v>
      </c>
      <c r="C2857" s="37" t="s">
        <v>2314</v>
      </c>
      <c r="E2857" s="37" t="s">
        <v>2927</v>
      </c>
      <c r="H2857" s="38" t="s">
        <v>7097</v>
      </c>
      <c r="J2857" s="214" t="s">
        <v>5919</v>
      </c>
      <c r="N2857" s="37" t="s">
        <v>7087</v>
      </c>
      <c r="P2857" s="37" t="s">
        <v>1781</v>
      </c>
      <c r="Q2857" s="37" t="s">
        <v>3506</v>
      </c>
      <c r="R2857" s="37" t="s">
        <v>1792</v>
      </c>
      <c r="S2857" s="10" t="s">
        <v>2980</v>
      </c>
      <c r="U2857" s="22">
        <v>1</v>
      </c>
      <c r="V2857" s="22">
        <v>12</v>
      </c>
      <c r="W2857" s="73">
        <f t="shared" si="162"/>
        <v>7851</v>
      </c>
      <c r="X2857" s="80">
        <f t="shared" si="163"/>
        <v>15897</v>
      </c>
      <c r="Y2857" s="82" t="s">
        <v>3587</v>
      </c>
      <c r="AA2857" s="82"/>
      <c r="AB2857" s="177">
        <v>44739</v>
      </c>
      <c r="AC2857" s="84" t="s">
        <v>2885</v>
      </c>
    </row>
    <row r="2858" spans="1:29" ht="15.45" customHeight="1" x14ac:dyDescent="0.25">
      <c r="A2858" s="29" t="s">
        <v>7099</v>
      </c>
      <c r="C2858" s="37" t="s">
        <v>2314</v>
      </c>
      <c r="E2858" s="37" t="s">
        <v>2927</v>
      </c>
      <c r="H2858" s="38" t="s">
        <v>7101</v>
      </c>
      <c r="J2858" s="214" t="s">
        <v>4378</v>
      </c>
      <c r="N2858" s="37" t="s">
        <v>7100</v>
      </c>
      <c r="P2858" s="37" t="s">
        <v>6638</v>
      </c>
      <c r="Q2858" s="37" t="s">
        <v>3506</v>
      </c>
      <c r="R2858" s="37" t="s">
        <v>1792</v>
      </c>
      <c r="S2858" s="10" t="s">
        <v>2980</v>
      </c>
      <c r="T2858" s="10" t="s">
        <v>6890</v>
      </c>
      <c r="U2858" s="22">
        <v>1</v>
      </c>
      <c r="V2858" s="22">
        <v>6</v>
      </c>
      <c r="W2858" s="73">
        <f>W2857+V2858</f>
        <v>7857</v>
      </c>
      <c r="X2858" s="80">
        <f>V2858+X2857</f>
        <v>15903</v>
      </c>
      <c r="Y2858" s="82" t="s">
        <v>3587</v>
      </c>
      <c r="AA2858" s="82"/>
      <c r="AB2858" s="177">
        <v>44739</v>
      </c>
      <c r="AC2858" s="84" t="s">
        <v>2885</v>
      </c>
    </row>
    <row r="2859" spans="1:29" ht="15.45" customHeight="1" x14ac:dyDescent="0.25">
      <c r="A2859" s="29" t="s">
        <v>7102</v>
      </c>
      <c r="C2859" s="37" t="s">
        <v>2314</v>
      </c>
      <c r="E2859" s="37" t="s">
        <v>2927</v>
      </c>
      <c r="H2859" s="38" t="s">
        <v>7103</v>
      </c>
      <c r="J2859" s="214" t="s">
        <v>4378</v>
      </c>
      <c r="N2859" s="37" t="s">
        <v>7087</v>
      </c>
      <c r="P2859" s="37" t="s">
        <v>1781</v>
      </c>
      <c r="Q2859" s="37" t="s">
        <v>3506</v>
      </c>
      <c r="R2859" s="37" t="s">
        <v>1792</v>
      </c>
      <c r="S2859" s="10" t="s">
        <v>2980</v>
      </c>
      <c r="T2859" s="10" t="s">
        <v>7104</v>
      </c>
      <c r="U2859" s="22">
        <v>1</v>
      </c>
      <c r="V2859" s="22">
        <v>88</v>
      </c>
      <c r="W2859" s="73">
        <f t="shared" ref="W2859:W2865" si="175">W2858+V2859</f>
        <v>7945</v>
      </c>
      <c r="X2859" s="80">
        <f t="shared" ref="X2859:X2864" si="176">V2859+X2858</f>
        <v>15991</v>
      </c>
      <c r="Y2859" s="82" t="s">
        <v>3587</v>
      </c>
      <c r="AA2859" s="82"/>
      <c r="AB2859" s="177">
        <v>44739</v>
      </c>
      <c r="AC2859" s="84" t="s">
        <v>2885</v>
      </c>
    </row>
    <row r="2860" spans="1:29" ht="15.45" customHeight="1" x14ac:dyDescent="0.25">
      <c r="A2860" s="29" t="s">
        <v>7105</v>
      </c>
      <c r="C2860" s="37" t="s">
        <v>2314</v>
      </c>
      <c r="E2860" s="37" t="s">
        <v>2927</v>
      </c>
      <c r="H2860" s="38" t="s">
        <v>7103</v>
      </c>
      <c r="J2860" s="214" t="s">
        <v>4378</v>
      </c>
      <c r="N2860" s="37" t="s">
        <v>7087</v>
      </c>
      <c r="P2860" s="37" t="s">
        <v>1781</v>
      </c>
      <c r="Q2860" s="37" t="s">
        <v>3506</v>
      </c>
      <c r="R2860" s="37" t="s">
        <v>1792</v>
      </c>
      <c r="S2860" s="10" t="s">
        <v>2981</v>
      </c>
      <c r="T2860" s="10" t="s">
        <v>7106</v>
      </c>
      <c r="U2860" s="22">
        <v>1</v>
      </c>
      <c r="V2860" s="22">
        <v>70</v>
      </c>
      <c r="W2860" s="73">
        <f t="shared" si="175"/>
        <v>8015</v>
      </c>
      <c r="X2860" s="80">
        <f t="shared" si="176"/>
        <v>16061</v>
      </c>
      <c r="Y2860" s="82" t="s">
        <v>3587</v>
      </c>
      <c r="AA2860" s="82"/>
      <c r="AB2860" s="177">
        <v>44739</v>
      </c>
      <c r="AC2860" s="84" t="s">
        <v>2885</v>
      </c>
    </row>
    <row r="2861" spans="1:29" ht="15.45" customHeight="1" x14ac:dyDescent="0.25">
      <c r="A2861" s="29" t="s">
        <v>7107</v>
      </c>
      <c r="C2861" s="37" t="s">
        <v>2314</v>
      </c>
      <c r="E2861" s="37" t="s">
        <v>2927</v>
      </c>
      <c r="H2861" s="38" t="s">
        <v>7103</v>
      </c>
      <c r="J2861" s="214" t="s">
        <v>4378</v>
      </c>
      <c r="N2861" s="37" t="s">
        <v>7087</v>
      </c>
      <c r="P2861" s="37" t="s">
        <v>1781</v>
      </c>
      <c r="Q2861" s="37" t="s">
        <v>3506</v>
      </c>
      <c r="R2861" s="37" t="s">
        <v>1792</v>
      </c>
      <c r="S2861" s="10" t="s">
        <v>2980</v>
      </c>
      <c r="T2861" s="10" t="s">
        <v>7108</v>
      </c>
      <c r="U2861" s="22">
        <v>1</v>
      </c>
      <c r="V2861" s="22">
        <v>80</v>
      </c>
      <c r="W2861" s="73">
        <f t="shared" si="175"/>
        <v>8095</v>
      </c>
      <c r="X2861" s="80">
        <f t="shared" si="176"/>
        <v>16141</v>
      </c>
      <c r="Y2861" s="82" t="s">
        <v>3587</v>
      </c>
      <c r="AA2861" s="82"/>
      <c r="AB2861" s="177">
        <v>44739</v>
      </c>
      <c r="AC2861" s="84" t="s">
        <v>2885</v>
      </c>
    </row>
    <row r="2862" spans="1:29" ht="15.45" customHeight="1" x14ac:dyDescent="0.25">
      <c r="A2862" s="29" t="s">
        <v>7109</v>
      </c>
      <c r="C2862" s="37" t="s">
        <v>2314</v>
      </c>
      <c r="E2862" s="37" t="s">
        <v>2927</v>
      </c>
      <c r="H2862" s="38" t="s">
        <v>7103</v>
      </c>
      <c r="J2862" s="214" t="s">
        <v>4378</v>
      </c>
      <c r="N2862" s="37" t="s">
        <v>7087</v>
      </c>
      <c r="P2862" s="37" t="s">
        <v>1781</v>
      </c>
      <c r="Q2862" s="37" t="s">
        <v>3506</v>
      </c>
      <c r="R2862" s="37" t="s">
        <v>1792</v>
      </c>
      <c r="S2862" s="10" t="s">
        <v>2980</v>
      </c>
      <c r="T2862" s="10" t="s">
        <v>7110</v>
      </c>
      <c r="U2862" s="22">
        <v>1</v>
      </c>
      <c r="V2862" s="22">
        <v>142</v>
      </c>
      <c r="W2862" s="73">
        <f t="shared" si="175"/>
        <v>8237</v>
      </c>
      <c r="X2862" s="80">
        <f t="shared" si="176"/>
        <v>16283</v>
      </c>
      <c r="Y2862" s="82" t="s">
        <v>3587</v>
      </c>
      <c r="AA2862" s="82"/>
      <c r="AB2862" s="177">
        <v>44739</v>
      </c>
      <c r="AC2862" s="84" t="s">
        <v>2885</v>
      </c>
    </row>
    <row r="2863" spans="1:29" ht="15.45" customHeight="1" x14ac:dyDescent="0.25">
      <c r="A2863" s="29" t="s">
        <v>7111</v>
      </c>
      <c r="C2863" s="37" t="s">
        <v>2314</v>
      </c>
      <c r="E2863" s="37" t="s">
        <v>2927</v>
      </c>
      <c r="H2863" s="38" t="s">
        <v>7103</v>
      </c>
      <c r="J2863" s="214" t="s">
        <v>4378</v>
      </c>
      <c r="N2863" s="37" t="s">
        <v>7087</v>
      </c>
      <c r="P2863" s="37" t="s">
        <v>1781</v>
      </c>
      <c r="Q2863" s="37" t="s">
        <v>3506</v>
      </c>
      <c r="R2863" s="37" t="s">
        <v>1792</v>
      </c>
      <c r="S2863" s="10" t="s">
        <v>2980</v>
      </c>
      <c r="T2863" s="10" t="s">
        <v>7112</v>
      </c>
      <c r="U2863" s="22">
        <v>1</v>
      </c>
      <c r="V2863" s="22">
        <v>196</v>
      </c>
      <c r="W2863" s="73">
        <f t="shared" si="175"/>
        <v>8433</v>
      </c>
      <c r="X2863" s="80">
        <f t="shared" si="176"/>
        <v>16479</v>
      </c>
      <c r="Y2863" s="82" t="s">
        <v>3587</v>
      </c>
      <c r="AA2863" s="82"/>
      <c r="AB2863" s="177">
        <v>44739</v>
      </c>
      <c r="AC2863" s="84" t="s">
        <v>2885</v>
      </c>
    </row>
    <row r="2864" spans="1:29" ht="15.45" customHeight="1" x14ac:dyDescent="0.25">
      <c r="A2864" s="29" t="s">
        <v>6739</v>
      </c>
      <c r="B2864" s="24" t="s">
        <v>4295</v>
      </c>
      <c r="C2864" s="37" t="s">
        <v>2207</v>
      </c>
      <c r="E2864" s="37" t="s">
        <v>2927</v>
      </c>
      <c r="H2864" s="38" t="s">
        <v>6740</v>
      </c>
      <c r="J2864" s="214" t="s">
        <v>4299</v>
      </c>
      <c r="K2864" s="10" t="s">
        <v>3914</v>
      </c>
      <c r="N2864" s="37" t="s">
        <v>4296</v>
      </c>
      <c r="P2864" s="37" t="s">
        <v>4297</v>
      </c>
      <c r="Q2864" s="37" t="s">
        <v>1979</v>
      </c>
      <c r="R2864" s="37" t="s">
        <v>1792</v>
      </c>
      <c r="S2864" s="10" t="s">
        <v>2983</v>
      </c>
      <c r="T2864" s="10" t="s">
        <v>4298</v>
      </c>
      <c r="U2864" s="22">
        <v>1</v>
      </c>
      <c r="V2864" s="22">
        <v>172</v>
      </c>
      <c r="W2864" s="73">
        <f t="shared" si="175"/>
        <v>8605</v>
      </c>
      <c r="X2864" s="80">
        <f t="shared" si="176"/>
        <v>16651</v>
      </c>
      <c r="Y2864" s="82" t="s">
        <v>4300</v>
      </c>
      <c r="AB2864" s="177">
        <v>43424</v>
      </c>
      <c r="AC2864" s="84" t="s">
        <v>2885</v>
      </c>
    </row>
    <row r="2865" spans="1:29" ht="15.45" customHeight="1" x14ac:dyDescent="0.25">
      <c r="A2865" s="29" t="s">
        <v>6872</v>
      </c>
      <c r="C2865" s="37" t="s">
        <v>2207</v>
      </c>
      <c r="E2865" s="37" t="s">
        <v>2927</v>
      </c>
      <c r="H2865" s="38" t="s">
        <v>3088</v>
      </c>
      <c r="N2865" s="37" t="s">
        <v>3087</v>
      </c>
      <c r="P2865" s="37" t="s">
        <v>1781</v>
      </c>
      <c r="Q2865" s="37" t="s">
        <v>3506</v>
      </c>
      <c r="R2865" s="37" t="s">
        <v>1792</v>
      </c>
      <c r="S2865" s="10" t="s">
        <v>3412</v>
      </c>
      <c r="U2865" s="22">
        <v>1</v>
      </c>
      <c r="V2865" s="22">
        <v>10</v>
      </c>
      <c r="W2865" s="73">
        <f t="shared" si="175"/>
        <v>8615</v>
      </c>
      <c r="X2865" s="80">
        <f>V2865+X2864</f>
        <v>16661</v>
      </c>
      <c r="Y2865" s="82" t="s">
        <v>3584</v>
      </c>
      <c r="AB2865" s="177">
        <v>43424</v>
      </c>
      <c r="AC2865" s="84" t="s">
        <v>2885</v>
      </c>
    </row>
    <row r="2866" spans="1:29" ht="15.45" customHeight="1" x14ac:dyDescent="0.25">
      <c r="A2866" s="29" t="s">
        <v>6876</v>
      </c>
      <c r="C2866" s="37" t="s">
        <v>2207</v>
      </c>
      <c r="E2866" s="37" t="s">
        <v>2927</v>
      </c>
      <c r="F2866" s="24" t="s">
        <v>6879</v>
      </c>
      <c r="H2866" s="38" t="s">
        <v>3089</v>
      </c>
      <c r="N2866" s="37" t="s">
        <v>3087</v>
      </c>
      <c r="P2866" s="37" t="s">
        <v>1781</v>
      </c>
      <c r="Q2866" s="37" t="s">
        <v>3506</v>
      </c>
      <c r="R2866" s="37" t="s">
        <v>1792</v>
      </c>
      <c r="S2866" s="10" t="s">
        <v>3412</v>
      </c>
      <c r="U2866" s="22">
        <v>1</v>
      </c>
      <c r="V2866" s="22">
        <v>10</v>
      </c>
      <c r="W2866" s="73">
        <f t="shared" si="162"/>
        <v>8625</v>
      </c>
      <c r="X2866" s="80">
        <f t="shared" si="163"/>
        <v>16671</v>
      </c>
      <c r="Y2866" s="82" t="s">
        <v>3584</v>
      </c>
      <c r="AB2866" s="177">
        <v>43424</v>
      </c>
      <c r="AC2866" s="84" t="s">
        <v>2885</v>
      </c>
    </row>
    <row r="2867" spans="1:29" ht="15.45" customHeight="1" x14ac:dyDescent="0.25">
      <c r="A2867" s="29" t="s">
        <v>6875</v>
      </c>
      <c r="C2867" s="37" t="s">
        <v>2207</v>
      </c>
      <c r="E2867" s="37" t="s">
        <v>2927</v>
      </c>
      <c r="F2867" s="24" t="s">
        <v>6879</v>
      </c>
      <c r="H2867" s="38" t="s">
        <v>3090</v>
      </c>
      <c r="N2867" s="37" t="s">
        <v>3087</v>
      </c>
      <c r="P2867" s="37" t="s">
        <v>1781</v>
      </c>
      <c r="Q2867" s="37" t="s">
        <v>3506</v>
      </c>
      <c r="R2867" s="37" t="s">
        <v>1792</v>
      </c>
      <c r="S2867" s="10" t="s">
        <v>3412</v>
      </c>
      <c r="U2867" s="22">
        <v>1</v>
      </c>
      <c r="V2867" s="22">
        <v>10</v>
      </c>
      <c r="W2867" s="73">
        <f t="shared" si="162"/>
        <v>8635</v>
      </c>
      <c r="X2867" s="80">
        <f t="shared" si="163"/>
        <v>16681</v>
      </c>
      <c r="Y2867" s="82" t="s">
        <v>3584</v>
      </c>
      <c r="AB2867" s="177">
        <v>43424</v>
      </c>
      <c r="AC2867" s="84" t="s">
        <v>2885</v>
      </c>
    </row>
    <row r="2868" spans="1:29" ht="15.45" customHeight="1" x14ac:dyDescent="0.25">
      <c r="A2868" s="29" t="s">
        <v>6874</v>
      </c>
      <c r="C2868" s="37" t="s">
        <v>2207</v>
      </c>
      <c r="E2868" s="37" t="s">
        <v>2927</v>
      </c>
      <c r="F2868" s="24" t="s">
        <v>6879</v>
      </c>
      <c r="H2868" s="38" t="s">
        <v>3091</v>
      </c>
      <c r="N2868" s="37" t="s">
        <v>3087</v>
      </c>
      <c r="P2868" s="37" t="s">
        <v>1781</v>
      </c>
      <c r="Q2868" s="37" t="s">
        <v>3506</v>
      </c>
      <c r="R2868" s="37" t="s">
        <v>1792</v>
      </c>
      <c r="S2868" s="10" t="s">
        <v>3412</v>
      </c>
      <c r="U2868" s="22">
        <v>1</v>
      </c>
      <c r="V2868" s="22">
        <v>10</v>
      </c>
      <c r="W2868" s="73">
        <f t="shared" si="162"/>
        <v>8645</v>
      </c>
      <c r="X2868" s="80">
        <f t="shared" si="163"/>
        <v>16691</v>
      </c>
      <c r="Y2868" s="82" t="s">
        <v>3584</v>
      </c>
      <c r="AB2868" s="177">
        <v>43424</v>
      </c>
      <c r="AC2868" s="84" t="s">
        <v>2885</v>
      </c>
    </row>
    <row r="2869" spans="1:29" ht="15.45" customHeight="1" x14ac:dyDescent="0.25">
      <c r="A2869" s="29" t="s">
        <v>6873</v>
      </c>
      <c r="C2869" s="37" t="s">
        <v>2207</v>
      </c>
      <c r="E2869" s="37" t="s">
        <v>2927</v>
      </c>
      <c r="F2869" s="24" t="s">
        <v>6879</v>
      </c>
      <c r="H2869" s="38" t="s">
        <v>6887</v>
      </c>
      <c r="N2869" s="37" t="s">
        <v>3087</v>
      </c>
      <c r="P2869" s="37" t="s">
        <v>1781</v>
      </c>
      <c r="Q2869" s="37" t="s">
        <v>3506</v>
      </c>
      <c r="R2869" s="37" t="s">
        <v>1792</v>
      </c>
      <c r="S2869" s="10" t="s">
        <v>3412</v>
      </c>
      <c r="U2869" s="22">
        <v>1</v>
      </c>
      <c r="V2869" s="22">
        <v>10</v>
      </c>
      <c r="W2869" s="73">
        <f t="shared" si="162"/>
        <v>8655</v>
      </c>
      <c r="X2869" s="80">
        <f t="shared" si="163"/>
        <v>16701</v>
      </c>
      <c r="Y2869" s="82" t="s">
        <v>3584</v>
      </c>
      <c r="AB2869" s="177">
        <v>43424</v>
      </c>
      <c r="AC2869" s="84" t="s">
        <v>2885</v>
      </c>
    </row>
    <row r="2870" spans="1:29" ht="15.45" customHeight="1" x14ac:dyDescent="0.25">
      <c r="A2870" s="29" t="s">
        <v>6877</v>
      </c>
      <c r="C2870" s="37" t="s">
        <v>2207</v>
      </c>
      <c r="E2870" s="37" t="s">
        <v>2927</v>
      </c>
      <c r="F2870" s="24" t="s">
        <v>6879</v>
      </c>
      <c r="H2870" s="38" t="s">
        <v>6887</v>
      </c>
      <c r="N2870" s="37" t="s">
        <v>3087</v>
      </c>
      <c r="P2870" s="37" t="s">
        <v>1781</v>
      </c>
      <c r="Q2870" s="37" t="s">
        <v>3506</v>
      </c>
      <c r="R2870" s="37" t="s">
        <v>1792</v>
      </c>
      <c r="S2870" s="10" t="s">
        <v>3412</v>
      </c>
      <c r="U2870" s="22">
        <v>1</v>
      </c>
      <c r="V2870" s="22">
        <v>10</v>
      </c>
      <c r="W2870" s="73">
        <f t="shared" si="162"/>
        <v>8665</v>
      </c>
      <c r="X2870" s="80">
        <f t="shared" si="163"/>
        <v>16711</v>
      </c>
      <c r="Y2870" s="82" t="s">
        <v>3584</v>
      </c>
      <c r="AB2870" s="177">
        <v>43424</v>
      </c>
      <c r="AC2870" s="84" t="s">
        <v>2885</v>
      </c>
    </row>
    <row r="2871" spans="1:29" ht="15.45" customHeight="1" x14ac:dyDescent="0.25">
      <c r="A2871" s="29" t="s">
        <v>6878</v>
      </c>
      <c r="C2871" s="37" t="s">
        <v>2207</v>
      </c>
      <c r="E2871" s="37" t="s">
        <v>2927</v>
      </c>
      <c r="F2871" s="24" t="s">
        <v>6879</v>
      </c>
      <c r="H2871" s="38" t="s">
        <v>3092</v>
      </c>
      <c r="N2871" s="37" t="s">
        <v>3087</v>
      </c>
      <c r="P2871" s="37" t="s">
        <v>1781</v>
      </c>
      <c r="Q2871" s="37" t="s">
        <v>3506</v>
      </c>
      <c r="R2871" s="37" t="s">
        <v>1792</v>
      </c>
      <c r="S2871" s="10" t="s">
        <v>3412</v>
      </c>
      <c r="U2871" s="22">
        <v>1</v>
      </c>
      <c r="V2871" s="22">
        <v>10</v>
      </c>
      <c r="W2871" s="73">
        <f t="shared" si="162"/>
        <v>8675</v>
      </c>
      <c r="X2871" s="80">
        <f t="shared" si="163"/>
        <v>16721</v>
      </c>
      <c r="Y2871" s="82" t="s">
        <v>3584</v>
      </c>
      <c r="AB2871" s="177">
        <v>43424</v>
      </c>
      <c r="AC2871" s="84" t="s">
        <v>2885</v>
      </c>
    </row>
    <row r="2872" spans="1:29" ht="15.45" customHeight="1" x14ac:dyDescent="0.25">
      <c r="A2872" s="29" t="s">
        <v>6801</v>
      </c>
      <c r="C2872" s="37" t="s">
        <v>2207</v>
      </c>
      <c r="E2872" s="37" t="s">
        <v>2927</v>
      </c>
      <c r="H2872" s="38" t="s">
        <v>6803</v>
      </c>
      <c r="N2872" s="37" t="s">
        <v>2826</v>
      </c>
      <c r="P2872" s="37" t="s">
        <v>1463</v>
      </c>
      <c r="Q2872" s="37" t="s">
        <v>3506</v>
      </c>
      <c r="R2872" s="37" t="s">
        <v>1792</v>
      </c>
      <c r="S2872" s="10" t="s">
        <v>3412</v>
      </c>
      <c r="U2872" s="22">
        <v>1</v>
      </c>
      <c r="V2872" s="22">
        <v>1</v>
      </c>
      <c r="W2872" s="73">
        <f t="shared" si="162"/>
        <v>8676</v>
      </c>
      <c r="X2872" s="80">
        <f t="shared" si="163"/>
        <v>16722</v>
      </c>
      <c r="Y2872" s="82" t="s">
        <v>3584</v>
      </c>
      <c r="AB2872" s="177">
        <v>44702</v>
      </c>
      <c r="AC2872" s="84" t="s">
        <v>2885</v>
      </c>
    </row>
    <row r="2873" spans="1:29" ht="15.45" customHeight="1" x14ac:dyDescent="0.25">
      <c r="A2873" s="29" t="s">
        <v>6802</v>
      </c>
      <c r="C2873" s="37" t="s">
        <v>2207</v>
      </c>
      <c r="E2873" s="37" t="s">
        <v>2927</v>
      </c>
      <c r="H2873" s="38" t="s">
        <v>6804</v>
      </c>
      <c r="J2873" s="214" t="s">
        <v>5621</v>
      </c>
      <c r="N2873" s="37" t="s">
        <v>6504</v>
      </c>
      <c r="P2873" s="37" t="s">
        <v>1781</v>
      </c>
      <c r="Q2873" s="37" t="s">
        <v>3506</v>
      </c>
      <c r="R2873" s="37" t="s">
        <v>1792</v>
      </c>
      <c r="S2873" s="10" t="s">
        <v>3412</v>
      </c>
      <c r="U2873" s="22">
        <v>2</v>
      </c>
      <c r="V2873" s="22">
        <v>2</v>
      </c>
      <c r="W2873" s="73">
        <f t="shared" si="162"/>
        <v>8678</v>
      </c>
      <c r="X2873" s="80">
        <f t="shared" si="163"/>
        <v>16724</v>
      </c>
      <c r="Y2873" s="82" t="s">
        <v>3584</v>
      </c>
      <c r="AB2873" s="177">
        <v>44702</v>
      </c>
      <c r="AC2873" s="84" t="s">
        <v>2885</v>
      </c>
    </row>
    <row r="2874" spans="1:29" ht="15.45" customHeight="1" x14ac:dyDescent="0.25">
      <c r="A2874" s="29" t="s">
        <v>6815</v>
      </c>
      <c r="C2874" s="37" t="s">
        <v>2207</v>
      </c>
      <c r="E2874" s="37" t="s">
        <v>2927</v>
      </c>
      <c r="H2874" s="38" t="s">
        <v>6816</v>
      </c>
      <c r="J2874" s="214" t="s">
        <v>6818</v>
      </c>
      <c r="N2874" s="37" t="s">
        <v>3087</v>
      </c>
      <c r="P2874" s="37" t="s">
        <v>1781</v>
      </c>
      <c r="Q2874" s="37" t="s">
        <v>3506</v>
      </c>
      <c r="R2874" s="37" t="s">
        <v>1792</v>
      </c>
      <c r="S2874" s="10" t="s">
        <v>3412</v>
      </c>
      <c r="U2874" s="22">
        <v>6</v>
      </c>
      <c r="V2874" s="22">
        <v>6</v>
      </c>
      <c r="W2874" s="73">
        <f t="shared" si="162"/>
        <v>8684</v>
      </c>
      <c r="X2874" s="80">
        <f t="shared" si="163"/>
        <v>16730</v>
      </c>
      <c r="Y2874" s="82" t="s">
        <v>3584</v>
      </c>
      <c r="AB2874" s="177">
        <v>44702</v>
      </c>
      <c r="AC2874" s="84" t="s">
        <v>2885</v>
      </c>
    </row>
    <row r="2875" spans="1:29" ht="15.45" customHeight="1" x14ac:dyDescent="0.25">
      <c r="A2875" s="29" t="s">
        <v>6884</v>
      </c>
      <c r="B2875" s="24" t="s">
        <v>4301</v>
      </c>
      <c r="C2875" s="37" t="s">
        <v>4302</v>
      </c>
      <c r="E2875" s="37" t="s">
        <v>2927</v>
      </c>
      <c r="H2875" s="38" t="s">
        <v>6885</v>
      </c>
      <c r="J2875" s="214" t="s">
        <v>4304</v>
      </c>
      <c r="N2875" s="37" t="s">
        <v>4303</v>
      </c>
      <c r="P2875" s="37" t="s">
        <v>4297</v>
      </c>
      <c r="Q2875" s="37" t="s">
        <v>1979</v>
      </c>
      <c r="R2875" s="37" t="s">
        <v>1792</v>
      </c>
      <c r="S2875" s="10" t="s">
        <v>3436</v>
      </c>
      <c r="U2875" s="22">
        <v>3</v>
      </c>
      <c r="V2875" s="22">
        <v>21</v>
      </c>
      <c r="W2875" s="73">
        <f t="shared" si="162"/>
        <v>8705</v>
      </c>
      <c r="X2875" s="80">
        <f t="shared" si="163"/>
        <v>16751</v>
      </c>
      <c r="Y2875" s="82" t="s">
        <v>4300</v>
      </c>
      <c r="AB2875" s="177">
        <v>43424</v>
      </c>
      <c r="AC2875" s="84" t="s">
        <v>2885</v>
      </c>
    </row>
    <row r="2876" spans="1:29" ht="15.45" customHeight="1" x14ac:dyDescent="0.25">
      <c r="A2876" s="29" t="s">
        <v>5670</v>
      </c>
      <c r="C2876" s="37" t="s">
        <v>4302</v>
      </c>
      <c r="E2876" s="37" t="s">
        <v>2927</v>
      </c>
      <c r="H2876" s="38" t="s">
        <v>6886</v>
      </c>
      <c r="J2876" s="214" t="s">
        <v>5673</v>
      </c>
      <c r="N2876" s="37" t="s">
        <v>5669</v>
      </c>
      <c r="P2876" s="37" t="s">
        <v>4527</v>
      </c>
      <c r="Q2876" s="37" t="s">
        <v>3506</v>
      </c>
      <c r="R2876" s="37" t="s">
        <v>1792</v>
      </c>
      <c r="S2876" s="10" t="s">
        <v>3412</v>
      </c>
      <c r="U2876" s="22">
        <v>5</v>
      </c>
      <c r="V2876" s="22">
        <v>5</v>
      </c>
      <c r="W2876" s="73">
        <f t="shared" si="162"/>
        <v>8710</v>
      </c>
      <c r="X2876" s="80">
        <f t="shared" si="163"/>
        <v>16756</v>
      </c>
      <c r="Y2876" s="82" t="s">
        <v>3591</v>
      </c>
      <c r="Z2876" s="24" t="s">
        <v>2885</v>
      </c>
      <c r="AB2876" s="177">
        <v>44019</v>
      </c>
      <c r="AC2876" s="84" t="s">
        <v>5308</v>
      </c>
    </row>
    <row r="2877" spans="1:29" ht="15.45" customHeight="1" x14ac:dyDescent="0.25">
      <c r="A2877" s="29" t="s">
        <v>6956</v>
      </c>
      <c r="C2877" s="37" t="s">
        <v>4302</v>
      </c>
      <c r="E2877" s="37" t="s">
        <v>2927</v>
      </c>
      <c r="H2877" s="38" t="s">
        <v>6959</v>
      </c>
      <c r="J2877" s="214" t="s">
        <v>5827</v>
      </c>
      <c r="N2877" s="37" t="s">
        <v>6957</v>
      </c>
      <c r="Q2877" s="37" t="s">
        <v>3506</v>
      </c>
      <c r="R2877" s="37" t="s">
        <v>1792</v>
      </c>
      <c r="S2877" s="10" t="s">
        <v>3412</v>
      </c>
      <c r="U2877" s="22">
        <v>1</v>
      </c>
      <c r="V2877" s="22">
        <v>1</v>
      </c>
      <c r="W2877" s="73">
        <f t="shared" si="162"/>
        <v>8711</v>
      </c>
      <c r="X2877" s="80">
        <f t="shared" si="163"/>
        <v>16757</v>
      </c>
      <c r="Y2877" s="82" t="s">
        <v>3583</v>
      </c>
      <c r="AB2877" s="177">
        <v>44711</v>
      </c>
      <c r="AC2877" s="84" t="s">
        <v>2885</v>
      </c>
    </row>
    <row r="2878" spans="1:29" ht="15.45" customHeight="1" x14ac:dyDescent="0.25">
      <c r="A2878" s="29" t="s">
        <v>5671</v>
      </c>
      <c r="C2878" s="37" t="s">
        <v>4302</v>
      </c>
      <c r="E2878" s="37" t="s">
        <v>2927</v>
      </c>
      <c r="H2878" s="38" t="s">
        <v>6942</v>
      </c>
      <c r="J2878" s="214" t="s">
        <v>5674</v>
      </c>
      <c r="N2878" s="37" t="s">
        <v>5672</v>
      </c>
      <c r="P2878" s="37" t="s">
        <v>1781</v>
      </c>
      <c r="Q2878" s="37" t="s">
        <v>3506</v>
      </c>
      <c r="R2878" s="37" t="s">
        <v>1792</v>
      </c>
      <c r="S2878" s="10" t="s">
        <v>3412</v>
      </c>
      <c r="U2878" s="22">
        <v>1</v>
      </c>
      <c r="V2878" s="22">
        <v>1</v>
      </c>
      <c r="W2878" s="73">
        <f t="shared" si="162"/>
        <v>8712</v>
      </c>
      <c r="X2878" s="80">
        <f t="shared" si="163"/>
        <v>16758</v>
      </c>
      <c r="Y2878" s="82" t="s">
        <v>3591</v>
      </c>
      <c r="Z2878" s="24" t="s">
        <v>2885</v>
      </c>
      <c r="AB2878" s="177">
        <v>44019</v>
      </c>
      <c r="AC2878" s="84" t="s">
        <v>5308</v>
      </c>
    </row>
    <row r="2879" spans="1:29" ht="15.45" customHeight="1" x14ac:dyDescent="0.25">
      <c r="A2879" s="29" t="s">
        <v>5675</v>
      </c>
      <c r="C2879" s="37" t="s">
        <v>4302</v>
      </c>
      <c r="E2879" s="37" t="s">
        <v>2927</v>
      </c>
      <c r="H2879" s="38" t="s">
        <v>6942</v>
      </c>
      <c r="J2879" s="214" t="s">
        <v>5312</v>
      </c>
      <c r="Q2879" s="37" t="s">
        <v>3506</v>
      </c>
      <c r="R2879" s="37" t="s">
        <v>1792</v>
      </c>
      <c r="S2879" s="10" t="s">
        <v>3412</v>
      </c>
      <c r="U2879" s="22">
        <v>1</v>
      </c>
      <c r="V2879" s="22">
        <v>1</v>
      </c>
      <c r="W2879" s="73">
        <f t="shared" si="162"/>
        <v>8713</v>
      </c>
      <c r="X2879" s="80">
        <f t="shared" si="163"/>
        <v>16759</v>
      </c>
      <c r="Y2879" s="82" t="s">
        <v>3591</v>
      </c>
      <c r="Z2879" s="24" t="s">
        <v>2885</v>
      </c>
      <c r="AB2879" s="177">
        <v>44019</v>
      </c>
      <c r="AC2879" s="84" t="s">
        <v>5308</v>
      </c>
    </row>
    <row r="2880" spans="1:29" ht="15.45" customHeight="1" x14ac:dyDescent="0.25">
      <c r="A2880" s="29" t="s">
        <v>6789</v>
      </c>
      <c r="C2880" s="37" t="s">
        <v>4302</v>
      </c>
      <c r="E2880" s="37" t="s">
        <v>2927</v>
      </c>
      <c r="H2880" s="38" t="s">
        <v>6955</v>
      </c>
      <c r="J2880" s="214" t="s">
        <v>5312</v>
      </c>
      <c r="N2880" s="37" t="s">
        <v>6788</v>
      </c>
      <c r="Q2880" s="37" t="s">
        <v>3506</v>
      </c>
      <c r="R2880" s="37" t="s">
        <v>1792</v>
      </c>
      <c r="S2880" s="10" t="s">
        <v>3412</v>
      </c>
      <c r="U2880" s="22">
        <v>1</v>
      </c>
      <c r="V2880" s="22">
        <v>1</v>
      </c>
      <c r="W2880" s="73">
        <f t="shared" si="162"/>
        <v>8714</v>
      </c>
      <c r="X2880" s="80">
        <f t="shared" si="163"/>
        <v>16760</v>
      </c>
      <c r="Y2880" s="82" t="s">
        <v>2986</v>
      </c>
      <c r="AB2880" s="177">
        <v>44702</v>
      </c>
      <c r="AC2880" s="84" t="s">
        <v>5308</v>
      </c>
    </row>
    <row r="2881" spans="1:29" ht="15.45" customHeight="1" x14ac:dyDescent="0.25">
      <c r="A2881" s="29" t="s">
        <v>6790</v>
      </c>
      <c r="C2881" s="37" t="s">
        <v>4302</v>
      </c>
      <c r="E2881" s="37" t="s">
        <v>2927</v>
      </c>
      <c r="H2881" s="38" t="s">
        <v>6793</v>
      </c>
      <c r="J2881" s="214" t="s">
        <v>6791</v>
      </c>
      <c r="N2881" s="37" t="s">
        <v>6792</v>
      </c>
      <c r="P2881" s="37" t="s">
        <v>4527</v>
      </c>
      <c r="Q2881" s="37" t="s">
        <v>3506</v>
      </c>
      <c r="R2881" s="37" t="s">
        <v>1792</v>
      </c>
      <c r="S2881" s="10" t="s">
        <v>3412</v>
      </c>
      <c r="U2881" s="22">
        <v>1</v>
      </c>
      <c r="V2881" s="22">
        <v>1</v>
      </c>
      <c r="W2881" s="73">
        <f t="shared" si="162"/>
        <v>8715</v>
      </c>
      <c r="X2881" s="80">
        <f t="shared" si="163"/>
        <v>16761</v>
      </c>
      <c r="Y2881" s="82" t="s">
        <v>2986</v>
      </c>
      <c r="AB2881" s="177">
        <v>44702</v>
      </c>
      <c r="AC2881" s="84" t="s">
        <v>5308</v>
      </c>
    </row>
    <row r="2882" spans="1:29" ht="15.45" customHeight="1" x14ac:dyDescent="0.25">
      <c r="A2882" s="29" t="s">
        <v>6946</v>
      </c>
      <c r="C2882" s="37" t="s">
        <v>4302</v>
      </c>
      <c r="E2882" s="37" t="s">
        <v>2927</v>
      </c>
      <c r="H2882" s="38" t="s">
        <v>6948</v>
      </c>
      <c r="J2882" s="214" t="s">
        <v>5673</v>
      </c>
      <c r="N2882" s="37" t="s">
        <v>6947</v>
      </c>
      <c r="P2882" s="37" t="s">
        <v>1781</v>
      </c>
      <c r="Q2882" s="37" t="s">
        <v>3506</v>
      </c>
      <c r="R2882" s="37" t="s">
        <v>1792</v>
      </c>
      <c r="S2882" s="10" t="s">
        <v>3412</v>
      </c>
      <c r="U2882" s="22">
        <v>12</v>
      </c>
      <c r="V2882" s="22">
        <v>12</v>
      </c>
      <c r="W2882" s="73">
        <f t="shared" si="162"/>
        <v>8727</v>
      </c>
      <c r="X2882" s="80">
        <f t="shared" ref="X2882:X2886" si="177">V2882+X2881</f>
        <v>16773</v>
      </c>
      <c r="Y2882" s="82" t="s">
        <v>3583</v>
      </c>
      <c r="AB2882" s="177">
        <v>44711</v>
      </c>
      <c r="AC2882" s="84" t="s">
        <v>2885</v>
      </c>
    </row>
    <row r="2883" spans="1:29" ht="15.45" customHeight="1" x14ac:dyDescent="0.25">
      <c r="A2883" s="29" t="s">
        <v>6939</v>
      </c>
      <c r="C2883" s="37" t="s">
        <v>4302</v>
      </c>
      <c r="E2883" s="37" t="s">
        <v>2927</v>
      </c>
      <c r="H2883" s="38" t="s">
        <v>6940</v>
      </c>
      <c r="J2883" s="214" t="s">
        <v>5674</v>
      </c>
      <c r="N2883" s="37" t="s">
        <v>6727</v>
      </c>
      <c r="P2883" s="37" t="s">
        <v>1781</v>
      </c>
      <c r="Q2883" s="37" t="s">
        <v>3506</v>
      </c>
      <c r="R2883" s="37" t="s">
        <v>1792</v>
      </c>
      <c r="S2883" s="10" t="s">
        <v>3436</v>
      </c>
      <c r="T2883" s="10" t="s">
        <v>6728</v>
      </c>
      <c r="U2883" s="22">
        <v>26</v>
      </c>
      <c r="V2883" s="22">
        <v>26</v>
      </c>
      <c r="W2883" s="73">
        <f t="shared" si="162"/>
        <v>8753</v>
      </c>
      <c r="X2883" s="80">
        <f t="shared" si="177"/>
        <v>16799</v>
      </c>
      <c r="Y2883" s="82" t="s">
        <v>3583</v>
      </c>
      <c r="AB2883" s="177">
        <v>44676</v>
      </c>
      <c r="AC2883" s="84" t="s">
        <v>2885</v>
      </c>
    </row>
    <row r="2884" spans="1:29" ht="15.45" customHeight="1" x14ac:dyDescent="0.25">
      <c r="A2884" s="29" t="s">
        <v>6952</v>
      </c>
      <c r="C2884" s="37" t="s">
        <v>4302</v>
      </c>
      <c r="E2884" s="37" t="s">
        <v>2927</v>
      </c>
      <c r="H2884" s="38" t="s">
        <v>6953</v>
      </c>
      <c r="J2884" s="214" t="s">
        <v>5029</v>
      </c>
      <c r="N2884" s="37" t="s">
        <v>6954</v>
      </c>
      <c r="P2884" s="37" t="s">
        <v>1781</v>
      </c>
      <c r="Q2884" s="37" t="s">
        <v>3506</v>
      </c>
      <c r="R2884" s="37" t="s">
        <v>1792</v>
      </c>
      <c r="S2884" s="10" t="s">
        <v>3412</v>
      </c>
      <c r="U2884" s="22">
        <v>1</v>
      </c>
      <c r="V2884" s="22">
        <v>1</v>
      </c>
      <c r="W2884" s="73">
        <f t="shared" si="162"/>
        <v>8754</v>
      </c>
      <c r="X2884" s="80">
        <f t="shared" si="177"/>
        <v>16800</v>
      </c>
      <c r="Y2884" s="82" t="s">
        <v>3583</v>
      </c>
      <c r="AB2884" s="177">
        <v>44711</v>
      </c>
      <c r="AC2884" s="84" t="s">
        <v>2885</v>
      </c>
    </row>
    <row r="2885" spans="1:29" ht="15.45" customHeight="1" x14ac:dyDescent="0.25">
      <c r="A2885" s="29" t="s">
        <v>6941</v>
      </c>
      <c r="C2885" s="37" t="s">
        <v>4302</v>
      </c>
      <c r="E2885" s="37" t="s">
        <v>2927</v>
      </c>
      <c r="H2885" s="38" t="s">
        <v>6944</v>
      </c>
      <c r="J2885" s="214" t="s">
        <v>6791</v>
      </c>
      <c r="N2885" s="37" t="s">
        <v>6943</v>
      </c>
      <c r="P2885" s="37" t="s">
        <v>4527</v>
      </c>
      <c r="Q2885" s="37" t="s">
        <v>3506</v>
      </c>
      <c r="R2885" s="37" t="s">
        <v>1792</v>
      </c>
      <c r="S2885" s="10" t="s">
        <v>3412</v>
      </c>
      <c r="U2885" s="22">
        <v>2</v>
      </c>
      <c r="V2885" s="22">
        <v>2</v>
      </c>
      <c r="W2885" s="73">
        <f t="shared" si="162"/>
        <v>8756</v>
      </c>
      <c r="X2885" s="80">
        <f t="shared" si="177"/>
        <v>16802</v>
      </c>
      <c r="Y2885" s="82" t="s">
        <v>3583</v>
      </c>
      <c r="AB2885" s="177">
        <v>44711</v>
      </c>
      <c r="AC2885" s="84" t="s">
        <v>2885</v>
      </c>
    </row>
    <row r="2886" spans="1:29" ht="15.45" customHeight="1" x14ac:dyDescent="0.25">
      <c r="A2886" s="29" t="s">
        <v>6945</v>
      </c>
      <c r="C2886" s="37" t="s">
        <v>4302</v>
      </c>
      <c r="E2886" s="37" t="s">
        <v>2927</v>
      </c>
      <c r="H2886" s="38" t="s">
        <v>6944</v>
      </c>
      <c r="J2886" s="214" t="s">
        <v>6791</v>
      </c>
      <c r="N2886" s="37" t="s">
        <v>6943</v>
      </c>
      <c r="P2886" s="37" t="s">
        <v>4527</v>
      </c>
      <c r="Q2886" s="37" t="s">
        <v>3506</v>
      </c>
      <c r="R2886" s="37" t="s">
        <v>1792</v>
      </c>
      <c r="S2886" s="10" t="s">
        <v>3412</v>
      </c>
      <c r="U2886" s="22">
        <v>1</v>
      </c>
      <c r="V2886" s="22">
        <v>1</v>
      </c>
      <c r="W2886" s="73">
        <f t="shared" si="162"/>
        <v>8757</v>
      </c>
      <c r="X2886" s="80">
        <f t="shared" si="177"/>
        <v>16803</v>
      </c>
      <c r="Y2886" s="82" t="s">
        <v>3583</v>
      </c>
      <c r="AB2886" s="177">
        <v>44711</v>
      </c>
      <c r="AC2886" s="84" t="s">
        <v>2885</v>
      </c>
    </row>
    <row r="2887" spans="1:29" ht="15.45" customHeight="1" x14ac:dyDescent="0.25">
      <c r="A2887" s="29" t="s">
        <v>6949</v>
      </c>
      <c r="C2887" s="37" t="s">
        <v>4302</v>
      </c>
      <c r="E2887" s="37" t="s">
        <v>2927</v>
      </c>
      <c r="H2887" s="38" t="s">
        <v>6951</v>
      </c>
      <c r="J2887" s="214" t="s">
        <v>6013</v>
      </c>
      <c r="N2887" s="37" t="s">
        <v>6950</v>
      </c>
      <c r="P2887" s="37" t="s">
        <v>4527</v>
      </c>
      <c r="Q2887" s="37" t="s">
        <v>3506</v>
      </c>
      <c r="R2887" s="37" t="s">
        <v>1792</v>
      </c>
      <c r="S2887" s="10" t="s">
        <v>3412</v>
      </c>
      <c r="U2887" s="22">
        <v>1</v>
      </c>
      <c r="V2887" s="22">
        <v>1</v>
      </c>
      <c r="W2887" s="73">
        <f t="shared" si="162"/>
        <v>8758</v>
      </c>
      <c r="X2887" s="80">
        <f t="shared" ref="X2887:X2889" si="178">V2887+X2886</f>
        <v>16804</v>
      </c>
      <c r="Y2887" s="82" t="s">
        <v>3583</v>
      </c>
      <c r="AB2887" s="177">
        <v>44711</v>
      </c>
      <c r="AC2887" s="84" t="s">
        <v>2885</v>
      </c>
    </row>
    <row r="2888" spans="1:29" ht="15.45" customHeight="1" x14ac:dyDescent="0.25">
      <c r="A2888" s="29" t="s">
        <v>6962</v>
      </c>
      <c r="C2888" s="37" t="s">
        <v>4302</v>
      </c>
      <c r="E2888" s="37" t="s">
        <v>2927</v>
      </c>
      <c r="H2888" s="38" t="s">
        <v>6964</v>
      </c>
      <c r="J2888" s="214" t="s">
        <v>2826</v>
      </c>
      <c r="N2888" s="37" t="s">
        <v>6963</v>
      </c>
      <c r="P2888" s="37" t="s">
        <v>4527</v>
      </c>
      <c r="Q2888" s="37" t="s">
        <v>3506</v>
      </c>
      <c r="R2888" s="37" t="s">
        <v>1792</v>
      </c>
      <c r="S2888" s="10" t="s">
        <v>3412</v>
      </c>
      <c r="U2888" s="22">
        <v>7</v>
      </c>
      <c r="V2888" s="22">
        <v>7</v>
      </c>
      <c r="W2888" s="73">
        <f t="shared" si="162"/>
        <v>8765</v>
      </c>
      <c r="X2888" s="80">
        <f t="shared" si="178"/>
        <v>16811</v>
      </c>
      <c r="Y2888" s="82" t="s">
        <v>3583</v>
      </c>
      <c r="AB2888" s="177">
        <v>44711</v>
      </c>
      <c r="AC2888" s="84" t="s">
        <v>2885</v>
      </c>
    </row>
    <row r="2889" spans="1:29" ht="15.45" customHeight="1" x14ac:dyDescent="0.25">
      <c r="A2889" s="29" t="s">
        <v>6958</v>
      </c>
      <c r="C2889" s="37" t="s">
        <v>4302</v>
      </c>
      <c r="E2889" s="37" t="s">
        <v>2927</v>
      </c>
      <c r="H2889" s="38" t="s">
        <v>6961</v>
      </c>
      <c r="J2889" s="214" t="s">
        <v>2826</v>
      </c>
      <c r="N2889" s="37" t="s">
        <v>6960</v>
      </c>
      <c r="P2889" s="37" t="s">
        <v>1781</v>
      </c>
      <c r="Q2889" s="37" t="s">
        <v>3506</v>
      </c>
      <c r="R2889" s="37" t="s">
        <v>1792</v>
      </c>
      <c r="S2889" s="10" t="s">
        <v>3412</v>
      </c>
      <c r="U2889" s="22">
        <v>1</v>
      </c>
      <c r="V2889" s="22">
        <v>1</v>
      </c>
      <c r="W2889" s="73">
        <f t="shared" si="162"/>
        <v>8766</v>
      </c>
      <c r="X2889" s="80">
        <f t="shared" si="178"/>
        <v>16812</v>
      </c>
      <c r="Y2889" s="82" t="s">
        <v>3583</v>
      </c>
      <c r="AB2889" s="177">
        <v>44711</v>
      </c>
      <c r="AC2889" s="84" t="s">
        <v>2885</v>
      </c>
    </row>
    <row r="2890" spans="1:29" ht="15.45" customHeight="1" x14ac:dyDescent="0.25">
      <c r="A2890" s="29" t="s">
        <v>6965</v>
      </c>
      <c r="C2890" s="37" t="s">
        <v>4302</v>
      </c>
      <c r="E2890" s="37" t="s">
        <v>2927</v>
      </c>
      <c r="H2890" s="38" t="s">
        <v>6967</v>
      </c>
      <c r="J2890" s="214" t="s">
        <v>2826</v>
      </c>
      <c r="N2890" s="37" t="s">
        <v>6966</v>
      </c>
      <c r="Q2890" s="37" t="s">
        <v>3506</v>
      </c>
      <c r="R2890" s="37" t="s">
        <v>1792</v>
      </c>
      <c r="S2890" s="10" t="s">
        <v>3412</v>
      </c>
      <c r="U2890" s="22">
        <v>1</v>
      </c>
      <c r="V2890" s="22">
        <v>1</v>
      </c>
      <c r="W2890" s="73">
        <f t="shared" si="162"/>
        <v>8767</v>
      </c>
      <c r="X2890" s="80">
        <f t="shared" ref="X2890" si="179">V2890+X2889</f>
        <v>16813</v>
      </c>
      <c r="Y2890" s="82" t="s">
        <v>3583</v>
      </c>
      <c r="AB2890" s="177">
        <v>44711</v>
      </c>
      <c r="AC2890" s="84" t="s">
        <v>2885</v>
      </c>
    </row>
    <row r="2891" spans="1:29" ht="15.45" customHeight="1" x14ac:dyDescent="0.25">
      <c r="A2891" s="29" t="s">
        <v>6968</v>
      </c>
      <c r="C2891" s="37" t="s">
        <v>4302</v>
      </c>
      <c r="E2891" s="37" t="s">
        <v>2927</v>
      </c>
      <c r="H2891" s="38" t="s">
        <v>6967</v>
      </c>
      <c r="J2891" s="214" t="s">
        <v>2826</v>
      </c>
      <c r="N2891" s="37" t="s">
        <v>6966</v>
      </c>
      <c r="Q2891" s="37" t="s">
        <v>3506</v>
      </c>
      <c r="R2891" s="37" t="s">
        <v>1792</v>
      </c>
      <c r="S2891" s="10" t="s">
        <v>3412</v>
      </c>
      <c r="U2891" s="22">
        <v>1</v>
      </c>
      <c r="V2891" s="22">
        <v>1</v>
      </c>
      <c r="W2891" s="73">
        <f t="shared" si="162"/>
        <v>8768</v>
      </c>
      <c r="X2891" s="80">
        <f t="shared" ref="X2891:X2893" si="180">V2891+X2890</f>
        <v>16814</v>
      </c>
      <c r="Y2891" s="82" t="s">
        <v>3583</v>
      </c>
      <c r="AB2891" s="177">
        <v>44711</v>
      </c>
      <c r="AC2891" s="84" t="s">
        <v>2885</v>
      </c>
    </row>
    <row r="2892" spans="1:29" ht="15.45" customHeight="1" x14ac:dyDescent="0.25">
      <c r="A2892" s="29" t="s">
        <v>6537</v>
      </c>
      <c r="B2892" s="24" t="s">
        <v>4661</v>
      </c>
      <c r="C2892" s="37" t="s">
        <v>2207</v>
      </c>
      <c r="E2892" s="37" t="s">
        <v>2831</v>
      </c>
      <c r="F2892" s="24" t="s">
        <v>2144</v>
      </c>
      <c r="H2892" s="38" t="s">
        <v>6970</v>
      </c>
      <c r="N2892" s="37" t="s">
        <v>6971</v>
      </c>
      <c r="T2892" s="10" t="s">
        <v>2577</v>
      </c>
      <c r="U2892" s="22">
        <v>2</v>
      </c>
      <c r="V2892" s="22">
        <v>2</v>
      </c>
      <c r="W2892" s="73">
        <f t="shared" si="162"/>
        <v>8770</v>
      </c>
      <c r="X2892" s="80">
        <f t="shared" si="180"/>
        <v>16816</v>
      </c>
      <c r="Y2892" s="82" t="s">
        <v>3583</v>
      </c>
      <c r="AB2892" s="177">
        <v>43424</v>
      </c>
      <c r="AC2892" s="84" t="s">
        <v>2885</v>
      </c>
    </row>
    <row r="2893" spans="1:29" ht="15.45" customHeight="1" x14ac:dyDescent="0.25">
      <c r="A2893" s="29" t="s">
        <v>6537</v>
      </c>
      <c r="B2893" s="24" t="s">
        <v>4661</v>
      </c>
      <c r="C2893" s="37" t="s">
        <v>2207</v>
      </c>
      <c r="E2893" s="37" t="s">
        <v>2831</v>
      </c>
      <c r="F2893" s="24" t="s">
        <v>2144</v>
      </c>
      <c r="H2893" s="38" t="s">
        <v>2576</v>
      </c>
      <c r="N2893" s="37" t="s">
        <v>3097</v>
      </c>
      <c r="U2893" s="22">
        <v>1</v>
      </c>
      <c r="V2893" s="22">
        <v>1</v>
      </c>
      <c r="W2893" s="73">
        <f t="shared" si="162"/>
        <v>8771</v>
      </c>
      <c r="X2893" s="80">
        <f t="shared" si="180"/>
        <v>16817</v>
      </c>
      <c r="Y2893" s="82" t="s">
        <v>3583</v>
      </c>
      <c r="AB2893" s="177">
        <v>43424</v>
      </c>
      <c r="AC2893" s="84" t="s">
        <v>2885</v>
      </c>
    </row>
    <row r="2894" spans="1:29" ht="15.45" customHeight="1" x14ac:dyDescent="0.25">
      <c r="A2894" s="29" t="s">
        <v>6534</v>
      </c>
      <c r="C2894" s="37" t="s">
        <v>2207</v>
      </c>
      <c r="E2894" s="37" t="s">
        <v>2831</v>
      </c>
      <c r="F2894" s="24" t="s">
        <v>2250</v>
      </c>
      <c r="H2894" s="38" t="s">
        <v>2641</v>
      </c>
      <c r="J2894" s="214" t="s">
        <v>6535</v>
      </c>
      <c r="U2894" s="22">
        <v>1</v>
      </c>
      <c r="V2894" s="22">
        <v>1</v>
      </c>
      <c r="W2894" s="73">
        <f t="shared" si="162"/>
        <v>8772</v>
      </c>
      <c r="X2894" s="80">
        <f t="shared" si="163"/>
        <v>16818</v>
      </c>
      <c r="Y2894" s="82" t="s">
        <v>3583</v>
      </c>
      <c r="AB2894" s="177">
        <v>43424</v>
      </c>
      <c r="AC2894" s="84" t="s">
        <v>2885</v>
      </c>
    </row>
    <row r="2895" spans="1:29" ht="15.45" customHeight="1" x14ac:dyDescent="0.25">
      <c r="A2895" s="29" t="s">
        <v>6534</v>
      </c>
      <c r="C2895" s="37" t="s">
        <v>2207</v>
      </c>
      <c r="E2895" s="37" t="s">
        <v>2831</v>
      </c>
      <c r="F2895" s="24" t="s">
        <v>2144</v>
      </c>
      <c r="H2895" s="38" t="s">
        <v>2684</v>
      </c>
      <c r="J2895" s="214" t="s">
        <v>6535</v>
      </c>
      <c r="U2895" s="22">
        <v>1</v>
      </c>
      <c r="V2895" s="22">
        <v>1</v>
      </c>
      <c r="W2895" s="73">
        <f t="shared" si="162"/>
        <v>8773</v>
      </c>
      <c r="X2895" s="80">
        <f t="shared" si="163"/>
        <v>16819</v>
      </c>
      <c r="Y2895" s="82" t="s">
        <v>3583</v>
      </c>
      <c r="AB2895" s="177">
        <v>43424</v>
      </c>
      <c r="AC2895" s="84" t="s">
        <v>2885</v>
      </c>
    </row>
    <row r="2896" spans="1:29" ht="15.45" customHeight="1" x14ac:dyDescent="0.25">
      <c r="A2896" s="29" t="s">
        <v>3547</v>
      </c>
      <c r="C2896" s="37" t="s">
        <v>2207</v>
      </c>
      <c r="E2896" s="37" t="s">
        <v>2831</v>
      </c>
      <c r="F2896" s="24" t="s">
        <v>2776</v>
      </c>
      <c r="H2896" s="38" t="s">
        <v>2640</v>
      </c>
      <c r="U2896" s="22">
        <v>1</v>
      </c>
      <c r="V2896" s="22">
        <v>1</v>
      </c>
      <c r="W2896" s="73">
        <f t="shared" si="162"/>
        <v>8774</v>
      </c>
      <c r="X2896" s="80">
        <f t="shared" si="163"/>
        <v>16820</v>
      </c>
      <c r="Y2896" s="82" t="s">
        <v>3583</v>
      </c>
      <c r="AB2896" s="177">
        <v>43424</v>
      </c>
      <c r="AC2896" s="84" t="s">
        <v>2885</v>
      </c>
    </row>
    <row r="2897" spans="1:37" ht="15.45" customHeight="1" x14ac:dyDescent="0.25">
      <c r="A2897" s="29" t="s">
        <v>6526</v>
      </c>
      <c r="C2897" s="37" t="s">
        <v>2207</v>
      </c>
      <c r="E2897" s="37" t="s">
        <v>2831</v>
      </c>
      <c r="F2897" s="24" t="s">
        <v>2776</v>
      </c>
      <c r="H2897" s="38" t="s">
        <v>2639</v>
      </c>
      <c r="N2897" s="37" t="s">
        <v>6527</v>
      </c>
      <c r="U2897" s="22">
        <v>1</v>
      </c>
      <c r="V2897" s="22">
        <v>1</v>
      </c>
      <c r="W2897" s="73">
        <f t="shared" si="162"/>
        <v>8775</v>
      </c>
      <c r="X2897" s="80">
        <f t="shared" si="163"/>
        <v>16821</v>
      </c>
      <c r="Y2897" s="82" t="s">
        <v>3583</v>
      </c>
      <c r="AB2897" s="177">
        <v>43424</v>
      </c>
      <c r="AC2897" s="84" t="s">
        <v>2885</v>
      </c>
    </row>
    <row r="2898" spans="1:37" ht="15.45" customHeight="1" x14ac:dyDescent="0.25">
      <c r="A2898" s="29" t="s">
        <v>6524</v>
      </c>
      <c r="C2898" s="37" t="s">
        <v>2207</v>
      </c>
      <c r="E2898" s="37" t="s">
        <v>2831</v>
      </c>
      <c r="F2898" s="24" t="s">
        <v>2776</v>
      </c>
      <c r="H2898" s="38" t="s">
        <v>6729</v>
      </c>
      <c r="N2898" s="37" t="s">
        <v>3087</v>
      </c>
      <c r="P2898" s="37" t="s">
        <v>1781</v>
      </c>
      <c r="Q2898" s="37" t="s">
        <v>3506</v>
      </c>
      <c r="S2898" s="10" t="s">
        <v>2983</v>
      </c>
      <c r="U2898" s="22">
        <v>1</v>
      </c>
      <c r="V2898" s="22">
        <v>1</v>
      </c>
      <c r="W2898" s="73">
        <f t="shared" si="162"/>
        <v>8776</v>
      </c>
      <c r="X2898" s="80">
        <f t="shared" si="163"/>
        <v>16822</v>
      </c>
      <c r="Y2898" s="82" t="s">
        <v>3583</v>
      </c>
      <c r="AB2898" s="177">
        <v>43424</v>
      </c>
      <c r="AC2898" s="84" t="s">
        <v>2885</v>
      </c>
    </row>
    <row r="2899" spans="1:37" ht="15.45" customHeight="1" x14ac:dyDescent="0.25">
      <c r="A2899" s="29" t="s">
        <v>6524</v>
      </c>
      <c r="C2899" s="37" t="s">
        <v>2207</v>
      </c>
      <c r="E2899" s="37" t="s">
        <v>2831</v>
      </c>
      <c r="F2899" s="24" t="s">
        <v>2776</v>
      </c>
      <c r="H2899" s="38" t="s">
        <v>2638</v>
      </c>
      <c r="N2899" s="37" t="s">
        <v>3087</v>
      </c>
      <c r="P2899" s="37" t="s">
        <v>1781</v>
      </c>
      <c r="Q2899" s="37" t="s">
        <v>3506</v>
      </c>
      <c r="U2899" s="22">
        <v>1</v>
      </c>
      <c r="V2899" s="22">
        <v>1</v>
      </c>
      <c r="W2899" s="73">
        <f t="shared" si="162"/>
        <v>8777</v>
      </c>
      <c r="X2899" s="80">
        <f t="shared" si="163"/>
        <v>16823</v>
      </c>
      <c r="Y2899" s="82" t="s">
        <v>3583</v>
      </c>
      <c r="AB2899" s="177">
        <v>43424</v>
      </c>
      <c r="AC2899" s="84" t="s">
        <v>2885</v>
      </c>
    </row>
    <row r="2900" spans="1:37" ht="15.45" customHeight="1" x14ac:dyDescent="0.25">
      <c r="A2900" s="29" t="s">
        <v>6525</v>
      </c>
      <c r="C2900" s="37" t="s">
        <v>2207</v>
      </c>
      <c r="E2900" s="37" t="s">
        <v>2831</v>
      </c>
      <c r="F2900" s="24" t="s">
        <v>2776</v>
      </c>
      <c r="H2900" s="38" t="s">
        <v>2678</v>
      </c>
      <c r="N2900" s="37" t="s">
        <v>3087</v>
      </c>
      <c r="P2900" s="37" t="s">
        <v>1781</v>
      </c>
      <c r="Q2900" s="37" t="s">
        <v>3506</v>
      </c>
      <c r="U2900" s="22">
        <v>2</v>
      </c>
      <c r="V2900" s="22">
        <v>2</v>
      </c>
      <c r="W2900" s="73">
        <f t="shared" si="162"/>
        <v>8779</v>
      </c>
      <c r="X2900" s="80">
        <f t="shared" si="163"/>
        <v>16825</v>
      </c>
      <c r="Y2900" s="82" t="s">
        <v>3583</v>
      </c>
      <c r="AB2900" s="177">
        <v>43424</v>
      </c>
      <c r="AC2900" s="84" t="s">
        <v>2885</v>
      </c>
    </row>
    <row r="2901" spans="1:37" ht="15.45" customHeight="1" x14ac:dyDescent="0.25">
      <c r="A2901" s="29" t="s">
        <v>6524</v>
      </c>
      <c r="C2901" s="37" t="s">
        <v>2207</v>
      </c>
      <c r="E2901" s="37" t="s">
        <v>2831</v>
      </c>
      <c r="F2901" s="24" t="s">
        <v>2776</v>
      </c>
      <c r="H2901" s="38" t="s">
        <v>2637</v>
      </c>
      <c r="N2901" s="37" t="s">
        <v>3087</v>
      </c>
      <c r="P2901" s="37" t="s">
        <v>1781</v>
      </c>
      <c r="Q2901" s="37" t="s">
        <v>3506</v>
      </c>
      <c r="U2901" s="22">
        <v>1</v>
      </c>
      <c r="V2901" s="22">
        <v>1</v>
      </c>
      <c r="W2901" s="73">
        <f t="shared" si="162"/>
        <v>8780</v>
      </c>
      <c r="X2901" s="80">
        <f t="shared" si="163"/>
        <v>16826</v>
      </c>
      <c r="Y2901" s="82" t="s">
        <v>3583</v>
      </c>
    </row>
    <row r="2902" spans="1:37" ht="15.45" customHeight="1" x14ac:dyDescent="0.25">
      <c r="A2902" s="29" t="s">
        <v>6523</v>
      </c>
      <c r="C2902" s="37" t="s">
        <v>2207</v>
      </c>
      <c r="E2902" s="37" t="s">
        <v>2831</v>
      </c>
      <c r="F2902" s="24" t="s">
        <v>2776</v>
      </c>
      <c r="H2902" s="38" t="s">
        <v>2676</v>
      </c>
      <c r="N2902" s="37" t="s">
        <v>3087</v>
      </c>
      <c r="P2902" s="37" t="s">
        <v>1781</v>
      </c>
      <c r="Q2902" s="37" t="s">
        <v>3506</v>
      </c>
      <c r="S2902" s="10" t="s">
        <v>2512</v>
      </c>
      <c r="U2902" s="22">
        <v>1</v>
      </c>
      <c r="V2902" s="22">
        <v>1</v>
      </c>
      <c r="W2902" s="73">
        <f t="shared" si="162"/>
        <v>8781</v>
      </c>
      <c r="X2902" s="80">
        <f t="shared" si="163"/>
        <v>16827</v>
      </c>
      <c r="Y2902" s="82" t="s">
        <v>3583</v>
      </c>
      <c r="AB2902" s="177">
        <v>43424</v>
      </c>
      <c r="AC2902" s="84" t="s">
        <v>2885</v>
      </c>
      <c r="AI2902" s="10" t="s">
        <v>2677</v>
      </c>
    </row>
    <row r="2903" spans="1:37" ht="15.45" customHeight="1" x14ac:dyDescent="0.25">
      <c r="A2903" s="29" t="s">
        <v>6528</v>
      </c>
      <c r="C2903" s="37" t="s">
        <v>2311</v>
      </c>
      <c r="E2903" s="37" t="s">
        <v>2831</v>
      </c>
      <c r="F2903" s="24" t="s">
        <v>2776</v>
      </c>
      <c r="N2903" s="37" t="s">
        <v>3087</v>
      </c>
      <c r="P2903" s="37" t="s">
        <v>1781</v>
      </c>
      <c r="Q2903" s="37" t="s">
        <v>3506</v>
      </c>
      <c r="U2903" s="22">
        <v>1</v>
      </c>
      <c r="V2903" s="22">
        <v>1</v>
      </c>
      <c r="W2903" s="73">
        <f t="shared" si="162"/>
        <v>8782</v>
      </c>
      <c r="X2903" s="80">
        <f t="shared" si="163"/>
        <v>16828</v>
      </c>
      <c r="Y2903" s="82" t="s">
        <v>3583</v>
      </c>
      <c r="AB2903" s="177">
        <v>43424</v>
      </c>
      <c r="AC2903" s="84" t="s">
        <v>2885</v>
      </c>
    </row>
    <row r="2904" spans="1:37" ht="15.45" customHeight="1" x14ac:dyDescent="0.25">
      <c r="A2904" s="29" t="s">
        <v>6529</v>
      </c>
      <c r="C2904" s="37" t="s">
        <v>2207</v>
      </c>
      <c r="E2904" s="37" t="s">
        <v>2831</v>
      </c>
      <c r="F2904" s="24" t="s">
        <v>2776</v>
      </c>
      <c r="N2904" s="37" t="s">
        <v>3087</v>
      </c>
      <c r="P2904" s="37" t="s">
        <v>1781</v>
      </c>
      <c r="Q2904" s="37" t="s">
        <v>3506</v>
      </c>
      <c r="U2904" s="22">
        <v>1</v>
      </c>
      <c r="V2904" s="22">
        <v>1</v>
      </c>
      <c r="W2904" s="73">
        <f t="shared" si="162"/>
        <v>8783</v>
      </c>
      <c r="X2904" s="80">
        <f t="shared" si="163"/>
        <v>16829</v>
      </c>
      <c r="Y2904" s="82" t="s">
        <v>3583</v>
      </c>
      <c r="AB2904" s="177">
        <v>43424</v>
      </c>
      <c r="AC2904" s="84" t="s">
        <v>2885</v>
      </c>
    </row>
    <row r="2905" spans="1:37" ht="15.45" customHeight="1" x14ac:dyDescent="0.25">
      <c r="A2905" s="29" t="s">
        <v>6530</v>
      </c>
      <c r="C2905" s="37" t="s">
        <v>2207</v>
      </c>
      <c r="E2905" s="37" t="s">
        <v>2831</v>
      </c>
      <c r="F2905" s="24" t="s">
        <v>2776</v>
      </c>
      <c r="H2905" s="38" t="s">
        <v>3093</v>
      </c>
      <c r="N2905" s="37" t="s">
        <v>6532</v>
      </c>
      <c r="Q2905" s="37" t="s">
        <v>1998</v>
      </c>
      <c r="U2905" s="22">
        <v>1</v>
      </c>
      <c r="V2905" s="22">
        <v>1</v>
      </c>
      <c r="W2905" s="73">
        <f t="shared" ref="W2905:W2915" si="181">W2904+V2905</f>
        <v>8784</v>
      </c>
      <c r="X2905" s="80">
        <f t="shared" si="163"/>
        <v>16830</v>
      </c>
      <c r="Y2905" s="82" t="s">
        <v>3583</v>
      </c>
      <c r="AB2905" s="177">
        <v>43424</v>
      </c>
      <c r="AC2905" s="84" t="s">
        <v>2885</v>
      </c>
    </row>
    <row r="2906" spans="1:37" ht="15.45" customHeight="1" x14ac:dyDescent="0.25">
      <c r="A2906" s="29" t="s">
        <v>6531</v>
      </c>
      <c r="C2906" s="37" t="s">
        <v>2207</v>
      </c>
      <c r="E2906" s="37" t="s">
        <v>2831</v>
      </c>
      <c r="F2906" s="24" t="s">
        <v>2776</v>
      </c>
      <c r="H2906" s="38" t="s">
        <v>3094</v>
      </c>
      <c r="N2906" s="37" t="s">
        <v>6532</v>
      </c>
      <c r="Q2906" s="37" t="s">
        <v>1998</v>
      </c>
      <c r="U2906" s="22">
        <v>1</v>
      </c>
      <c r="V2906" s="22">
        <v>1</v>
      </c>
      <c r="W2906" s="73">
        <f t="shared" si="181"/>
        <v>8785</v>
      </c>
      <c r="X2906" s="80">
        <f t="shared" ref="X2906:X2957" si="182">V2906+X2905</f>
        <v>16831</v>
      </c>
      <c r="Y2906" s="82" t="s">
        <v>3583</v>
      </c>
      <c r="AB2906" s="177">
        <v>43424</v>
      </c>
      <c r="AC2906" s="84" t="s">
        <v>2885</v>
      </c>
    </row>
    <row r="2907" spans="1:37" ht="15.45" customHeight="1" x14ac:dyDescent="0.25">
      <c r="A2907" s="29" t="s">
        <v>6536</v>
      </c>
      <c r="C2907" s="37" t="s">
        <v>2207</v>
      </c>
      <c r="E2907" s="37" t="s">
        <v>2831</v>
      </c>
      <c r="F2907" s="24" t="s">
        <v>2776</v>
      </c>
      <c r="H2907" s="38" t="s">
        <v>2636</v>
      </c>
      <c r="N2907" s="37" t="s">
        <v>6517</v>
      </c>
      <c r="U2907" s="22">
        <v>1</v>
      </c>
      <c r="V2907" s="22">
        <v>1</v>
      </c>
      <c r="W2907" s="73">
        <f t="shared" si="181"/>
        <v>8786</v>
      </c>
      <c r="X2907" s="80">
        <f t="shared" si="182"/>
        <v>16832</v>
      </c>
      <c r="Y2907" s="82" t="s">
        <v>3583</v>
      </c>
      <c r="AB2907" s="177">
        <v>43424</v>
      </c>
      <c r="AC2907" s="84" t="s">
        <v>2885</v>
      </c>
    </row>
    <row r="2908" spans="1:37" ht="15.45" customHeight="1" x14ac:dyDescent="0.25">
      <c r="A2908" s="29" t="s">
        <v>6521</v>
      </c>
      <c r="C2908" s="37" t="s">
        <v>2207</v>
      </c>
      <c r="E2908" s="37" t="s">
        <v>2831</v>
      </c>
      <c r="F2908" s="24" t="s">
        <v>2776</v>
      </c>
      <c r="H2908" s="44" t="s">
        <v>4990</v>
      </c>
      <c r="I2908" s="117"/>
      <c r="J2908" s="215">
        <v>1970</v>
      </c>
      <c r="N2908" s="37" t="s">
        <v>6522</v>
      </c>
      <c r="S2908" s="18" t="s">
        <v>3412</v>
      </c>
      <c r="T2908" s="18"/>
      <c r="U2908" s="22">
        <v>1</v>
      </c>
      <c r="V2908" s="22">
        <v>3</v>
      </c>
      <c r="W2908" s="73">
        <f t="shared" si="181"/>
        <v>8789</v>
      </c>
      <c r="X2908" s="80">
        <f t="shared" si="182"/>
        <v>16835</v>
      </c>
      <c r="Y2908" s="82" t="s">
        <v>3583</v>
      </c>
      <c r="AB2908" s="177">
        <v>43424</v>
      </c>
      <c r="AC2908" s="84" t="s">
        <v>2885</v>
      </c>
      <c r="AF2908" s="18"/>
      <c r="AG2908" s="18"/>
      <c r="AH2908" s="18"/>
      <c r="AI2908" s="18"/>
      <c r="AJ2908" s="18"/>
      <c r="AK2908" s="18"/>
    </row>
    <row r="2909" spans="1:37" ht="15.45" customHeight="1" x14ac:dyDescent="0.25">
      <c r="A2909" s="29" t="s">
        <v>6520</v>
      </c>
      <c r="C2909" s="37" t="s">
        <v>2314</v>
      </c>
      <c r="E2909" s="37" t="s">
        <v>2831</v>
      </c>
      <c r="F2909" s="24" t="s">
        <v>4984</v>
      </c>
      <c r="H2909" s="44" t="s">
        <v>4989</v>
      </c>
      <c r="I2909" s="117"/>
      <c r="J2909" s="215">
        <v>1970</v>
      </c>
      <c r="N2909" s="37" t="s">
        <v>6522</v>
      </c>
      <c r="S2909" s="18" t="s">
        <v>3412</v>
      </c>
      <c r="T2909" s="18"/>
      <c r="U2909" s="22">
        <v>1</v>
      </c>
      <c r="V2909" s="22">
        <v>2</v>
      </c>
      <c r="W2909" s="73">
        <f t="shared" si="181"/>
        <v>8791</v>
      </c>
      <c r="X2909" s="80">
        <f t="shared" si="182"/>
        <v>16837</v>
      </c>
      <c r="Y2909" s="82" t="s">
        <v>3591</v>
      </c>
      <c r="Z2909" s="24" t="s">
        <v>4985</v>
      </c>
      <c r="AB2909" s="177">
        <v>43640</v>
      </c>
      <c r="AC2909" s="84" t="s">
        <v>2885</v>
      </c>
      <c r="AF2909" s="18"/>
      <c r="AG2909" s="18"/>
      <c r="AH2909" s="18"/>
      <c r="AI2909" s="18"/>
      <c r="AJ2909" s="18"/>
      <c r="AK2909" s="18"/>
    </row>
    <row r="2910" spans="1:37" ht="15.45" customHeight="1" x14ac:dyDescent="0.25">
      <c r="A2910" s="29" t="s">
        <v>6519</v>
      </c>
      <c r="C2910" s="37" t="s">
        <v>2207</v>
      </c>
      <c r="E2910" s="37" t="s">
        <v>2831</v>
      </c>
      <c r="F2910" s="24" t="s">
        <v>2776</v>
      </c>
      <c r="H2910" s="44" t="s">
        <v>6516</v>
      </c>
      <c r="I2910" s="117"/>
      <c r="N2910" s="37" t="s">
        <v>3095</v>
      </c>
      <c r="S2910" s="18"/>
      <c r="T2910" s="18"/>
      <c r="U2910" s="22">
        <v>1</v>
      </c>
      <c r="V2910" s="22">
        <v>1</v>
      </c>
      <c r="W2910" s="73">
        <f t="shared" si="181"/>
        <v>8792</v>
      </c>
      <c r="X2910" s="80">
        <f t="shared" si="182"/>
        <v>16838</v>
      </c>
      <c r="Y2910" s="82" t="s">
        <v>3583</v>
      </c>
      <c r="AB2910" s="177">
        <v>43424</v>
      </c>
      <c r="AC2910" s="84" t="s">
        <v>2885</v>
      </c>
      <c r="AF2910" s="18"/>
      <c r="AG2910" s="18"/>
      <c r="AH2910" s="18"/>
      <c r="AI2910" s="18"/>
      <c r="AJ2910" s="18"/>
      <c r="AK2910" s="18"/>
    </row>
    <row r="2911" spans="1:37" ht="15.45" customHeight="1" x14ac:dyDescent="0.25">
      <c r="A2911" s="29" t="s">
        <v>6538</v>
      </c>
      <c r="C2911" s="37" t="s">
        <v>2207</v>
      </c>
      <c r="E2911" s="37" t="s">
        <v>2831</v>
      </c>
      <c r="F2911" s="24" t="s">
        <v>2776</v>
      </c>
      <c r="H2911" s="44" t="s">
        <v>6539</v>
      </c>
      <c r="I2911" s="117"/>
      <c r="N2911" s="37" t="s">
        <v>6517</v>
      </c>
      <c r="S2911" s="18" t="s">
        <v>3412</v>
      </c>
      <c r="T2911" s="18"/>
      <c r="U2911" s="22">
        <v>2</v>
      </c>
      <c r="V2911" s="22">
        <v>2</v>
      </c>
      <c r="W2911" s="73">
        <f t="shared" si="181"/>
        <v>8794</v>
      </c>
      <c r="X2911" s="80">
        <f t="shared" si="182"/>
        <v>16840</v>
      </c>
      <c r="Y2911" s="82" t="s">
        <v>3583</v>
      </c>
      <c r="AB2911" s="177">
        <v>44634</v>
      </c>
      <c r="AC2911" s="84" t="s">
        <v>2885</v>
      </c>
      <c r="AF2911" s="18"/>
      <c r="AG2911" s="18"/>
      <c r="AH2911" s="18"/>
      <c r="AI2911" s="18"/>
      <c r="AJ2911" s="18"/>
      <c r="AK2911" s="18"/>
    </row>
    <row r="2912" spans="1:37" ht="15.45" customHeight="1" x14ac:dyDescent="0.25">
      <c r="A2912" s="29" t="s">
        <v>6541</v>
      </c>
      <c r="C2912" s="37" t="s">
        <v>2207</v>
      </c>
      <c r="E2912" s="37" t="s">
        <v>2831</v>
      </c>
      <c r="F2912" s="24" t="s">
        <v>2776</v>
      </c>
      <c r="H2912" s="44" t="s">
        <v>6540</v>
      </c>
      <c r="I2912" s="117"/>
      <c r="N2912" s="37" t="s">
        <v>2826</v>
      </c>
      <c r="S2912" s="18" t="s">
        <v>3412</v>
      </c>
      <c r="T2912" s="18"/>
      <c r="U2912" s="22">
        <v>1</v>
      </c>
      <c r="V2912" s="22">
        <v>1</v>
      </c>
      <c r="W2912" s="73">
        <f t="shared" si="181"/>
        <v>8795</v>
      </c>
      <c r="X2912" s="80">
        <f t="shared" si="182"/>
        <v>16841</v>
      </c>
      <c r="Y2912" s="82" t="s">
        <v>3583</v>
      </c>
      <c r="AB2912" s="177">
        <v>44634</v>
      </c>
      <c r="AC2912" s="84" t="s">
        <v>2885</v>
      </c>
      <c r="AF2912" s="18"/>
      <c r="AG2912" s="18"/>
      <c r="AH2912" s="18"/>
      <c r="AI2912" s="18"/>
      <c r="AJ2912" s="18"/>
      <c r="AK2912" s="18"/>
    </row>
    <row r="2913" spans="1:37" ht="15.45" customHeight="1" x14ac:dyDescent="0.25">
      <c r="A2913" s="29" t="s">
        <v>6542</v>
      </c>
      <c r="C2913" s="37" t="s">
        <v>2207</v>
      </c>
      <c r="E2913" s="37" t="s">
        <v>2831</v>
      </c>
      <c r="F2913" s="24" t="s">
        <v>2776</v>
      </c>
      <c r="H2913" s="44" t="s">
        <v>6543</v>
      </c>
      <c r="I2913" s="117"/>
      <c r="N2913" s="37" t="s">
        <v>6545</v>
      </c>
      <c r="S2913" s="18" t="s">
        <v>2983</v>
      </c>
      <c r="T2913" s="18"/>
      <c r="U2913" s="22">
        <v>4</v>
      </c>
      <c r="V2913" s="22">
        <v>4</v>
      </c>
      <c r="W2913" s="73">
        <f t="shared" si="181"/>
        <v>8799</v>
      </c>
      <c r="X2913" s="80">
        <f t="shared" si="182"/>
        <v>16845</v>
      </c>
      <c r="Y2913" s="82" t="s">
        <v>3583</v>
      </c>
      <c r="AB2913" s="177">
        <v>44634</v>
      </c>
      <c r="AC2913" s="84" t="s">
        <v>2885</v>
      </c>
      <c r="AF2913" s="18"/>
      <c r="AG2913" s="18"/>
      <c r="AH2913" s="18"/>
      <c r="AI2913" s="18"/>
      <c r="AJ2913" s="18"/>
      <c r="AK2913" s="18"/>
    </row>
    <row r="2914" spans="1:37" ht="15.45" customHeight="1" x14ac:dyDescent="0.25">
      <c r="A2914" s="29" t="s">
        <v>6544</v>
      </c>
      <c r="C2914" s="37" t="s">
        <v>2207</v>
      </c>
      <c r="E2914" s="37" t="s">
        <v>2831</v>
      </c>
      <c r="F2914" s="24" t="s">
        <v>2776</v>
      </c>
      <c r="H2914" s="44" t="s">
        <v>6543</v>
      </c>
      <c r="I2914" s="117"/>
      <c r="N2914" s="37" t="s">
        <v>6546</v>
      </c>
      <c r="S2914" s="18" t="s">
        <v>2983</v>
      </c>
      <c r="T2914" s="18"/>
      <c r="U2914" s="22">
        <v>4</v>
      </c>
      <c r="V2914" s="22">
        <v>4</v>
      </c>
      <c r="W2914" s="73">
        <f t="shared" si="181"/>
        <v>8803</v>
      </c>
      <c r="X2914" s="80">
        <f t="shared" si="182"/>
        <v>16849</v>
      </c>
      <c r="Y2914" s="82" t="s">
        <v>3583</v>
      </c>
      <c r="AB2914" s="177">
        <v>44634</v>
      </c>
      <c r="AC2914" s="84" t="s">
        <v>2885</v>
      </c>
      <c r="AF2914" s="18"/>
      <c r="AG2914" s="18"/>
      <c r="AH2914" s="18"/>
      <c r="AI2914" s="18"/>
      <c r="AJ2914" s="18"/>
      <c r="AK2914" s="18"/>
    </row>
    <row r="2915" spans="1:37" ht="15.45" customHeight="1" x14ac:dyDescent="0.25">
      <c r="A2915" s="29" t="s">
        <v>6518</v>
      </c>
      <c r="C2915" s="37" t="s">
        <v>2207</v>
      </c>
      <c r="E2915" s="37" t="s">
        <v>2831</v>
      </c>
      <c r="F2915" s="24" t="s">
        <v>2776</v>
      </c>
      <c r="H2915" s="44" t="s">
        <v>6054</v>
      </c>
      <c r="I2915" s="117"/>
      <c r="N2915" s="37" t="s">
        <v>3095</v>
      </c>
      <c r="S2915" s="18"/>
      <c r="T2915" s="18"/>
      <c r="U2915" s="22">
        <v>2</v>
      </c>
      <c r="V2915" s="22">
        <v>2</v>
      </c>
      <c r="W2915" s="73">
        <f t="shared" si="181"/>
        <v>8805</v>
      </c>
      <c r="X2915" s="80">
        <f t="shared" si="182"/>
        <v>16851</v>
      </c>
      <c r="Y2915" s="82" t="s">
        <v>3583</v>
      </c>
      <c r="AB2915" s="177">
        <v>43424</v>
      </c>
      <c r="AC2915" s="84" t="s">
        <v>2885</v>
      </c>
      <c r="AF2915" s="18"/>
      <c r="AG2915" s="18"/>
      <c r="AH2915" s="18"/>
      <c r="AI2915" s="18"/>
      <c r="AJ2915" s="18"/>
      <c r="AK2915" s="18"/>
    </row>
    <row r="2916" spans="1:37" ht="15.45" customHeight="1" x14ac:dyDescent="0.25">
      <c r="A2916" s="29" t="s">
        <v>6058</v>
      </c>
      <c r="C2916" s="37" t="s">
        <v>2207</v>
      </c>
      <c r="E2916" s="37" t="s">
        <v>2831</v>
      </c>
      <c r="F2916" s="24" t="s">
        <v>2312</v>
      </c>
      <c r="H2916" s="44" t="s">
        <v>6048</v>
      </c>
      <c r="I2916" s="117"/>
      <c r="S2916" s="18"/>
      <c r="T2916" s="18"/>
      <c r="U2916" s="22">
        <v>6</v>
      </c>
      <c r="V2916" s="22">
        <v>6</v>
      </c>
      <c r="W2916" s="73">
        <f t="shared" ref="W2916:W2957" si="183">W2915+V2916</f>
        <v>8811</v>
      </c>
      <c r="X2916" s="80">
        <f t="shared" si="182"/>
        <v>16857</v>
      </c>
      <c r="Y2916" s="82" t="s">
        <v>3583</v>
      </c>
      <c r="AB2916" s="177">
        <v>43424</v>
      </c>
      <c r="AC2916" s="84" t="s">
        <v>2885</v>
      </c>
      <c r="AF2916" s="18"/>
      <c r="AG2916" s="18"/>
      <c r="AH2916" s="18"/>
      <c r="AI2916" s="18"/>
      <c r="AJ2916" s="18"/>
      <c r="AK2916" s="18"/>
    </row>
    <row r="2917" spans="1:37" ht="15.45" customHeight="1" x14ac:dyDescent="0.25">
      <c r="A2917" s="29" t="s">
        <v>6057</v>
      </c>
      <c r="C2917" s="37" t="s">
        <v>2207</v>
      </c>
      <c r="E2917" s="37" t="s">
        <v>2831</v>
      </c>
      <c r="F2917" s="24" t="s">
        <v>2312</v>
      </c>
      <c r="H2917" s="44" t="s">
        <v>6049</v>
      </c>
      <c r="I2917" s="117"/>
      <c r="S2917" s="18"/>
      <c r="T2917" s="18"/>
      <c r="U2917" s="22">
        <v>1</v>
      </c>
      <c r="V2917" s="22">
        <v>1</v>
      </c>
      <c r="W2917" s="73">
        <f t="shared" ref="W2917:W2926" si="184">W2916+V2917</f>
        <v>8812</v>
      </c>
      <c r="X2917" s="80">
        <f t="shared" ref="X2917:X2926" si="185">V2917+X2916</f>
        <v>16858</v>
      </c>
      <c r="Y2917" s="82" t="s">
        <v>3583</v>
      </c>
      <c r="AB2917" s="177">
        <v>43424</v>
      </c>
      <c r="AC2917" s="84" t="s">
        <v>2885</v>
      </c>
      <c r="AF2917" s="18"/>
      <c r="AG2917" s="18"/>
      <c r="AH2917" s="18"/>
      <c r="AI2917" s="18"/>
      <c r="AJ2917" s="18"/>
      <c r="AK2917" s="18"/>
    </row>
    <row r="2918" spans="1:37" ht="15.45" customHeight="1" x14ac:dyDescent="0.25">
      <c r="A2918" s="29" t="s">
        <v>6056</v>
      </c>
      <c r="C2918" s="37" t="s">
        <v>2207</v>
      </c>
      <c r="E2918" s="37" t="s">
        <v>2831</v>
      </c>
      <c r="F2918" s="24" t="s">
        <v>2312</v>
      </c>
      <c r="H2918" s="44" t="s">
        <v>6050</v>
      </c>
      <c r="I2918" s="117"/>
      <c r="S2918" s="18"/>
      <c r="T2918" s="18"/>
      <c r="U2918" s="22">
        <v>1</v>
      </c>
      <c r="V2918" s="22">
        <v>1</v>
      </c>
      <c r="W2918" s="73">
        <f t="shared" si="184"/>
        <v>8813</v>
      </c>
      <c r="X2918" s="80">
        <f t="shared" si="185"/>
        <v>16859</v>
      </c>
      <c r="Y2918" s="82" t="s">
        <v>3583</v>
      </c>
      <c r="AB2918" s="177">
        <v>43424</v>
      </c>
      <c r="AC2918" s="84" t="s">
        <v>2885</v>
      </c>
      <c r="AF2918" s="18"/>
      <c r="AG2918" s="18"/>
      <c r="AH2918" s="18"/>
      <c r="AI2918" s="18"/>
      <c r="AJ2918" s="18"/>
      <c r="AK2918" s="18"/>
    </row>
    <row r="2919" spans="1:37" ht="15.45" customHeight="1" x14ac:dyDescent="0.25">
      <c r="A2919" s="29" t="s">
        <v>6055</v>
      </c>
      <c r="C2919" s="37" t="s">
        <v>2207</v>
      </c>
      <c r="E2919" s="37" t="s">
        <v>2831</v>
      </c>
      <c r="F2919" s="24" t="s">
        <v>2312</v>
      </c>
      <c r="H2919" s="44" t="s">
        <v>6550</v>
      </c>
      <c r="I2919" s="117"/>
      <c r="S2919" s="18"/>
      <c r="T2919" s="18"/>
      <c r="U2919" s="22">
        <v>3</v>
      </c>
      <c r="V2919" s="22">
        <v>3</v>
      </c>
      <c r="W2919" s="73">
        <f t="shared" si="184"/>
        <v>8816</v>
      </c>
      <c r="X2919" s="80">
        <f t="shared" si="185"/>
        <v>16862</v>
      </c>
      <c r="Y2919" s="82" t="s">
        <v>3583</v>
      </c>
      <c r="AB2919" s="177">
        <v>43424</v>
      </c>
      <c r="AC2919" s="84" t="s">
        <v>2885</v>
      </c>
      <c r="AF2919" s="18"/>
      <c r="AG2919" s="18"/>
      <c r="AH2919" s="18"/>
      <c r="AI2919" s="18"/>
      <c r="AJ2919" s="18"/>
      <c r="AK2919" s="18"/>
    </row>
    <row r="2920" spans="1:37" ht="15.45" customHeight="1" x14ac:dyDescent="0.25">
      <c r="A2920" s="29" t="s">
        <v>6549</v>
      </c>
      <c r="C2920" s="37" t="s">
        <v>2207</v>
      </c>
      <c r="E2920" s="37" t="s">
        <v>2831</v>
      </c>
      <c r="F2920" s="24" t="s">
        <v>2312</v>
      </c>
      <c r="H2920" s="44" t="s">
        <v>6551</v>
      </c>
      <c r="I2920" s="117"/>
      <c r="S2920" s="18"/>
      <c r="T2920" s="18"/>
      <c r="U2920" s="22">
        <v>1</v>
      </c>
      <c r="V2920" s="22">
        <v>1</v>
      </c>
      <c r="W2920" s="73">
        <f t="shared" si="184"/>
        <v>8817</v>
      </c>
      <c r="X2920" s="80">
        <f t="shared" si="185"/>
        <v>16863</v>
      </c>
      <c r="Y2920" s="82" t="s">
        <v>3583</v>
      </c>
      <c r="AB2920" s="177">
        <v>44634</v>
      </c>
      <c r="AC2920" s="84" t="s">
        <v>2885</v>
      </c>
      <c r="AF2920" s="18"/>
      <c r="AG2920" s="18"/>
      <c r="AH2920" s="18"/>
      <c r="AI2920" s="18"/>
      <c r="AJ2920" s="18"/>
      <c r="AK2920" s="18"/>
    </row>
    <row r="2921" spans="1:37" ht="15.45" customHeight="1" x14ac:dyDescent="0.25">
      <c r="A2921" s="29" t="s">
        <v>6612</v>
      </c>
      <c r="C2921" s="37" t="s">
        <v>2207</v>
      </c>
      <c r="E2921" s="37" t="s">
        <v>2927</v>
      </c>
      <c r="F2921" s="24" t="s">
        <v>2144</v>
      </c>
      <c r="H2921" s="38" t="s">
        <v>4648</v>
      </c>
      <c r="J2921" s="215" t="s">
        <v>4647</v>
      </c>
      <c r="S2921" s="10" t="s">
        <v>3412</v>
      </c>
      <c r="U2921" s="22">
        <v>1</v>
      </c>
      <c r="V2921" s="22">
        <v>2</v>
      </c>
      <c r="W2921" s="73">
        <f t="shared" si="184"/>
        <v>8819</v>
      </c>
      <c r="X2921" s="80">
        <f t="shared" si="185"/>
        <v>16865</v>
      </c>
      <c r="Y2921" s="82" t="s">
        <v>3584</v>
      </c>
      <c r="AB2921" s="177">
        <v>43530</v>
      </c>
      <c r="AC2921" s="84" t="s">
        <v>2885</v>
      </c>
    </row>
    <row r="2922" spans="1:37" ht="15.45" customHeight="1" x14ac:dyDescent="0.25">
      <c r="A2922" s="29" t="s">
        <v>6611</v>
      </c>
      <c r="C2922" s="37" t="s">
        <v>2207</v>
      </c>
      <c r="E2922" s="37" t="s">
        <v>2927</v>
      </c>
      <c r="H2922" s="38" t="s">
        <v>6606</v>
      </c>
      <c r="J2922" s="215" t="s">
        <v>6064</v>
      </c>
      <c r="S2922" s="10" t="s">
        <v>2983</v>
      </c>
      <c r="U2922" s="22">
        <v>1</v>
      </c>
      <c r="V2922" s="22">
        <v>1</v>
      </c>
      <c r="W2922" s="73">
        <f t="shared" si="184"/>
        <v>8820</v>
      </c>
      <c r="X2922" s="80">
        <f t="shared" si="185"/>
        <v>16866</v>
      </c>
      <c r="Y2922" s="82" t="s">
        <v>3584</v>
      </c>
      <c r="AB2922" s="177">
        <v>44634</v>
      </c>
      <c r="AC2922" s="84" t="s">
        <v>2885</v>
      </c>
    </row>
    <row r="2923" spans="1:37" ht="15.45" customHeight="1" x14ac:dyDescent="0.25">
      <c r="A2923" s="29" t="s">
        <v>6610</v>
      </c>
      <c r="C2923" s="37" t="s">
        <v>2207</v>
      </c>
      <c r="E2923" s="37" t="s">
        <v>2927</v>
      </c>
      <c r="H2923" s="38" t="s">
        <v>6571</v>
      </c>
      <c r="J2923" s="215" t="s">
        <v>6064</v>
      </c>
      <c r="N2923" s="37" t="s">
        <v>6607</v>
      </c>
      <c r="S2923" s="10" t="s">
        <v>2983</v>
      </c>
      <c r="U2923" s="22">
        <v>1</v>
      </c>
      <c r="V2923" s="22">
        <v>1</v>
      </c>
      <c r="W2923" s="73">
        <f t="shared" si="184"/>
        <v>8821</v>
      </c>
      <c r="X2923" s="80">
        <f t="shared" si="185"/>
        <v>16867</v>
      </c>
      <c r="Y2923" s="82" t="s">
        <v>3584</v>
      </c>
      <c r="AB2923" s="177">
        <v>44634</v>
      </c>
      <c r="AC2923" s="84" t="s">
        <v>5308</v>
      </c>
    </row>
    <row r="2924" spans="1:37" ht="15.45" customHeight="1" x14ac:dyDescent="0.25">
      <c r="A2924" s="29" t="s">
        <v>6608</v>
      </c>
      <c r="C2924" s="37" t="s">
        <v>2207</v>
      </c>
      <c r="E2924" s="37" t="s">
        <v>2831</v>
      </c>
      <c r="F2924" s="24" t="s">
        <v>2312</v>
      </c>
      <c r="H2924" s="44" t="s">
        <v>6051</v>
      </c>
      <c r="I2924" s="117"/>
      <c r="S2924" s="18"/>
      <c r="T2924" s="18"/>
      <c r="U2924" s="22">
        <v>1</v>
      </c>
      <c r="V2924" s="22">
        <v>1</v>
      </c>
      <c r="W2924" s="73">
        <f t="shared" si="184"/>
        <v>8822</v>
      </c>
      <c r="X2924" s="80">
        <f t="shared" si="185"/>
        <v>16868</v>
      </c>
      <c r="Y2924" s="82" t="s">
        <v>3583</v>
      </c>
      <c r="AB2924" s="177">
        <v>43424</v>
      </c>
      <c r="AC2924" s="84" t="s">
        <v>2885</v>
      </c>
      <c r="AF2924" s="18"/>
      <c r="AG2924" s="18"/>
      <c r="AH2924" s="18"/>
      <c r="AI2924" s="18"/>
      <c r="AJ2924" s="18"/>
      <c r="AK2924" s="18"/>
    </row>
    <row r="2925" spans="1:37" ht="15.45" customHeight="1" x14ac:dyDescent="0.25">
      <c r="A2925" s="29" t="s">
        <v>6609</v>
      </c>
      <c r="C2925" s="37" t="s">
        <v>2207</v>
      </c>
      <c r="E2925" s="37" t="s">
        <v>2831</v>
      </c>
      <c r="F2925" s="24" t="s">
        <v>2312</v>
      </c>
      <c r="H2925" s="44" t="s">
        <v>6052</v>
      </c>
      <c r="I2925" s="117"/>
      <c r="N2925" s="37" t="s">
        <v>6517</v>
      </c>
      <c r="S2925" s="18"/>
      <c r="T2925" s="18"/>
      <c r="U2925" s="22">
        <v>1</v>
      </c>
      <c r="V2925" s="22">
        <v>1</v>
      </c>
      <c r="W2925" s="73">
        <f t="shared" si="184"/>
        <v>8823</v>
      </c>
      <c r="X2925" s="80">
        <f t="shared" si="185"/>
        <v>16869</v>
      </c>
      <c r="Y2925" s="82" t="s">
        <v>3583</v>
      </c>
      <c r="AB2925" s="177">
        <v>43424</v>
      </c>
      <c r="AC2925" s="84" t="s">
        <v>2885</v>
      </c>
      <c r="AF2925" s="18"/>
      <c r="AG2925" s="18"/>
      <c r="AH2925" s="18"/>
      <c r="AI2925" s="18"/>
      <c r="AJ2925" s="18"/>
      <c r="AK2925" s="18"/>
    </row>
    <row r="2926" spans="1:37" ht="15.45" customHeight="1" x14ac:dyDescent="0.25">
      <c r="A2926" s="29" t="s">
        <v>4988</v>
      </c>
      <c r="C2926" s="37" t="s">
        <v>2207</v>
      </c>
      <c r="E2926" s="37" t="s">
        <v>2831</v>
      </c>
      <c r="F2926" s="24" t="s">
        <v>2144</v>
      </c>
      <c r="H2926" s="44" t="s">
        <v>4987</v>
      </c>
      <c r="I2926" s="117"/>
      <c r="J2926" s="214" t="s">
        <v>4353</v>
      </c>
      <c r="N2926" s="37" t="s">
        <v>4986</v>
      </c>
      <c r="S2926" s="18" t="s">
        <v>3436</v>
      </c>
      <c r="T2926" s="18"/>
      <c r="U2926" s="22">
        <v>1</v>
      </c>
      <c r="V2926" s="22">
        <v>1</v>
      </c>
      <c r="W2926" s="73">
        <f t="shared" si="184"/>
        <v>8824</v>
      </c>
      <c r="X2926" s="80">
        <f t="shared" si="185"/>
        <v>16870</v>
      </c>
      <c r="Y2926" s="82" t="s">
        <v>3591</v>
      </c>
      <c r="Z2926" s="24" t="s">
        <v>4985</v>
      </c>
      <c r="AB2926" s="177">
        <v>43640</v>
      </c>
      <c r="AC2926" s="84" t="s">
        <v>2885</v>
      </c>
      <c r="AF2926" s="18"/>
      <c r="AG2926" s="18"/>
      <c r="AH2926" s="18"/>
      <c r="AI2926" s="18"/>
      <c r="AJ2926" s="18"/>
      <c r="AK2926" s="18"/>
    </row>
    <row r="2927" spans="1:37" ht="15.45" customHeight="1" x14ac:dyDescent="0.25">
      <c r="A2927" s="29" t="s">
        <v>2267</v>
      </c>
      <c r="C2927" s="37" t="s">
        <v>2207</v>
      </c>
      <c r="E2927" s="37" t="s">
        <v>2831</v>
      </c>
      <c r="F2927" s="24" t="s">
        <v>2312</v>
      </c>
      <c r="H2927" s="44"/>
      <c r="I2927" s="117"/>
      <c r="N2927" s="37" t="s">
        <v>6533</v>
      </c>
      <c r="S2927" s="18"/>
      <c r="T2927" s="18"/>
      <c r="U2927" s="22">
        <v>1</v>
      </c>
      <c r="V2927" s="22">
        <v>1</v>
      </c>
      <c r="W2927" s="73">
        <f t="shared" si="183"/>
        <v>8825</v>
      </c>
      <c r="X2927" s="80">
        <f t="shared" si="182"/>
        <v>16871</v>
      </c>
      <c r="Y2927" s="82" t="s">
        <v>3583</v>
      </c>
      <c r="AB2927" s="177">
        <v>43424</v>
      </c>
      <c r="AC2927" s="84" t="s">
        <v>2885</v>
      </c>
      <c r="AF2927" s="18"/>
      <c r="AG2927" s="18"/>
      <c r="AH2927" s="18"/>
      <c r="AI2927" s="18"/>
      <c r="AJ2927" s="18"/>
      <c r="AK2927" s="18"/>
    </row>
    <row r="2928" spans="1:37" ht="15.45" customHeight="1" x14ac:dyDescent="0.25">
      <c r="A2928" s="29" t="s">
        <v>2313</v>
      </c>
      <c r="C2928" s="37" t="s">
        <v>2207</v>
      </c>
      <c r="E2928" s="37" t="s">
        <v>2831</v>
      </c>
      <c r="F2928" s="24" t="s">
        <v>4613</v>
      </c>
      <c r="H2928" s="44" t="s">
        <v>2657</v>
      </c>
      <c r="I2928" s="117"/>
      <c r="S2928" s="18"/>
      <c r="T2928" s="18"/>
      <c r="U2928" s="22">
        <v>1</v>
      </c>
      <c r="V2928" s="22">
        <v>1</v>
      </c>
      <c r="W2928" s="73">
        <f t="shared" si="183"/>
        <v>8826</v>
      </c>
      <c r="X2928" s="80">
        <f t="shared" si="182"/>
        <v>16872</v>
      </c>
      <c r="Y2928" s="82" t="s">
        <v>3583</v>
      </c>
      <c r="AB2928" s="177">
        <v>43040</v>
      </c>
      <c r="AC2928" s="84" t="s">
        <v>2885</v>
      </c>
      <c r="AF2928" s="18"/>
      <c r="AG2928" s="18"/>
      <c r="AH2928" s="18"/>
      <c r="AI2928" s="18"/>
      <c r="AJ2928" s="18"/>
      <c r="AK2928" s="18"/>
    </row>
    <row r="2929" spans="1:37" ht="15.45" customHeight="1" x14ac:dyDescent="0.25">
      <c r="A2929" s="29" t="s">
        <v>2313</v>
      </c>
      <c r="C2929" s="37" t="s">
        <v>2207</v>
      </c>
      <c r="E2929" s="37" t="s">
        <v>2831</v>
      </c>
      <c r="F2929" s="24" t="s">
        <v>2268</v>
      </c>
      <c r="H2929" s="44"/>
      <c r="I2929" s="117"/>
      <c r="S2929" s="18"/>
      <c r="T2929" s="18"/>
      <c r="U2929" s="22">
        <v>1</v>
      </c>
      <c r="V2929" s="22">
        <v>1</v>
      </c>
      <c r="W2929" s="73">
        <f t="shared" si="183"/>
        <v>8827</v>
      </c>
      <c r="X2929" s="80">
        <f t="shared" si="182"/>
        <v>16873</v>
      </c>
      <c r="Y2929" s="82" t="s">
        <v>3583</v>
      </c>
      <c r="AB2929" s="177">
        <v>43040</v>
      </c>
      <c r="AC2929" s="84" t="s">
        <v>2885</v>
      </c>
      <c r="AF2929" s="18"/>
      <c r="AG2929" s="18"/>
      <c r="AH2929" s="18"/>
      <c r="AI2929" s="18"/>
      <c r="AJ2929" s="18"/>
      <c r="AK2929" s="18"/>
    </row>
    <row r="2930" spans="1:37" ht="15.45" customHeight="1" x14ac:dyDescent="0.25">
      <c r="A2930" s="29" t="s">
        <v>2550</v>
      </c>
      <c r="C2930" s="37" t="s">
        <v>2207</v>
      </c>
      <c r="E2930" s="37" t="s">
        <v>2831</v>
      </c>
      <c r="F2930" s="24" t="s">
        <v>2312</v>
      </c>
      <c r="H2930" s="44" t="s">
        <v>2551</v>
      </c>
      <c r="I2930" s="117"/>
      <c r="S2930" s="18"/>
      <c r="T2930" s="18"/>
      <c r="U2930" s="22">
        <v>1</v>
      </c>
      <c r="V2930" s="22">
        <v>1</v>
      </c>
      <c r="W2930" s="73">
        <f t="shared" si="183"/>
        <v>8828</v>
      </c>
      <c r="X2930" s="80">
        <f t="shared" si="182"/>
        <v>16874</v>
      </c>
      <c r="Y2930" s="82" t="s">
        <v>3583</v>
      </c>
      <c r="AB2930" s="177">
        <v>43040</v>
      </c>
      <c r="AC2930" s="84" t="s">
        <v>2885</v>
      </c>
      <c r="AF2930" s="18"/>
      <c r="AG2930" s="18"/>
      <c r="AH2930" s="18"/>
      <c r="AI2930" s="18"/>
      <c r="AJ2930" s="18"/>
      <c r="AK2930" s="18"/>
    </row>
    <row r="2931" spans="1:37" ht="15.45" customHeight="1" x14ac:dyDescent="0.25">
      <c r="A2931" s="29" t="s">
        <v>2550</v>
      </c>
      <c r="C2931" s="37" t="s">
        <v>2311</v>
      </c>
      <c r="E2931" s="37" t="s">
        <v>2831</v>
      </c>
      <c r="F2931" s="24" t="s">
        <v>2312</v>
      </c>
      <c r="H2931" s="44" t="s">
        <v>2552</v>
      </c>
      <c r="I2931" s="117"/>
      <c r="S2931" s="18"/>
      <c r="T2931" s="18"/>
      <c r="U2931" s="22">
        <v>1</v>
      </c>
      <c r="V2931" s="22">
        <v>1</v>
      </c>
      <c r="W2931" s="73">
        <f t="shared" si="183"/>
        <v>8829</v>
      </c>
      <c r="X2931" s="80">
        <f t="shared" si="182"/>
        <v>16875</v>
      </c>
      <c r="Y2931" s="82" t="s">
        <v>3591</v>
      </c>
      <c r="Z2931" s="24" t="s">
        <v>2553</v>
      </c>
      <c r="AB2931" s="177">
        <v>43009</v>
      </c>
      <c r="AC2931" s="84" t="s">
        <v>2885</v>
      </c>
      <c r="AF2931" s="18"/>
      <c r="AG2931" s="18"/>
      <c r="AH2931" s="18"/>
      <c r="AI2931" s="18"/>
      <c r="AJ2931" s="18"/>
      <c r="AK2931" s="18"/>
    </row>
    <row r="2932" spans="1:37" ht="15.45" customHeight="1" x14ac:dyDescent="0.25">
      <c r="A2932" s="29" t="s">
        <v>4652</v>
      </c>
      <c r="C2932" s="37" t="s">
        <v>2311</v>
      </c>
      <c r="E2932" s="37" t="s">
        <v>2831</v>
      </c>
      <c r="F2932" s="24" t="s">
        <v>4561</v>
      </c>
      <c r="H2932" s="44" t="s">
        <v>4663</v>
      </c>
      <c r="I2932" s="117" t="s">
        <v>4654</v>
      </c>
      <c r="J2932" s="215">
        <v>1980</v>
      </c>
      <c r="N2932" s="37" t="s">
        <v>4649</v>
      </c>
      <c r="P2932" s="37" t="s">
        <v>4527</v>
      </c>
      <c r="S2932" s="18" t="s">
        <v>3436</v>
      </c>
      <c r="T2932" s="18"/>
      <c r="U2932" s="22">
        <v>1</v>
      </c>
      <c r="V2932" s="22">
        <v>24</v>
      </c>
      <c r="W2932" s="73">
        <f t="shared" si="183"/>
        <v>8853</v>
      </c>
      <c r="X2932" s="80">
        <f t="shared" si="182"/>
        <v>16899</v>
      </c>
      <c r="Y2932" s="82" t="s">
        <v>4059</v>
      </c>
      <c r="AB2932" s="177">
        <v>43558</v>
      </c>
      <c r="AC2932" s="84" t="s">
        <v>2885</v>
      </c>
      <c r="AF2932" s="18"/>
      <c r="AG2932" s="18"/>
      <c r="AH2932" s="18"/>
      <c r="AI2932" s="18"/>
      <c r="AJ2932" s="18"/>
      <c r="AK2932" s="18"/>
    </row>
    <row r="2933" spans="1:37" ht="15.45" customHeight="1" x14ac:dyDescent="0.25">
      <c r="A2933" s="29" t="s">
        <v>4653</v>
      </c>
      <c r="C2933" s="37" t="s">
        <v>2311</v>
      </c>
      <c r="E2933" s="37" t="s">
        <v>2831</v>
      </c>
      <c r="F2933" s="24" t="s">
        <v>4571</v>
      </c>
      <c r="H2933" s="44" t="s">
        <v>4663</v>
      </c>
      <c r="I2933" s="117" t="s">
        <v>4654</v>
      </c>
      <c r="J2933" s="215">
        <v>1980</v>
      </c>
      <c r="N2933" s="37" t="s">
        <v>4649</v>
      </c>
      <c r="P2933" s="37" t="s">
        <v>4527</v>
      </c>
      <c r="S2933" s="18" t="s">
        <v>3436</v>
      </c>
      <c r="T2933" s="18"/>
      <c r="U2933" s="22">
        <v>1</v>
      </c>
      <c r="V2933" s="22">
        <v>10</v>
      </c>
      <c r="W2933" s="73">
        <f t="shared" si="183"/>
        <v>8863</v>
      </c>
      <c r="X2933" s="80">
        <f t="shared" si="182"/>
        <v>16909</v>
      </c>
      <c r="Y2933" s="82" t="s">
        <v>4059</v>
      </c>
      <c r="AB2933" s="177">
        <v>43558</v>
      </c>
      <c r="AC2933" s="84" t="s">
        <v>2885</v>
      </c>
      <c r="AF2933" s="18"/>
      <c r="AG2933" s="18"/>
      <c r="AH2933" s="18"/>
      <c r="AI2933" s="18"/>
      <c r="AJ2933" s="18"/>
      <c r="AK2933" s="18"/>
    </row>
    <row r="2934" spans="1:37" ht="15.45" customHeight="1" x14ac:dyDescent="0.25">
      <c r="A2934" s="29" t="s">
        <v>4656</v>
      </c>
      <c r="B2934" s="24" t="s">
        <v>4662</v>
      </c>
      <c r="C2934" s="37" t="s">
        <v>2311</v>
      </c>
      <c r="E2934" s="37" t="s">
        <v>2831</v>
      </c>
      <c r="F2934" s="24" t="s">
        <v>4572</v>
      </c>
      <c r="H2934" s="44" t="s">
        <v>4660</v>
      </c>
      <c r="I2934" s="117" t="s">
        <v>4655</v>
      </c>
      <c r="J2934" s="215">
        <v>1989</v>
      </c>
      <c r="K2934" s="10" t="s">
        <v>4789</v>
      </c>
      <c r="N2934" s="37" t="s">
        <v>4790</v>
      </c>
      <c r="S2934" s="18"/>
      <c r="T2934" s="18"/>
      <c r="U2934" s="22">
        <v>1</v>
      </c>
      <c r="V2934" s="22">
        <v>1</v>
      </c>
      <c r="W2934" s="73">
        <f t="shared" si="183"/>
        <v>8864</v>
      </c>
      <c r="X2934" s="80">
        <f t="shared" si="182"/>
        <v>16910</v>
      </c>
      <c r="Y2934" s="82" t="s">
        <v>4059</v>
      </c>
      <c r="AB2934" s="177">
        <v>43559</v>
      </c>
      <c r="AC2934" s="84" t="s">
        <v>2885</v>
      </c>
      <c r="AF2934" s="18"/>
      <c r="AG2934" s="18"/>
      <c r="AH2934" s="18"/>
      <c r="AI2934" s="18"/>
      <c r="AJ2934" s="18"/>
      <c r="AK2934" s="18"/>
    </row>
    <row r="2935" spans="1:37" ht="15.45" customHeight="1" x14ac:dyDescent="0.25">
      <c r="A2935" s="29" t="s">
        <v>2269</v>
      </c>
      <c r="C2935" s="37" t="s">
        <v>2207</v>
      </c>
      <c r="E2935" s="37" t="s">
        <v>2831</v>
      </c>
      <c r="H2935" s="44"/>
      <c r="I2935" s="117"/>
      <c r="S2935" s="18"/>
      <c r="T2935" s="18"/>
      <c r="U2935" s="22">
        <v>1</v>
      </c>
      <c r="V2935" s="22">
        <v>1</v>
      </c>
      <c r="W2935" s="73">
        <f t="shared" si="183"/>
        <v>8865</v>
      </c>
      <c r="X2935" s="80">
        <f t="shared" si="182"/>
        <v>16911</v>
      </c>
      <c r="Y2935" s="82" t="s">
        <v>3583</v>
      </c>
      <c r="AB2935" s="177">
        <v>43009</v>
      </c>
      <c r="AC2935" s="84" t="s">
        <v>2885</v>
      </c>
      <c r="AF2935" s="18"/>
      <c r="AG2935" s="18"/>
      <c r="AH2935" s="18"/>
      <c r="AI2935" s="18"/>
      <c r="AJ2935" s="18"/>
      <c r="AK2935" s="18"/>
    </row>
    <row r="2936" spans="1:37" ht="15.45" customHeight="1" x14ac:dyDescent="0.25">
      <c r="A2936" s="29" t="s">
        <v>2269</v>
      </c>
      <c r="C2936" s="37" t="s">
        <v>2207</v>
      </c>
      <c r="E2936" s="37" t="s">
        <v>2831</v>
      </c>
      <c r="H2936" s="44"/>
      <c r="I2936" s="117"/>
      <c r="S2936" s="18"/>
      <c r="T2936" s="18"/>
      <c r="U2936" s="22">
        <v>1</v>
      </c>
      <c r="V2936" s="22">
        <v>1</v>
      </c>
      <c r="W2936" s="73">
        <f t="shared" si="183"/>
        <v>8866</v>
      </c>
      <c r="X2936" s="80">
        <f t="shared" si="182"/>
        <v>16912</v>
      </c>
      <c r="Y2936" s="82" t="s">
        <v>3583</v>
      </c>
      <c r="AB2936" s="177">
        <v>43009</v>
      </c>
      <c r="AC2936" s="84" t="s">
        <v>2885</v>
      </c>
      <c r="AF2936" s="18"/>
      <c r="AG2936" s="18"/>
      <c r="AH2936" s="18"/>
      <c r="AI2936" s="18"/>
      <c r="AJ2936" s="18"/>
      <c r="AK2936" s="18"/>
    </row>
    <row r="2937" spans="1:37" ht="15.45" customHeight="1" x14ac:dyDescent="0.25">
      <c r="A2937" s="29" t="s">
        <v>2270</v>
      </c>
      <c r="C2937" s="37" t="s">
        <v>2207</v>
      </c>
      <c r="E2937" s="37" t="s">
        <v>2831</v>
      </c>
      <c r="H2937" s="44"/>
      <c r="I2937" s="117"/>
      <c r="S2937" s="18"/>
      <c r="T2937" s="18"/>
      <c r="U2937" s="22">
        <v>5</v>
      </c>
      <c r="V2937" s="22">
        <v>5</v>
      </c>
      <c r="W2937" s="73">
        <f t="shared" si="183"/>
        <v>8871</v>
      </c>
      <c r="X2937" s="80">
        <f t="shared" si="182"/>
        <v>16917</v>
      </c>
      <c r="Y2937" s="82" t="s">
        <v>3583</v>
      </c>
      <c r="AB2937" s="177">
        <v>43009</v>
      </c>
      <c r="AC2937" s="84" t="s">
        <v>2885</v>
      </c>
      <c r="AF2937" s="18"/>
      <c r="AG2937" s="18"/>
      <c r="AH2937" s="18"/>
      <c r="AI2937" s="18"/>
      <c r="AJ2937" s="18"/>
      <c r="AK2937" s="18"/>
    </row>
    <row r="2938" spans="1:37" ht="15.45" customHeight="1" x14ac:dyDescent="0.25">
      <c r="A2938" s="29" t="s">
        <v>6060</v>
      </c>
      <c r="C2938" s="37" t="s">
        <v>2207</v>
      </c>
      <c r="E2938" s="37" t="s">
        <v>2831</v>
      </c>
      <c r="H2938" s="44"/>
      <c r="I2938" s="117"/>
      <c r="S2938" s="18"/>
      <c r="T2938" s="18"/>
      <c r="U2938" s="22">
        <v>1</v>
      </c>
      <c r="V2938" s="22">
        <v>1</v>
      </c>
      <c r="W2938" s="73">
        <f t="shared" si="183"/>
        <v>8872</v>
      </c>
      <c r="X2938" s="80">
        <f t="shared" si="182"/>
        <v>16918</v>
      </c>
      <c r="Y2938" s="82" t="s">
        <v>3583</v>
      </c>
      <c r="AB2938" s="177">
        <v>43009</v>
      </c>
      <c r="AC2938" s="84" t="s">
        <v>2885</v>
      </c>
      <c r="AF2938" s="18"/>
      <c r="AG2938" s="18"/>
      <c r="AH2938" s="18"/>
      <c r="AI2938" s="18"/>
      <c r="AJ2938" s="18"/>
      <c r="AK2938" s="18"/>
    </row>
    <row r="2939" spans="1:37" ht="15.45" customHeight="1" x14ac:dyDescent="0.25">
      <c r="A2939" s="29" t="s">
        <v>6060</v>
      </c>
      <c r="C2939" s="37" t="s">
        <v>2207</v>
      </c>
      <c r="E2939" s="37" t="s">
        <v>2831</v>
      </c>
      <c r="H2939" s="44"/>
      <c r="I2939" s="117"/>
      <c r="S2939" s="18"/>
      <c r="T2939" s="18"/>
      <c r="U2939" s="22">
        <v>1</v>
      </c>
      <c r="V2939" s="22">
        <v>1</v>
      </c>
      <c r="W2939" s="73">
        <f t="shared" si="183"/>
        <v>8873</v>
      </c>
      <c r="X2939" s="80">
        <f t="shared" si="182"/>
        <v>16919</v>
      </c>
      <c r="Y2939" s="82" t="s">
        <v>3583</v>
      </c>
      <c r="AB2939" s="177">
        <v>43009</v>
      </c>
      <c r="AC2939" s="84" t="s">
        <v>2885</v>
      </c>
      <c r="AF2939" s="18"/>
      <c r="AG2939" s="18"/>
      <c r="AH2939" s="18"/>
      <c r="AI2939" s="18"/>
      <c r="AJ2939" s="18"/>
      <c r="AK2939" s="18"/>
    </row>
    <row r="2940" spans="1:37" ht="15.45" customHeight="1" x14ac:dyDescent="0.25">
      <c r="A2940" s="29" t="s">
        <v>6061</v>
      </c>
      <c r="C2940" s="37" t="s">
        <v>2207</v>
      </c>
      <c r="E2940" s="37" t="s">
        <v>2831</v>
      </c>
      <c r="F2940" s="24" t="s">
        <v>2658</v>
      </c>
      <c r="H2940" s="44" t="s">
        <v>2792</v>
      </c>
      <c r="I2940" s="117"/>
      <c r="S2940" s="18"/>
      <c r="T2940" s="18"/>
      <c r="U2940" s="22">
        <v>2</v>
      </c>
      <c r="V2940" s="22">
        <v>2</v>
      </c>
      <c r="W2940" s="73">
        <f t="shared" si="183"/>
        <v>8875</v>
      </c>
      <c r="X2940" s="80">
        <f t="shared" si="182"/>
        <v>16921</v>
      </c>
      <c r="Y2940" s="82" t="s">
        <v>3583</v>
      </c>
      <c r="AB2940" s="177">
        <v>43009</v>
      </c>
      <c r="AC2940" s="84" t="s">
        <v>2885</v>
      </c>
      <c r="AF2940" s="18"/>
      <c r="AG2940" s="18"/>
      <c r="AH2940" s="18"/>
      <c r="AI2940" s="18"/>
      <c r="AJ2940" s="18"/>
      <c r="AK2940" s="18"/>
    </row>
    <row r="2941" spans="1:37" ht="15.45" customHeight="1" x14ac:dyDescent="0.25">
      <c r="A2941" s="29" t="s">
        <v>6059</v>
      </c>
      <c r="C2941" s="37" t="s">
        <v>2207</v>
      </c>
      <c r="E2941" s="37" t="s">
        <v>2831</v>
      </c>
      <c r="F2941" s="24" t="s">
        <v>2250</v>
      </c>
      <c r="H2941" s="44" t="s">
        <v>2635</v>
      </c>
      <c r="I2941" s="117"/>
      <c r="S2941" s="18"/>
      <c r="T2941" s="18"/>
      <c r="U2941" s="22">
        <v>1</v>
      </c>
      <c r="V2941" s="22">
        <v>1</v>
      </c>
      <c r="W2941" s="73">
        <f t="shared" si="183"/>
        <v>8876</v>
      </c>
      <c r="X2941" s="80">
        <f t="shared" si="182"/>
        <v>16922</v>
      </c>
      <c r="Y2941" s="82" t="s">
        <v>3583</v>
      </c>
      <c r="AB2941" s="177">
        <v>43009</v>
      </c>
      <c r="AC2941" s="84" t="s">
        <v>2885</v>
      </c>
      <c r="AF2941" s="18"/>
      <c r="AG2941" s="18"/>
      <c r="AH2941" s="18"/>
      <c r="AI2941" s="18"/>
      <c r="AJ2941" s="18"/>
      <c r="AK2941" s="18"/>
    </row>
    <row r="2942" spans="1:37" ht="15.45" customHeight="1" x14ac:dyDescent="0.25">
      <c r="A2942" s="29" t="s">
        <v>2634</v>
      </c>
      <c r="C2942" s="37" t="s">
        <v>2207</v>
      </c>
      <c r="E2942" s="37" t="s">
        <v>2831</v>
      </c>
      <c r="F2942" s="24" t="s">
        <v>4401</v>
      </c>
      <c r="H2942" s="44" t="s">
        <v>4657</v>
      </c>
      <c r="I2942" s="117"/>
      <c r="S2942" s="18" t="s">
        <v>3412</v>
      </c>
      <c r="T2942" s="18" t="s">
        <v>4651</v>
      </c>
      <c r="U2942" s="22">
        <v>1</v>
      </c>
      <c r="V2942" s="22">
        <v>1</v>
      </c>
      <c r="W2942" s="73">
        <f t="shared" si="183"/>
        <v>8877</v>
      </c>
      <c r="X2942" s="80">
        <f t="shared" si="182"/>
        <v>16923</v>
      </c>
      <c r="Y2942" s="82" t="s">
        <v>3587</v>
      </c>
      <c r="AB2942" s="177">
        <v>43009</v>
      </c>
      <c r="AC2942" s="84" t="s">
        <v>2885</v>
      </c>
      <c r="AF2942" s="18"/>
      <c r="AG2942" s="18"/>
      <c r="AH2942" s="18"/>
      <c r="AI2942" s="18"/>
      <c r="AJ2942" s="18"/>
      <c r="AK2942" s="18"/>
    </row>
    <row r="2943" spans="1:37" ht="15.45" customHeight="1" x14ac:dyDescent="0.25">
      <c r="A2943" s="29" t="s">
        <v>4650</v>
      </c>
      <c r="C2943" s="37" t="s">
        <v>2207</v>
      </c>
      <c r="E2943" s="37" t="s">
        <v>2831</v>
      </c>
      <c r="F2943" s="24" t="s">
        <v>6880</v>
      </c>
      <c r="H2943" s="44" t="s">
        <v>2554</v>
      </c>
      <c r="I2943" s="117"/>
      <c r="S2943" s="18" t="s">
        <v>2384</v>
      </c>
      <c r="T2943" s="18"/>
      <c r="U2943" s="22">
        <v>1</v>
      </c>
      <c r="V2943" s="22">
        <v>1</v>
      </c>
      <c r="W2943" s="73">
        <f t="shared" si="183"/>
        <v>8878</v>
      </c>
      <c r="X2943" s="80">
        <f t="shared" si="182"/>
        <v>16924</v>
      </c>
      <c r="Y2943" s="82" t="s">
        <v>3585</v>
      </c>
      <c r="AB2943" s="177">
        <v>43009</v>
      </c>
      <c r="AC2943" s="84" t="s">
        <v>2885</v>
      </c>
      <c r="AF2943" s="18"/>
      <c r="AG2943" s="18"/>
      <c r="AH2943" s="18"/>
      <c r="AI2943" s="18"/>
      <c r="AJ2943" s="18"/>
      <c r="AK2943" s="18"/>
    </row>
    <row r="2944" spans="1:37" ht="15.45" customHeight="1" x14ac:dyDescent="0.25">
      <c r="A2944" s="29" t="s">
        <v>2310</v>
      </c>
      <c r="C2944" s="37" t="s">
        <v>2207</v>
      </c>
      <c r="E2944" s="37" t="s">
        <v>2831</v>
      </c>
      <c r="F2944" s="24" t="s">
        <v>2110</v>
      </c>
      <c r="H2944" s="44" t="s">
        <v>2649</v>
      </c>
      <c r="I2944" s="117"/>
      <c r="S2944" s="18" t="s">
        <v>2384</v>
      </c>
      <c r="T2944" s="18"/>
      <c r="U2944" s="22">
        <v>1</v>
      </c>
      <c r="V2944" s="22">
        <v>1</v>
      </c>
      <c r="W2944" s="73">
        <f t="shared" si="183"/>
        <v>8879</v>
      </c>
      <c r="X2944" s="80">
        <f t="shared" si="182"/>
        <v>16925</v>
      </c>
      <c r="Y2944" s="82" t="s">
        <v>3584</v>
      </c>
      <c r="AB2944" s="177">
        <v>43009</v>
      </c>
      <c r="AC2944" s="84" t="s">
        <v>2885</v>
      </c>
      <c r="AF2944" s="18"/>
      <c r="AG2944" s="18"/>
      <c r="AH2944" s="18"/>
      <c r="AI2944" s="18"/>
      <c r="AJ2944" s="18"/>
      <c r="AK2944" s="18"/>
    </row>
    <row r="2945" spans="1:38" ht="15.45" customHeight="1" x14ac:dyDescent="0.25">
      <c r="A2945" s="29" t="s">
        <v>2642</v>
      </c>
      <c r="C2945" s="37" t="s">
        <v>2207</v>
      </c>
      <c r="E2945" s="37" t="s">
        <v>2831</v>
      </c>
      <c r="F2945" s="24" t="s">
        <v>2250</v>
      </c>
      <c r="H2945" s="44" t="s">
        <v>2647</v>
      </c>
      <c r="I2945" s="117"/>
      <c r="S2945" s="18" t="s">
        <v>2384</v>
      </c>
      <c r="T2945" s="18"/>
      <c r="U2945" s="22">
        <v>1</v>
      </c>
      <c r="V2945" s="22">
        <v>1</v>
      </c>
      <c r="W2945" s="73">
        <f t="shared" si="183"/>
        <v>8880</v>
      </c>
      <c r="X2945" s="80">
        <f t="shared" si="182"/>
        <v>16926</v>
      </c>
      <c r="Y2945" s="82" t="s">
        <v>3587</v>
      </c>
      <c r="AB2945" s="177">
        <v>43040</v>
      </c>
      <c r="AC2945" s="84" t="s">
        <v>2885</v>
      </c>
      <c r="AF2945" s="18"/>
      <c r="AG2945" s="18"/>
      <c r="AH2945" s="18"/>
      <c r="AI2945" s="18"/>
      <c r="AJ2945" s="18"/>
      <c r="AK2945" s="18"/>
    </row>
    <row r="2946" spans="1:38" ht="15.45" customHeight="1" x14ac:dyDescent="0.25">
      <c r="A2946" s="29" t="s">
        <v>2316</v>
      </c>
      <c r="C2946" s="37" t="s">
        <v>2207</v>
      </c>
      <c r="E2946" s="37" t="s">
        <v>2831</v>
      </c>
      <c r="F2946" s="24" t="s">
        <v>2110</v>
      </c>
      <c r="H2946" s="44" t="s">
        <v>2648</v>
      </c>
      <c r="I2946" s="117"/>
      <c r="S2946" s="18" t="s">
        <v>2384</v>
      </c>
      <c r="T2946" s="18"/>
      <c r="U2946" s="22">
        <v>1</v>
      </c>
      <c r="V2946" s="22">
        <v>1</v>
      </c>
      <c r="W2946" s="73">
        <f t="shared" si="183"/>
        <v>8881</v>
      </c>
      <c r="X2946" s="80">
        <f t="shared" si="182"/>
        <v>16927</v>
      </c>
      <c r="Y2946" s="82" t="s">
        <v>3584</v>
      </c>
      <c r="AB2946" s="177">
        <v>43040</v>
      </c>
      <c r="AC2946" s="84" t="s">
        <v>2885</v>
      </c>
      <c r="AF2946" s="18"/>
      <c r="AG2946" s="18"/>
      <c r="AH2946" s="18"/>
      <c r="AI2946" s="18"/>
      <c r="AJ2946" s="18"/>
      <c r="AK2946" s="18"/>
    </row>
    <row r="2947" spans="1:38" ht="15.45" customHeight="1" x14ac:dyDescent="0.25">
      <c r="A2947" s="29" t="s">
        <v>4731</v>
      </c>
      <c r="C2947" s="37" t="s">
        <v>2207</v>
      </c>
      <c r="E2947" s="37" t="s">
        <v>2831</v>
      </c>
      <c r="F2947" s="24" t="s">
        <v>2250</v>
      </c>
      <c r="H2947" s="44" t="s">
        <v>4730</v>
      </c>
      <c r="I2947" s="117"/>
      <c r="S2947" s="18"/>
      <c r="T2947" s="18"/>
      <c r="U2947" s="22">
        <v>1</v>
      </c>
      <c r="V2947" s="22">
        <v>1</v>
      </c>
      <c r="W2947" s="73">
        <f t="shared" si="183"/>
        <v>8882</v>
      </c>
      <c r="X2947" s="80">
        <f t="shared" si="182"/>
        <v>16928</v>
      </c>
      <c r="Y2947" s="82" t="s">
        <v>3583</v>
      </c>
      <c r="AB2947" s="177">
        <v>43040</v>
      </c>
      <c r="AC2947" s="84" t="s">
        <v>2885</v>
      </c>
      <c r="AF2947" s="18"/>
      <c r="AG2947" s="18"/>
      <c r="AH2947" s="18"/>
      <c r="AI2947" s="18"/>
      <c r="AJ2947" s="18"/>
      <c r="AK2947" s="18"/>
    </row>
    <row r="2948" spans="1:38" ht="15.45" customHeight="1" x14ac:dyDescent="0.25">
      <c r="A2948" s="29" t="s">
        <v>3105</v>
      </c>
      <c r="C2948" s="37" t="s">
        <v>2207</v>
      </c>
      <c r="E2948" s="37" t="s">
        <v>2831</v>
      </c>
      <c r="F2948" s="24" t="s">
        <v>2315</v>
      </c>
      <c r="H2948" s="44"/>
      <c r="I2948" s="117"/>
      <c r="N2948" s="37" t="s">
        <v>3106</v>
      </c>
      <c r="S2948" s="18"/>
      <c r="T2948" s="18"/>
      <c r="U2948" s="22">
        <v>1</v>
      </c>
      <c r="V2948" s="22">
        <v>1</v>
      </c>
      <c r="W2948" s="73">
        <f t="shared" si="183"/>
        <v>8883</v>
      </c>
      <c r="X2948" s="80">
        <f t="shared" si="182"/>
        <v>16929</v>
      </c>
      <c r="Y2948" s="82" t="s">
        <v>3583</v>
      </c>
      <c r="AB2948" s="177">
        <v>43040</v>
      </c>
      <c r="AC2948" s="84" t="s">
        <v>2885</v>
      </c>
      <c r="AF2948" s="18"/>
      <c r="AG2948" s="18"/>
      <c r="AH2948" s="18"/>
      <c r="AI2948" s="18"/>
      <c r="AJ2948" s="18"/>
      <c r="AK2948" s="18"/>
    </row>
    <row r="2949" spans="1:38" ht="15.45" customHeight="1" x14ac:dyDescent="0.25">
      <c r="A2949" s="29" t="s">
        <v>3103</v>
      </c>
      <c r="C2949" s="37" t="s">
        <v>2207</v>
      </c>
      <c r="E2949" s="37" t="s">
        <v>2831</v>
      </c>
      <c r="F2949" s="24" t="s">
        <v>2315</v>
      </c>
      <c r="H2949" s="44" t="s">
        <v>2643</v>
      </c>
      <c r="I2949" s="117"/>
      <c r="N2949" s="37" t="s">
        <v>3104</v>
      </c>
      <c r="S2949" s="18"/>
      <c r="T2949" s="18"/>
      <c r="U2949" s="22">
        <v>1</v>
      </c>
      <c r="V2949" s="22">
        <v>1</v>
      </c>
      <c r="W2949" s="73">
        <f t="shared" si="183"/>
        <v>8884</v>
      </c>
      <c r="X2949" s="80">
        <f t="shared" si="182"/>
        <v>16930</v>
      </c>
      <c r="Y2949" s="82" t="s">
        <v>3583</v>
      </c>
      <c r="AB2949" s="177">
        <v>43040</v>
      </c>
      <c r="AC2949" s="84" t="s">
        <v>2885</v>
      </c>
      <c r="AF2949" s="18"/>
      <c r="AG2949" s="18"/>
      <c r="AH2949" s="18"/>
      <c r="AI2949" s="18"/>
      <c r="AJ2949" s="18"/>
      <c r="AK2949" s="18"/>
    </row>
    <row r="2950" spans="1:38" ht="15.45" customHeight="1" x14ac:dyDescent="0.25">
      <c r="A2950" s="29" t="s">
        <v>4928</v>
      </c>
      <c r="C2950" s="37" t="s">
        <v>2207</v>
      </c>
      <c r="E2950" s="37" t="s">
        <v>2831</v>
      </c>
      <c r="F2950" s="24" t="s">
        <v>2312</v>
      </c>
      <c r="H2950" s="44" t="s">
        <v>2644</v>
      </c>
      <c r="I2950" s="117"/>
      <c r="N2950" s="37" t="s">
        <v>3102</v>
      </c>
      <c r="S2950" s="18"/>
      <c r="T2950" s="18"/>
      <c r="U2950" s="22">
        <v>1</v>
      </c>
      <c r="V2950" s="22">
        <v>1</v>
      </c>
      <c r="W2950" s="73">
        <f t="shared" si="183"/>
        <v>8885</v>
      </c>
      <c r="X2950" s="80">
        <f t="shared" si="182"/>
        <v>16931</v>
      </c>
      <c r="Y2950" s="82" t="s">
        <v>3583</v>
      </c>
      <c r="AB2950" s="177">
        <v>43040</v>
      </c>
      <c r="AC2950" s="84" t="s">
        <v>2885</v>
      </c>
      <c r="AF2950" s="18"/>
      <c r="AG2950" s="18"/>
      <c r="AH2950" s="18"/>
      <c r="AI2950" s="18"/>
      <c r="AJ2950" s="18"/>
      <c r="AK2950" s="18"/>
    </row>
    <row r="2951" spans="1:38" ht="15.45" customHeight="1" x14ac:dyDescent="0.25">
      <c r="A2951" s="29" t="s">
        <v>4305</v>
      </c>
      <c r="C2951" s="37" t="s">
        <v>2207</v>
      </c>
      <c r="E2951" s="37" t="s">
        <v>2831</v>
      </c>
      <c r="H2951" s="44" t="s">
        <v>4308</v>
      </c>
      <c r="I2951" s="117"/>
      <c r="J2951" s="214" t="s">
        <v>4309</v>
      </c>
      <c r="K2951" s="10" t="s">
        <v>4310</v>
      </c>
      <c r="N2951" s="37" t="s">
        <v>4306</v>
      </c>
      <c r="Q2951" s="37" t="s">
        <v>4307</v>
      </c>
      <c r="R2951" s="37" t="s">
        <v>1792</v>
      </c>
      <c r="S2951" s="18" t="s">
        <v>3436</v>
      </c>
      <c r="T2951" s="18"/>
      <c r="U2951" s="22">
        <v>1</v>
      </c>
      <c r="V2951" s="22">
        <v>1</v>
      </c>
      <c r="W2951" s="73">
        <f t="shared" si="183"/>
        <v>8886</v>
      </c>
      <c r="X2951" s="80">
        <f t="shared" si="182"/>
        <v>16932</v>
      </c>
      <c r="Y2951" s="82" t="s">
        <v>4300</v>
      </c>
      <c r="AB2951" s="177">
        <v>43273</v>
      </c>
      <c r="AC2951" s="84" t="s">
        <v>2885</v>
      </c>
      <c r="AF2951" s="18"/>
      <c r="AG2951" s="18"/>
      <c r="AH2951" s="18"/>
      <c r="AI2951" s="18"/>
      <c r="AJ2951" s="18"/>
      <c r="AK2951" s="18"/>
    </row>
    <row r="2952" spans="1:38" ht="15.45" customHeight="1" x14ac:dyDescent="0.25">
      <c r="A2952" s="29" t="s">
        <v>4311</v>
      </c>
      <c r="C2952" s="37" t="s">
        <v>2207</v>
      </c>
      <c r="E2952" s="37" t="s">
        <v>2831</v>
      </c>
      <c r="H2952" s="44" t="s">
        <v>4312</v>
      </c>
      <c r="I2952" s="117"/>
      <c r="J2952" s="214" t="s">
        <v>4309</v>
      </c>
      <c r="K2952" s="10" t="s">
        <v>4310</v>
      </c>
      <c r="N2952" s="37" t="s">
        <v>4306</v>
      </c>
      <c r="Q2952" s="37" t="s">
        <v>4307</v>
      </c>
      <c r="R2952" s="37" t="s">
        <v>1792</v>
      </c>
      <c r="S2952" s="18" t="s">
        <v>3436</v>
      </c>
      <c r="T2952" s="18"/>
      <c r="U2952" s="22">
        <v>2</v>
      </c>
      <c r="V2952" s="22">
        <v>2</v>
      </c>
      <c r="W2952" s="73">
        <f t="shared" si="183"/>
        <v>8888</v>
      </c>
      <c r="X2952" s="80">
        <f t="shared" si="182"/>
        <v>16934</v>
      </c>
      <c r="Y2952" s="82" t="s">
        <v>4300</v>
      </c>
      <c r="AB2952" s="177">
        <v>43273</v>
      </c>
      <c r="AC2952" s="84" t="s">
        <v>2885</v>
      </c>
      <c r="AF2952" s="18"/>
      <c r="AG2952" s="18"/>
      <c r="AH2952" s="18"/>
      <c r="AI2952" s="18"/>
      <c r="AJ2952" s="18"/>
      <c r="AK2952" s="18"/>
    </row>
    <row r="2953" spans="1:38" ht="15.45" customHeight="1" x14ac:dyDescent="0.25">
      <c r="A2953" s="29" t="s">
        <v>3107</v>
      </c>
      <c r="C2953" s="37" t="s">
        <v>2207</v>
      </c>
      <c r="E2953" s="37" t="s">
        <v>2831</v>
      </c>
      <c r="F2953" s="24" t="s">
        <v>2312</v>
      </c>
      <c r="H2953" s="44" t="s">
        <v>2645</v>
      </c>
      <c r="I2953" s="117"/>
      <c r="N2953" s="37" t="s">
        <v>3101</v>
      </c>
      <c r="S2953" s="18"/>
      <c r="T2953" s="18"/>
      <c r="U2953" s="22">
        <v>1</v>
      </c>
      <c r="V2953" s="22">
        <v>1</v>
      </c>
      <c r="W2953" s="73">
        <f t="shared" si="183"/>
        <v>8889</v>
      </c>
      <c r="X2953" s="80">
        <f t="shared" si="182"/>
        <v>16935</v>
      </c>
      <c r="Y2953" s="82" t="s">
        <v>3583</v>
      </c>
      <c r="AB2953" s="177">
        <v>43273</v>
      </c>
      <c r="AC2953" s="84" t="s">
        <v>2885</v>
      </c>
      <c r="AF2953" s="18"/>
      <c r="AG2953" s="18"/>
      <c r="AH2953" s="18"/>
      <c r="AI2953" s="18"/>
      <c r="AJ2953" s="18"/>
      <c r="AK2953" s="18"/>
    </row>
    <row r="2954" spans="1:38" ht="15.45" customHeight="1" x14ac:dyDescent="0.25">
      <c r="A2954" s="29" t="s">
        <v>2646</v>
      </c>
      <c r="C2954" s="37" t="s">
        <v>2207</v>
      </c>
      <c r="E2954" s="37" t="s">
        <v>2831</v>
      </c>
      <c r="F2954" s="24" t="s">
        <v>2312</v>
      </c>
      <c r="H2954" s="44" t="s">
        <v>3108</v>
      </c>
      <c r="I2954" s="117"/>
      <c r="S2954" s="18" t="s">
        <v>2384</v>
      </c>
      <c r="T2954" s="18"/>
      <c r="U2954" s="22">
        <v>1</v>
      </c>
      <c r="V2954" s="22">
        <v>1</v>
      </c>
      <c r="W2954" s="73">
        <f t="shared" si="183"/>
        <v>8890</v>
      </c>
      <c r="X2954" s="80">
        <f t="shared" si="182"/>
        <v>16936</v>
      </c>
      <c r="Y2954" s="82" t="s">
        <v>3583</v>
      </c>
      <c r="AB2954" s="177">
        <v>43273</v>
      </c>
      <c r="AC2954" s="84" t="s">
        <v>2885</v>
      </c>
      <c r="AF2954" s="18"/>
      <c r="AG2954" s="18"/>
      <c r="AH2954" s="18"/>
      <c r="AI2954" s="18" t="s">
        <v>2569</v>
      </c>
      <c r="AJ2954" s="18"/>
      <c r="AK2954" s="18"/>
    </row>
    <row r="2955" spans="1:38" ht="15.45" customHeight="1" x14ac:dyDescent="0.25">
      <c r="A2955" s="29" t="s">
        <v>6409</v>
      </c>
      <c r="B2955" s="29" t="s">
        <v>6410</v>
      </c>
      <c r="C2955" s="37" t="s">
        <v>2207</v>
      </c>
      <c r="D2955" s="37" t="s">
        <v>6411</v>
      </c>
      <c r="E2955" s="37" t="s">
        <v>2831</v>
      </c>
      <c r="F2955" s="24" t="s">
        <v>2776</v>
      </c>
      <c r="G2955" s="37" t="s">
        <v>6412</v>
      </c>
      <c r="H2955" s="44" t="s">
        <v>6413</v>
      </c>
      <c r="I2955" s="44" t="s">
        <v>6414</v>
      </c>
      <c r="J2955" s="214" t="s">
        <v>6415</v>
      </c>
      <c r="K2955" s="10" t="s">
        <v>6416</v>
      </c>
      <c r="N2955" s="37" t="s">
        <v>6417</v>
      </c>
      <c r="O2955" s="37" t="s">
        <v>4527</v>
      </c>
      <c r="P2955" s="37" t="s">
        <v>4527</v>
      </c>
      <c r="Q2955" s="37" t="s">
        <v>3506</v>
      </c>
      <c r="R2955" s="37" t="s">
        <v>1792</v>
      </c>
      <c r="S2955" s="18" t="s">
        <v>2983</v>
      </c>
      <c r="T2955" s="18" t="s">
        <v>6418</v>
      </c>
      <c r="U2955" s="22">
        <v>1</v>
      </c>
      <c r="V2955" s="22">
        <v>1</v>
      </c>
      <c r="W2955" s="73">
        <f t="shared" si="183"/>
        <v>8891</v>
      </c>
      <c r="X2955" s="80">
        <f t="shared" si="182"/>
        <v>16937</v>
      </c>
      <c r="Y2955" s="82" t="s">
        <v>3583</v>
      </c>
      <c r="AA2955" s="177" t="s">
        <v>6419</v>
      </c>
      <c r="AB2955" s="177">
        <v>43040</v>
      </c>
      <c r="AC2955" s="84" t="s">
        <v>2885</v>
      </c>
      <c r="AD2955" s="84" t="s">
        <v>6420</v>
      </c>
      <c r="AE2955" s="24" t="s">
        <v>6421</v>
      </c>
      <c r="AF2955" s="18" t="s">
        <v>2945</v>
      </c>
      <c r="AG2955" s="210">
        <v>43040</v>
      </c>
      <c r="AH2955" s="18" t="s">
        <v>4196</v>
      </c>
      <c r="AI2955" s="18" t="s">
        <v>2948</v>
      </c>
      <c r="AJ2955" s="210">
        <v>43040</v>
      </c>
      <c r="AK2955" s="18" t="s">
        <v>4196</v>
      </c>
      <c r="AL2955" s="18" t="s">
        <v>6422</v>
      </c>
    </row>
    <row r="2956" spans="1:38" ht="15.45" customHeight="1" x14ac:dyDescent="0.25">
      <c r="A2956" s="29" t="s">
        <v>6423</v>
      </c>
      <c r="B2956" s="29" t="s">
        <v>6410</v>
      </c>
      <c r="C2956" s="37" t="s">
        <v>2207</v>
      </c>
      <c r="E2956" s="37" t="s">
        <v>2831</v>
      </c>
      <c r="F2956" s="24" t="s">
        <v>2776</v>
      </c>
      <c r="G2956" s="37" t="s">
        <v>6412</v>
      </c>
      <c r="H2956" s="44" t="s">
        <v>2572</v>
      </c>
      <c r="I2956" s="117"/>
      <c r="N2956" s="37" t="s">
        <v>3100</v>
      </c>
      <c r="S2956" s="18" t="s">
        <v>2573</v>
      </c>
      <c r="T2956" s="18"/>
      <c r="U2956" s="22">
        <v>1</v>
      </c>
      <c r="V2956" s="22">
        <v>1</v>
      </c>
      <c r="W2956" s="73">
        <f t="shared" si="183"/>
        <v>8892</v>
      </c>
      <c r="X2956" s="80">
        <f t="shared" si="182"/>
        <v>16938</v>
      </c>
      <c r="Y2956" s="82" t="s">
        <v>3583</v>
      </c>
      <c r="AB2956" s="177">
        <v>43009</v>
      </c>
      <c r="AC2956" s="84" t="s">
        <v>2885</v>
      </c>
      <c r="AF2956" s="18"/>
      <c r="AG2956" s="18"/>
      <c r="AH2956" s="18"/>
      <c r="AI2956" s="18" t="s">
        <v>2574</v>
      </c>
      <c r="AJ2956" s="18"/>
      <c r="AK2956" s="18"/>
    </row>
    <row r="2957" spans="1:38" ht="15.45" customHeight="1" x14ac:dyDescent="0.25">
      <c r="A2957" s="29" t="s">
        <v>4992</v>
      </c>
      <c r="C2957" s="37" t="s">
        <v>2207</v>
      </c>
      <c r="E2957" s="37" t="s">
        <v>2831</v>
      </c>
      <c r="F2957" s="24" t="s">
        <v>4401</v>
      </c>
      <c r="H2957" s="44" t="s">
        <v>6881</v>
      </c>
      <c r="I2957" s="117"/>
      <c r="J2957" s="214" t="s">
        <v>5021</v>
      </c>
      <c r="N2957" s="37" t="s">
        <v>2181</v>
      </c>
      <c r="P2957" s="37" t="s">
        <v>1781</v>
      </c>
      <c r="Q2957" s="37" t="s">
        <v>3506</v>
      </c>
      <c r="S2957" s="18" t="s">
        <v>3412</v>
      </c>
      <c r="T2957" s="18" t="s">
        <v>4993</v>
      </c>
      <c r="U2957" s="22">
        <v>1</v>
      </c>
      <c r="V2957" s="22">
        <v>1</v>
      </c>
      <c r="W2957" s="73">
        <f t="shared" si="183"/>
        <v>8893</v>
      </c>
      <c r="X2957" s="80">
        <f t="shared" si="182"/>
        <v>16939</v>
      </c>
      <c r="Y2957" s="82" t="s">
        <v>3588</v>
      </c>
      <c r="AB2957" s="177">
        <v>43642</v>
      </c>
      <c r="AC2957" s="84" t="s">
        <v>2885</v>
      </c>
      <c r="AF2957" s="18"/>
      <c r="AG2957" s="18"/>
      <c r="AH2957" s="18"/>
      <c r="AI2957" s="18"/>
      <c r="AJ2957" s="18"/>
      <c r="AK2957" s="18"/>
    </row>
    <row r="2958" spans="1:38" ht="15.45" customHeight="1" x14ac:dyDescent="0.25">
      <c r="A2958" s="29" t="s">
        <v>6784</v>
      </c>
      <c r="C2958" s="37" t="s">
        <v>2207</v>
      </c>
      <c r="E2958" s="37" t="s">
        <v>2831</v>
      </c>
      <c r="F2958" s="24" t="s">
        <v>4401</v>
      </c>
      <c r="H2958" s="44" t="s">
        <v>6787</v>
      </c>
      <c r="I2958" s="117"/>
      <c r="J2958" s="214" t="s">
        <v>6785</v>
      </c>
      <c r="N2958" s="37" t="s">
        <v>6786</v>
      </c>
      <c r="P2958" s="37" t="s">
        <v>1781</v>
      </c>
      <c r="Q2958" s="37" t="s">
        <v>3506</v>
      </c>
      <c r="S2958" s="18" t="s">
        <v>3412</v>
      </c>
      <c r="T2958" s="18"/>
      <c r="U2958" s="22">
        <v>1</v>
      </c>
      <c r="V2958" s="22">
        <v>2</v>
      </c>
      <c r="W2958" s="73">
        <f>W2957+V2958</f>
        <v>8895</v>
      </c>
      <c r="X2958" s="80">
        <f>V2958+X2957</f>
        <v>16941</v>
      </c>
      <c r="Y2958" s="82" t="s">
        <v>3591</v>
      </c>
      <c r="AB2958" s="177">
        <v>44702</v>
      </c>
      <c r="AC2958" s="84" t="s">
        <v>2885</v>
      </c>
      <c r="AF2958" s="18"/>
      <c r="AG2958" s="18"/>
      <c r="AH2958" s="18"/>
      <c r="AI2958" s="18"/>
      <c r="AJ2958" s="18"/>
      <c r="AK2958" s="18"/>
    </row>
    <row r="2959" spans="1:38" s="51" customFormat="1" ht="15.45" customHeight="1" x14ac:dyDescent="0.25">
      <c r="A2959" s="66" t="s">
        <v>6486</v>
      </c>
      <c r="B2959" s="50"/>
      <c r="C2959" s="49"/>
      <c r="D2959" s="49"/>
      <c r="E2959" s="49"/>
      <c r="F2959" s="50"/>
      <c r="G2959" s="50"/>
      <c r="H2959" s="67"/>
      <c r="I2959" s="109"/>
      <c r="J2959" s="212"/>
      <c r="K2959" s="56"/>
      <c r="L2959" s="100"/>
      <c r="M2959" s="100"/>
      <c r="N2959" s="49"/>
      <c r="O2959" s="49"/>
      <c r="P2959" s="49"/>
      <c r="Q2959" s="49"/>
      <c r="R2959" s="49"/>
      <c r="S2959" s="68"/>
      <c r="T2959" s="68"/>
      <c r="U2959" s="48"/>
      <c r="V2959" s="48"/>
      <c r="W2959" s="74"/>
      <c r="X2959" s="81"/>
      <c r="Y2959" s="132"/>
      <c r="Z2959" s="50"/>
      <c r="AA2959" s="173"/>
      <c r="AB2959" s="173"/>
      <c r="AC2959" s="137"/>
      <c r="AD2959" s="137"/>
      <c r="AE2959" s="83"/>
      <c r="AF2959" s="68"/>
      <c r="AG2959" s="68"/>
      <c r="AH2959" s="68"/>
      <c r="AI2959" s="68"/>
      <c r="AJ2959" s="68"/>
      <c r="AK2959" s="68"/>
    </row>
    <row r="2960" spans="1:38" ht="15.45" customHeight="1" x14ac:dyDescent="0.25">
      <c r="A2960" s="31" t="s">
        <v>2661</v>
      </c>
      <c r="B2960" s="24" t="s">
        <v>3563</v>
      </c>
      <c r="C2960" s="37" t="s">
        <v>6487</v>
      </c>
      <c r="D2960" s="37" t="s">
        <v>1007</v>
      </c>
      <c r="E2960" s="37" t="s">
        <v>2827</v>
      </c>
      <c r="F2960" s="24" t="s">
        <v>1951</v>
      </c>
      <c r="H2960" s="38" t="s">
        <v>3564</v>
      </c>
      <c r="J2960" s="214" t="s">
        <v>4045</v>
      </c>
      <c r="K2960" s="10" t="s">
        <v>4046</v>
      </c>
      <c r="N2960" s="37" t="s">
        <v>2660</v>
      </c>
      <c r="P2960" s="37" t="s">
        <v>4214</v>
      </c>
      <c r="Q2960" s="37" t="s">
        <v>1998</v>
      </c>
      <c r="S2960" s="11"/>
      <c r="T2960" s="11"/>
      <c r="U2960" s="21">
        <v>1</v>
      </c>
      <c r="V2960" s="21">
        <v>1</v>
      </c>
      <c r="W2960" s="73">
        <v>1</v>
      </c>
      <c r="X2960" s="80">
        <f>V2960+X2958</f>
        <v>16942</v>
      </c>
      <c r="Y2960" s="82" t="s">
        <v>3612</v>
      </c>
      <c r="AF2960" s="11"/>
      <c r="AG2960" s="11"/>
      <c r="AH2960" s="11"/>
      <c r="AI2960" s="11"/>
      <c r="AJ2960" s="11"/>
      <c r="AK2960" s="11"/>
    </row>
    <row r="2961" spans="1:37" ht="15.45" customHeight="1" x14ac:dyDescent="0.25">
      <c r="A2961" s="31" t="s">
        <v>2662</v>
      </c>
      <c r="B2961" s="24" t="s">
        <v>3562</v>
      </c>
      <c r="C2961" s="37" t="s">
        <v>6487</v>
      </c>
      <c r="D2961" s="37" t="s">
        <v>1007</v>
      </c>
      <c r="E2961" s="37" t="s">
        <v>2827</v>
      </c>
      <c r="F2961" s="24" t="s">
        <v>1951</v>
      </c>
      <c r="H2961" s="38" t="s">
        <v>3561</v>
      </c>
      <c r="J2961" s="214" t="s">
        <v>4045</v>
      </c>
      <c r="K2961" s="10" t="s">
        <v>4046</v>
      </c>
      <c r="N2961" s="37" t="s">
        <v>2660</v>
      </c>
      <c r="P2961" s="37" t="s">
        <v>4214</v>
      </c>
      <c r="Q2961" s="37" t="s">
        <v>1998</v>
      </c>
      <c r="S2961" s="11"/>
      <c r="T2961" s="11"/>
      <c r="U2961" s="21">
        <v>1</v>
      </c>
      <c r="V2961" s="21">
        <v>1</v>
      </c>
      <c r="W2961" s="73">
        <f>W2960+V2961</f>
        <v>2</v>
      </c>
      <c r="X2961" s="80">
        <f t="shared" ref="X2961:X3014" si="186">V2961+X2960</f>
        <v>16943</v>
      </c>
      <c r="Y2961" s="82" t="s">
        <v>3612</v>
      </c>
      <c r="AF2961" s="11"/>
      <c r="AG2961" s="11"/>
      <c r="AH2961" s="11"/>
      <c r="AI2961" s="11"/>
      <c r="AJ2961" s="11"/>
      <c r="AK2961" s="11"/>
    </row>
    <row r="2962" spans="1:37" ht="15.45" customHeight="1" x14ac:dyDescent="0.25">
      <c r="A2962" s="29" t="s">
        <v>2659</v>
      </c>
      <c r="C2962" s="37" t="s">
        <v>6487</v>
      </c>
      <c r="D2962" s="37" t="s">
        <v>1007</v>
      </c>
      <c r="E2962" s="37" t="s">
        <v>2827</v>
      </c>
      <c r="F2962" s="24" t="s">
        <v>1951</v>
      </c>
      <c r="H2962" s="38" t="s">
        <v>3565</v>
      </c>
      <c r="J2962" s="214" t="s">
        <v>4045</v>
      </c>
      <c r="K2962" s="10" t="s">
        <v>4046</v>
      </c>
      <c r="N2962" s="37" t="s">
        <v>2660</v>
      </c>
      <c r="P2962" s="37" t="s">
        <v>4214</v>
      </c>
      <c r="Q2962" s="37" t="s">
        <v>1998</v>
      </c>
      <c r="U2962" s="21">
        <v>1</v>
      </c>
      <c r="V2962" s="21">
        <v>1</v>
      </c>
      <c r="W2962" s="73">
        <f>W2961+V2962</f>
        <v>3</v>
      </c>
      <c r="X2962" s="80">
        <f t="shared" si="186"/>
        <v>16944</v>
      </c>
      <c r="Y2962" s="82" t="s">
        <v>3612</v>
      </c>
    </row>
    <row r="2963" spans="1:37" ht="15.45" customHeight="1" x14ac:dyDescent="0.25">
      <c r="A2963" s="29" t="s">
        <v>2663</v>
      </c>
      <c r="C2963" s="37" t="s">
        <v>6487</v>
      </c>
      <c r="D2963" s="37" t="s">
        <v>1007</v>
      </c>
      <c r="E2963" s="37" t="s">
        <v>2827</v>
      </c>
      <c r="F2963" s="24" t="s">
        <v>1951</v>
      </c>
      <c r="H2963" s="38" t="s">
        <v>3560</v>
      </c>
      <c r="J2963" s="214" t="s">
        <v>4045</v>
      </c>
      <c r="K2963" s="10" t="s">
        <v>4046</v>
      </c>
      <c r="N2963" s="37" t="s">
        <v>2660</v>
      </c>
      <c r="P2963" s="37" t="s">
        <v>4214</v>
      </c>
      <c r="Q2963" s="37" t="s">
        <v>1998</v>
      </c>
      <c r="U2963" s="21">
        <v>1</v>
      </c>
      <c r="V2963" s="21">
        <v>1</v>
      </c>
      <c r="W2963" s="73">
        <f>W2962+V2963</f>
        <v>4</v>
      </c>
      <c r="X2963" s="80">
        <f t="shared" si="186"/>
        <v>16945</v>
      </c>
      <c r="Y2963" s="82" t="s">
        <v>3612</v>
      </c>
    </row>
    <row r="2964" spans="1:37" ht="15.45" customHeight="1" x14ac:dyDescent="0.25">
      <c r="A2964" s="29" t="s">
        <v>2664</v>
      </c>
      <c r="C2964" s="37" t="s">
        <v>6487</v>
      </c>
      <c r="D2964" s="37" t="s">
        <v>1007</v>
      </c>
      <c r="E2964" s="37" t="s">
        <v>2827</v>
      </c>
      <c r="F2964" s="24" t="s">
        <v>1951</v>
      </c>
      <c r="H2964" s="38" t="s">
        <v>3559</v>
      </c>
      <c r="J2964" s="214" t="s">
        <v>4045</v>
      </c>
      <c r="K2964" s="10" t="s">
        <v>4046</v>
      </c>
      <c r="N2964" s="37" t="s">
        <v>2660</v>
      </c>
      <c r="P2964" s="37" t="s">
        <v>4214</v>
      </c>
      <c r="Q2964" s="37" t="s">
        <v>1998</v>
      </c>
      <c r="U2964" s="21">
        <v>1</v>
      </c>
      <c r="V2964" s="21">
        <v>1</v>
      </c>
      <c r="W2964" s="73">
        <f>W2963+V2964</f>
        <v>5</v>
      </c>
      <c r="X2964" s="80">
        <f t="shared" si="186"/>
        <v>16946</v>
      </c>
      <c r="Y2964" s="82" t="s">
        <v>3612</v>
      </c>
    </row>
    <row r="2965" spans="1:37" ht="15.45" customHeight="1" x14ac:dyDescent="0.25">
      <c r="A2965" s="29" t="s">
        <v>3620</v>
      </c>
      <c r="C2965" s="37" t="s">
        <v>6487</v>
      </c>
      <c r="D2965" s="37" t="s">
        <v>4980</v>
      </c>
      <c r="E2965" s="37" t="s">
        <v>2827</v>
      </c>
      <c r="F2965" s="24" t="s">
        <v>2245</v>
      </c>
      <c r="H2965" s="38" t="s">
        <v>5585</v>
      </c>
      <c r="J2965" s="214" t="s">
        <v>4057</v>
      </c>
      <c r="K2965" s="10" t="s">
        <v>4058</v>
      </c>
      <c r="N2965" s="37" t="s">
        <v>3619</v>
      </c>
      <c r="O2965" s="37" t="s">
        <v>5584</v>
      </c>
      <c r="P2965" s="37" t="s">
        <v>1781</v>
      </c>
      <c r="Q2965" s="37" t="s">
        <v>3506</v>
      </c>
      <c r="U2965" s="22">
        <v>1</v>
      </c>
      <c r="V2965" s="22">
        <v>65</v>
      </c>
      <c r="W2965" s="73">
        <f t="shared" ref="W2965:W2966" si="187">W2964+V2965</f>
        <v>70</v>
      </c>
      <c r="X2965" s="80">
        <f t="shared" si="186"/>
        <v>17011</v>
      </c>
      <c r="Y2965" s="82" t="s">
        <v>4060</v>
      </c>
    </row>
    <row r="2966" spans="1:37" ht="15.45" customHeight="1" x14ac:dyDescent="0.25">
      <c r="A2966" s="29" t="s">
        <v>6485</v>
      </c>
      <c r="C2966" s="37" t="s">
        <v>6487</v>
      </c>
      <c r="D2966" s="37" t="s">
        <v>4980</v>
      </c>
      <c r="E2966" s="37" t="s">
        <v>2827</v>
      </c>
      <c r="F2966" s="24" t="s">
        <v>1951</v>
      </c>
      <c r="H2966" s="38" t="s">
        <v>6479</v>
      </c>
      <c r="J2966" s="214" t="s">
        <v>6497</v>
      </c>
      <c r="K2966" s="10" t="s">
        <v>6484</v>
      </c>
      <c r="N2966" s="37" t="s">
        <v>3548</v>
      </c>
      <c r="Q2966" s="37" t="s">
        <v>1979</v>
      </c>
      <c r="U2966" s="21">
        <v>1</v>
      </c>
      <c r="V2966" s="21">
        <v>1</v>
      </c>
      <c r="W2966" s="73">
        <f t="shared" si="187"/>
        <v>71</v>
      </c>
      <c r="X2966" s="80">
        <f>V2966+X2965</f>
        <v>17012</v>
      </c>
      <c r="Y2966" s="82" t="s">
        <v>3587</v>
      </c>
      <c r="AB2966" s="177">
        <v>42670</v>
      </c>
      <c r="AC2966" s="84" t="s">
        <v>2885</v>
      </c>
    </row>
    <row r="2967" spans="1:37" ht="15.45" customHeight="1" x14ac:dyDescent="0.25">
      <c r="A2967" s="29" t="s">
        <v>2671</v>
      </c>
      <c r="C2967" s="37" t="s">
        <v>6487</v>
      </c>
      <c r="D2967" s="37" t="s">
        <v>4980</v>
      </c>
      <c r="E2967" s="37" t="s">
        <v>2827</v>
      </c>
      <c r="F2967" s="24" t="s">
        <v>1951</v>
      </c>
      <c r="H2967" s="38" t="s">
        <v>6480</v>
      </c>
      <c r="J2967" s="214" t="s">
        <v>6497</v>
      </c>
      <c r="K2967" s="10" t="s">
        <v>6484</v>
      </c>
      <c r="N2967" s="37" t="s">
        <v>3548</v>
      </c>
      <c r="Q2967" s="37" t="s">
        <v>1979</v>
      </c>
      <c r="U2967" s="21">
        <v>1</v>
      </c>
      <c r="V2967" s="21">
        <v>1</v>
      </c>
      <c r="W2967" s="73">
        <f t="shared" ref="W2967:W3014" si="188">W2966+V2967</f>
        <v>72</v>
      </c>
      <c r="X2967" s="80">
        <f t="shared" si="186"/>
        <v>17013</v>
      </c>
      <c r="Y2967" s="82" t="s">
        <v>3587</v>
      </c>
      <c r="AB2967" s="177">
        <v>42670</v>
      </c>
      <c r="AC2967" s="84" t="s">
        <v>2885</v>
      </c>
    </row>
    <row r="2968" spans="1:37" ht="15.45" customHeight="1" x14ac:dyDescent="0.25">
      <c r="A2968" s="29" t="s">
        <v>2672</v>
      </c>
      <c r="C2968" s="37" t="s">
        <v>6487</v>
      </c>
      <c r="D2968" s="37" t="s">
        <v>4980</v>
      </c>
      <c r="E2968" s="37" t="s">
        <v>2827</v>
      </c>
      <c r="F2968" s="24" t="s">
        <v>1951</v>
      </c>
      <c r="H2968" s="38" t="s">
        <v>6481</v>
      </c>
      <c r="J2968" s="214" t="s">
        <v>6497</v>
      </c>
      <c r="K2968" s="10" t="s">
        <v>6484</v>
      </c>
      <c r="N2968" s="37" t="s">
        <v>3548</v>
      </c>
      <c r="Q2968" s="37" t="s">
        <v>1979</v>
      </c>
      <c r="U2968" s="21">
        <v>1</v>
      </c>
      <c r="V2968" s="21">
        <v>1</v>
      </c>
      <c r="W2968" s="73">
        <f t="shared" si="188"/>
        <v>73</v>
      </c>
      <c r="X2968" s="80">
        <f t="shared" si="186"/>
        <v>17014</v>
      </c>
      <c r="Y2968" s="82" t="s">
        <v>3587</v>
      </c>
      <c r="AB2968" s="177">
        <v>42670</v>
      </c>
      <c r="AC2968" s="84" t="s">
        <v>2885</v>
      </c>
    </row>
    <row r="2969" spans="1:37" ht="15.45" customHeight="1" x14ac:dyDescent="0.25">
      <c r="A2969" s="29" t="s">
        <v>2673</v>
      </c>
      <c r="C2969" s="37" t="s">
        <v>6487</v>
      </c>
      <c r="D2969" s="37" t="s">
        <v>4980</v>
      </c>
      <c r="E2969" s="37" t="s">
        <v>2827</v>
      </c>
      <c r="F2969" s="24" t="s">
        <v>1951</v>
      </c>
      <c r="H2969" s="38" t="s">
        <v>6482</v>
      </c>
      <c r="J2969" s="214" t="s">
        <v>6497</v>
      </c>
      <c r="K2969" s="10" t="s">
        <v>6484</v>
      </c>
      <c r="N2969" s="37" t="s">
        <v>3548</v>
      </c>
      <c r="Q2969" s="37" t="s">
        <v>1979</v>
      </c>
      <c r="U2969" s="21">
        <v>1</v>
      </c>
      <c r="V2969" s="21">
        <v>1</v>
      </c>
      <c r="W2969" s="73">
        <f t="shared" si="188"/>
        <v>74</v>
      </c>
      <c r="X2969" s="80">
        <f t="shared" si="186"/>
        <v>17015</v>
      </c>
      <c r="Y2969" s="82" t="s">
        <v>3587</v>
      </c>
      <c r="AB2969" s="177">
        <v>42670</v>
      </c>
      <c r="AC2969" s="84" t="s">
        <v>2885</v>
      </c>
    </row>
    <row r="2970" spans="1:37" ht="15.45" customHeight="1" x14ac:dyDescent="0.25">
      <c r="A2970" s="29" t="s">
        <v>2670</v>
      </c>
      <c r="C2970" s="37" t="s">
        <v>6487</v>
      </c>
      <c r="D2970" s="37" t="s">
        <v>4980</v>
      </c>
      <c r="E2970" s="37" t="s">
        <v>2827</v>
      </c>
      <c r="F2970" s="24" t="s">
        <v>1951</v>
      </c>
      <c r="H2970" s="38" t="s">
        <v>6483</v>
      </c>
      <c r="J2970" s="214" t="s">
        <v>6497</v>
      </c>
      <c r="K2970" s="10" t="s">
        <v>6484</v>
      </c>
      <c r="N2970" s="37" t="s">
        <v>3548</v>
      </c>
      <c r="Q2970" s="37" t="s">
        <v>1979</v>
      </c>
      <c r="U2970" s="21">
        <v>1</v>
      </c>
      <c r="V2970" s="21">
        <v>1</v>
      </c>
      <c r="W2970" s="73">
        <f t="shared" si="188"/>
        <v>75</v>
      </c>
      <c r="X2970" s="80">
        <f t="shared" si="186"/>
        <v>17016</v>
      </c>
      <c r="Y2970" s="82" t="s">
        <v>3587</v>
      </c>
      <c r="AB2970" s="177">
        <v>42670</v>
      </c>
      <c r="AC2970" s="84" t="s">
        <v>2885</v>
      </c>
    </row>
    <row r="2971" spans="1:37" ht="15.45" customHeight="1" x14ac:dyDescent="0.25">
      <c r="A2971" s="29" t="s">
        <v>2665</v>
      </c>
      <c r="C2971" s="37" t="s">
        <v>6487</v>
      </c>
      <c r="D2971" s="37" t="s">
        <v>4980</v>
      </c>
      <c r="E2971" s="37" t="s">
        <v>2832</v>
      </c>
      <c r="F2971" s="24" t="s">
        <v>2093</v>
      </c>
      <c r="H2971" s="38" t="s">
        <v>6474</v>
      </c>
      <c r="J2971" s="214" t="s">
        <v>4465</v>
      </c>
      <c r="N2971" s="37" t="s">
        <v>6475</v>
      </c>
      <c r="P2971" s="37" t="s">
        <v>1781</v>
      </c>
      <c r="Q2971" s="37" t="s">
        <v>3506</v>
      </c>
      <c r="S2971" s="10" t="s">
        <v>2980</v>
      </c>
      <c r="T2971" s="10" t="s">
        <v>6476</v>
      </c>
      <c r="U2971" s="21">
        <v>1</v>
      </c>
      <c r="V2971" s="21">
        <v>1</v>
      </c>
      <c r="W2971" s="73">
        <f t="shared" si="188"/>
        <v>76</v>
      </c>
      <c r="X2971" s="80">
        <f t="shared" si="186"/>
        <v>17017</v>
      </c>
      <c r="Y2971" s="82" t="s">
        <v>3584</v>
      </c>
      <c r="AB2971" s="177">
        <v>42670</v>
      </c>
      <c r="AC2971" s="84" t="s">
        <v>2885</v>
      </c>
      <c r="AI2971" s="10" t="s">
        <v>2493</v>
      </c>
    </row>
    <row r="2972" spans="1:37" ht="15.45" customHeight="1" x14ac:dyDescent="0.25">
      <c r="A2972" s="29" t="s">
        <v>6425</v>
      </c>
      <c r="C2972" s="37" t="s">
        <v>6487</v>
      </c>
      <c r="D2972" s="37" t="s">
        <v>4980</v>
      </c>
      <c r="E2972" s="37" t="s">
        <v>2928</v>
      </c>
      <c r="F2972" s="24" t="s">
        <v>6428</v>
      </c>
      <c r="H2972" t="s">
        <v>6431</v>
      </c>
      <c r="J2972" s="214" t="s">
        <v>6426</v>
      </c>
      <c r="K2972" s="10" t="s">
        <v>6427</v>
      </c>
      <c r="N2972" s="37" t="s">
        <v>6429</v>
      </c>
      <c r="S2972" s="10" t="s">
        <v>3412</v>
      </c>
      <c r="T2972" s="10" t="s">
        <v>6430</v>
      </c>
      <c r="U2972" s="21">
        <v>1</v>
      </c>
      <c r="V2972" s="21">
        <v>1</v>
      </c>
      <c r="W2972" s="73">
        <f t="shared" si="188"/>
        <v>77</v>
      </c>
      <c r="X2972" s="80">
        <f t="shared" si="186"/>
        <v>17018</v>
      </c>
      <c r="Y2972" s="82" t="s">
        <v>3587</v>
      </c>
      <c r="AB2972" s="177">
        <v>44550</v>
      </c>
      <c r="AC2972" s="84" t="s">
        <v>5308</v>
      </c>
    </row>
    <row r="2973" spans="1:37" ht="15.45" customHeight="1" x14ac:dyDescent="0.25">
      <c r="A2973" s="29" t="s">
        <v>2432</v>
      </c>
      <c r="C2973" s="37" t="s">
        <v>6487</v>
      </c>
      <c r="D2973" s="37" t="s">
        <v>4980</v>
      </c>
      <c r="E2973" s="37" t="s">
        <v>2827</v>
      </c>
      <c r="F2973" s="24" t="s">
        <v>1951</v>
      </c>
      <c r="H2973" s="38" t="s">
        <v>5592</v>
      </c>
      <c r="J2973" s="215">
        <v>1966</v>
      </c>
      <c r="N2973" s="37" t="s">
        <v>3115</v>
      </c>
      <c r="P2973" s="37" t="s">
        <v>1781</v>
      </c>
      <c r="Q2973" s="37" t="s">
        <v>3506</v>
      </c>
      <c r="S2973" s="10" t="s">
        <v>2390</v>
      </c>
      <c r="U2973" s="21">
        <v>1</v>
      </c>
      <c r="V2973" s="21">
        <v>1</v>
      </c>
      <c r="W2973" s="73">
        <f t="shared" si="188"/>
        <v>78</v>
      </c>
      <c r="X2973" s="80">
        <f t="shared" si="186"/>
        <v>17019</v>
      </c>
      <c r="Y2973" s="82" t="s">
        <v>3591</v>
      </c>
      <c r="Z2973" s="24" t="s">
        <v>2486</v>
      </c>
      <c r="AB2973" s="177">
        <v>42917</v>
      </c>
      <c r="AC2973" s="84" t="s">
        <v>2885</v>
      </c>
      <c r="AD2973" s="84" t="s">
        <v>3035</v>
      </c>
    </row>
    <row r="2974" spans="1:37" ht="15.45" customHeight="1" x14ac:dyDescent="0.25">
      <c r="A2974" s="29" t="s">
        <v>2488</v>
      </c>
      <c r="C2974" s="37" t="s">
        <v>6487</v>
      </c>
      <c r="D2974" s="37" t="s">
        <v>4980</v>
      </c>
      <c r="E2974" s="37" t="s">
        <v>2827</v>
      </c>
      <c r="F2974" s="24" t="s">
        <v>1951</v>
      </c>
      <c r="H2974" s="38" t="s">
        <v>3118</v>
      </c>
      <c r="J2974" s="215">
        <v>1972</v>
      </c>
      <c r="N2974" s="37" t="s">
        <v>3117</v>
      </c>
      <c r="P2974" s="37" t="s">
        <v>1781</v>
      </c>
      <c r="Q2974" s="37" t="s">
        <v>3506</v>
      </c>
      <c r="U2974" s="21">
        <v>1</v>
      </c>
      <c r="V2974" s="21">
        <v>1</v>
      </c>
      <c r="W2974" s="73">
        <f t="shared" si="188"/>
        <v>79</v>
      </c>
      <c r="X2974" s="80">
        <f t="shared" si="186"/>
        <v>17020</v>
      </c>
      <c r="Y2974" s="82" t="s">
        <v>3584</v>
      </c>
      <c r="AB2974" s="177">
        <v>42917</v>
      </c>
      <c r="AC2974" s="84" t="s">
        <v>2885</v>
      </c>
    </row>
    <row r="2975" spans="1:37" ht="15.45" customHeight="1" x14ac:dyDescent="0.25">
      <c r="A2975" s="29" t="s">
        <v>2487</v>
      </c>
      <c r="C2975" s="37" t="s">
        <v>6487</v>
      </c>
      <c r="D2975" s="37" t="s">
        <v>4980</v>
      </c>
      <c r="E2975" s="37" t="s">
        <v>2827</v>
      </c>
      <c r="F2975" s="24" t="s">
        <v>1951</v>
      </c>
      <c r="H2975" s="38" t="s">
        <v>2489</v>
      </c>
      <c r="N2975" s="37" t="s">
        <v>3116</v>
      </c>
      <c r="P2975" s="37" t="s">
        <v>1781</v>
      </c>
      <c r="Q2975" s="37" t="s">
        <v>3506</v>
      </c>
      <c r="U2975" s="21">
        <v>1</v>
      </c>
      <c r="V2975" s="21">
        <v>1</v>
      </c>
      <c r="W2975" s="73">
        <f t="shared" si="188"/>
        <v>80</v>
      </c>
      <c r="X2975" s="80">
        <f t="shared" si="186"/>
        <v>17021</v>
      </c>
      <c r="Y2975" s="82" t="s">
        <v>3591</v>
      </c>
      <c r="Z2975" s="24" t="s">
        <v>2553</v>
      </c>
      <c r="AB2975" s="177">
        <v>42917</v>
      </c>
      <c r="AC2975" s="84" t="s">
        <v>2885</v>
      </c>
    </row>
    <row r="2976" spans="1:37" ht="15.45" customHeight="1" x14ac:dyDescent="0.25">
      <c r="A2976" s="29" t="s">
        <v>2666</v>
      </c>
      <c r="C2976" s="37" t="s">
        <v>6487</v>
      </c>
      <c r="D2976" s="37" t="s">
        <v>4980</v>
      </c>
      <c r="E2976" s="37" t="s">
        <v>2827</v>
      </c>
      <c r="F2976" s="24" t="s">
        <v>6424</v>
      </c>
      <c r="H2976" s="38" t="s">
        <v>5716</v>
      </c>
      <c r="J2976" s="215">
        <v>1960</v>
      </c>
      <c r="N2976" s="37" t="s">
        <v>3115</v>
      </c>
      <c r="P2976" s="37" t="s">
        <v>1781</v>
      </c>
      <c r="Q2976" s="37" t="s">
        <v>3506</v>
      </c>
      <c r="S2976" s="10" t="s">
        <v>2390</v>
      </c>
      <c r="U2976" s="21">
        <v>1</v>
      </c>
      <c r="V2976" s="21">
        <v>1</v>
      </c>
      <c r="W2976" s="73">
        <f t="shared" si="188"/>
        <v>81</v>
      </c>
      <c r="X2976" s="80">
        <f t="shared" si="186"/>
        <v>17022</v>
      </c>
      <c r="Y2976" s="82" t="s">
        <v>3591</v>
      </c>
      <c r="Z2976" s="24" t="s">
        <v>2885</v>
      </c>
      <c r="AB2976" s="177">
        <v>43040</v>
      </c>
      <c r="AC2976" s="84" t="s">
        <v>2885</v>
      </c>
    </row>
    <row r="2977" spans="1:35" ht="15.45" customHeight="1" x14ac:dyDescent="0.25">
      <c r="A2977" s="29" t="s">
        <v>2667</v>
      </c>
      <c r="C2977" s="37" t="s">
        <v>6487</v>
      </c>
      <c r="D2977" s="37" t="s">
        <v>6488</v>
      </c>
      <c r="E2977" s="37" t="s">
        <v>5301</v>
      </c>
      <c r="F2977" s="24" t="s">
        <v>2848</v>
      </c>
      <c r="H2977" s="201" t="s">
        <v>5717</v>
      </c>
      <c r="J2977" s="215">
        <v>1976</v>
      </c>
      <c r="N2977" s="37" t="s">
        <v>3119</v>
      </c>
      <c r="S2977" s="10" t="s">
        <v>2390</v>
      </c>
      <c r="U2977" s="21">
        <v>1</v>
      </c>
      <c r="V2977" s="21">
        <v>1</v>
      </c>
      <c r="W2977" s="73">
        <f t="shared" si="188"/>
        <v>82</v>
      </c>
      <c r="X2977" s="80">
        <f t="shared" si="186"/>
        <v>17023</v>
      </c>
      <c r="Y2977" s="82" t="s">
        <v>3591</v>
      </c>
      <c r="Z2977" s="24" t="s">
        <v>2885</v>
      </c>
      <c r="AB2977" s="177">
        <v>43040</v>
      </c>
      <c r="AC2977" s="84" t="s">
        <v>2885</v>
      </c>
    </row>
    <row r="2978" spans="1:35" ht="15.45" customHeight="1" x14ac:dyDescent="0.25">
      <c r="A2978" s="29" t="s">
        <v>2667</v>
      </c>
      <c r="C2978" s="37" t="s">
        <v>6487</v>
      </c>
      <c r="D2978" s="37" t="s">
        <v>6488</v>
      </c>
      <c r="E2978" s="37" t="s">
        <v>2932</v>
      </c>
      <c r="H2978" s="201" t="s">
        <v>5717</v>
      </c>
      <c r="J2978" s="215">
        <v>1976</v>
      </c>
      <c r="N2978" s="37" t="s">
        <v>3119</v>
      </c>
      <c r="S2978" s="10" t="s">
        <v>2512</v>
      </c>
      <c r="T2978" s="10" t="s">
        <v>6046</v>
      </c>
      <c r="U2978" s="21">
        <v>1</v>
      </c>
      <c r="V2978" s="21">
        <v>1</v>
      </c>
      <c r="W2978" s="73">
        <f t="shared" si="188"/>
        <v>83</v>
      </c>
      <c r="X2978" s="80">
        <f t="shared" si="186"/>
        <v>17024</v>
      </c>
      <c r="Y2978" s="82" t="s">
        <v>3584</v>
      </c>
      <c r="AB2978" s="177">
        <v>43040</v>
      </c>
      <c r="AC2978" s="84" t="s">
        <v>2885</v>
      </c>
      <c r="AI2978" s="10" t="s">
        <v>2668</v>
      </c>
    </row>
    <row r="2979" spans="1:35" ht="15.45" customHeight="1" x14ac:dyDescent="0.25">
      <c r="A2979" s="29" t="s">
        <v>3114</v>
      </c>
      <c r="C2979" s="37" t="s">
        <v>6487</v>
      </c>
      <c r="D2979" s="37" t="s">
        <v>6488</v>
      </c>
      <c r="E2979" s="37" t="s">
        <v>2932</v>
      </c>
      <c r="J2979" s="215">
        <v>1976</v>
      </c>
      <c r="N2979" s="37" t="s">
        <v>3549</v>
      </c>
      <c r="P2979" s="37" t="s">
        <v>3550</v>
      </c>
      <c r="S2979" s="10" t="s">
        <v>2384</v>
      </c>
      <c r="U2979" s="21">
        <v>1</v>
      </c>
      <c r="V2979" s="21">
        <v>1</v>
      </c>
      <c r="W2979" s="73">
        <f t="shared" si="188"/>
        <v>84</v>
      </c>
      <c r="X2979" s="80">
        <f t="shared" si="186"/>
        <v>17025</v>
      </c>
      <c r="Y2979" s="82" t="s">
        <v>3591</v>
      </c>
      <c r="Z2979" s="24" t="s">
        <v>3580</v>
      </c>
      <c r="AB2979" s="177">
        <v>43040</v>
      </c>
      <c r="AC2979" s="84" t="s">
        <v>2885</v>
      </c>
      <c r="AI2979" s="10" t="s">
        <v>2669</v>
      </c>
    </row>
    <row r="2980" spans="1:35" ht="15.45" customHeight="1" x14ac:dyDescent="0.25">
      <c r="A2980" s="29" t="s">
        <v>2490</v>
      </c>
      <c r="C2980" s="37" t="s">
        <v>6487</v>
      </c>
      <c r="D2980" s="37" t="s">
        <v>6488</v>
      </c>
      <c r="E2980" s="37" t="s">
        <v>2827</v>
      </c>
      <c r="H2980" s="38" t="s">
        <v>3552</v>
      </c>
      <c r="N2980" s="37" t="s">
        <v>3554</v>
      </c>
      <c r="Q2980" s="37" t="s">
        <v>1998</v>
      </c>
      <c r="S2980" s="10" t="s">
        <v>2980</v>
      </c>
      <c r="T2980" s="10" t="s">
        <v>3553</v>
      </c>
      <c r="U2980" s="22">
        <v>1</v>
      </c>
      <c r="V2980" s="22">
        <v>1</v>
      </c>
      <c r="W2980" s="73">
        <f t="shared" si="188"/>
        <v>85</v>
      </c>
      <c r="X2980" s="80">
        <f t="shared" si="186"/>
        <v>17026</v>
      </c>
      <c r="Y2980" s="82" t="s">
        <v>3586</v>
      </c>
    </row>
    <row r="2981" spans="1:35" ht="15.45" customHeight="1" x14ac:dyDescent="0.25">
      <c r="A2981" s="29" t="s">
        <v>3556</v>
      </c>
      <c r="C2981" s="37" t="s">
        <v>6487</v>
      </c>
      <c r="D2981" s="37" t="s">
        <v>6488</v>
      </c>
      <c r="E2981" s="37" t="s">
        <v>2831</v>
      </c>
      <c r="F2981" s="24" t="s">
        <v>2110</v>
      </c>
      <c r="H2981" s="38" t="s">
        <v>3557</v>
      </c>
      <c r="J2981" s="214" t="s">
        <v>3760</v>
      </c>
      <c r="K2981" s="10" t="s">
        <v>3761</v>
      </c>
      <c r="N2981" s="37" t="s">
        <v>3555</v>
      </c>
      <c r="Q2981" s="37" t="s">
        <v>1998</v>
      </c>
      <c r="S2981" s="10" t="s">
        <v>2980</v>
      </c>
      <c r="T2981" s="10" t="s">
        <v>3558</v>
      </c>
      <c r="U2981" s="22">
        <v>1</v>
      </c>
      <c r="V2981" s="22">
        <v>1</v>
      </c>
      <c r="W2981" s="73">
        <f t="shared" si="188"/>
        <v>86</v>
      </c>
      <c r="X2981" s="80">
        <f t="shared" si="186"/>
        <v>17027</v>
      </c>
      <c r="Y2981" s="82" t="s">
        <v>3584</v>
      </c>
      <c r="AB2981" s="177">
        <v>42005</v>
      </c>
      <c r="AC2981" s="84" t="s">
        <v>2885</v>
      </c>
      <c r="AI2981" s="10" t="s">
        <v>2493</v>
      </c>
    </row>
    <row r="2982" spans="1:35" ht="15.45" customHeight="1" x14ac:dyDescent="0.25">
      <c r="A2982" s="29" t="s">
        <v>2555</v>
      </c>
      <c r="C2982" s="37" t="s">
        <v>6487</v>
      </c>
      <c r="D2982" s="37" t="s">
        <v>6488</v>
      </c>
      <c r="E2982" s="37" t="s">
        <v>2831</v>
      </c>
      <c r="F2982" s="24" t="s">
        <v>2312</v>
      </c>
      <c r="H2982" s="38" t="s">
        <v>3120</v>
      </c>
      <c r="J2982" s="215">
        <v>1976</v>
      </c>
      <c r="K2982" s="10" t="s">
        <v>4596</v>
      </c>
      <c r="N2982" s="37" t="s">
        <v>3121</v>
      </c>
      <c r="P2982" s="37" t="s">
        <v>4527</v>
      </c>
      <c r="Q2982" s="37" t="s">
        <v>3506</v>
      </c>
      <c r="S2982" s="10" t="s">
        <v>2390</v>
      </c>
      <c r="U2982" s="22">
        <v>1</v>
      </c>
      <c r="V2982" s="22">
        <v>1</v>
      </c>
      <c r="W2982" s="73">
        <f t="shared" si="188"/>
        <v>87</v>
      </c>
      <c r="X2982" s="80">
        <f t="shared" si="186"/>
        <v>17028</v>
      </c>
      <c r="Y2982" s="82" t="s">
        <v>3591</v>
      </c>
      <c r="Z2982" s="24" t="s">
        <v>2553</v>
      </c>
      <c r="AB2982" s="177">
        <v>43009</v>
      </c>
      <c r="AC2982" s="84" t="s">
        <v>2885</v>
      </c>
    </row>
    <row r="2983" spans="1:35" ht="15.45" customHeight="1" x14ac:dyDescent="0.25">
      <c r="A2983" s="29" t="s">
        <v>2556</v>
      </c>
      <c r="C2983" s="37" t="s">
        <v>6487</v>
      </c>
      <c r="D2983" s="37" t="s">
        <v>6488</v>
      </c>
      <c r="E2983" s="37" t="s">
        <v>2831</v>
      </c>
      <c r="F2983" s="24" t="s">
        <v>2312</v>
      </c>
      <c r="H2983" s="38" t="s">
        <v>3120</v>
      </c>
      <c r="J2983" s="215">
        <v>1976</v>
      </c>
      <c r="K2983" s="10" t="s">
        <v>4596</v>
      </c>
      <c r="N2983" s="37" t="s">
        <v>3121</v>
      </c>
      <c r="P2983" s="37" t="s">
        <v>4527</v>
      </c>
      <c r="Q2983" s="37" t="s">
        <v>3506</v>
      </c>
      <c r="S2983" s="10" t="s">
        <v>2390</v>
      </c>
      <c r="U2983" s="22">
        <v>1</v>
      </c>
      <c r="V2983" s="22">
        <v>1</v>
      </c>
      <c r="W2983" s="73">
        <f t="shared" si="188"/>
        <v>88</v>
      </c>
      <c r="X2983" s="80">
        <f t="shared" si="186"/>
        <v>17029</v>
      </c>
      <c r="Y2983" s="82" t="s">
        <v>3591</v>
      </c>
      <c r="Z2983" s="24" t="s">
        <v>2553</v>
      </c>
      <c r="AB2983" s="177">
        <v>43009</v>
      </c>
      <c r="AC2983" s="84" t="s">
        <v>2885</v>
      </c>
    </row>
    <row r="2984" spans="1:35" ht="15.45" customHeight="1" x14ac:dyDescent="0.25">
      <c r="A2984" s="29" t="s">
        <v>2557</v>
      </c>
      <c r="C2984" s="37" t="s">
        <v>6487</v>
      </c>
      <c r="D2984" s="37" t="s">
        <v>6488</v>
      </c>
      <c r="E2984" s="37" t="s">
        <v>2831</v>
      </c>
      <c r="F2984" s="24" t="s">
        <v>2312</v>
      </c>
      <c r="H2984" s="38" t="s">
        <v>3120</v>
      </c>
      <c r="J2984" s="215">
        <v>1976</v>
      </c>
      <c r="K2984" s="10" t="s">
        <v>4596</v>
      </c>
      <c r="N2984" s="37" t="s">
        <v>3121</v>
      </c>
      <c r="P2984" s="37" t="s">
        <v>4527</v>
      </c>
      <c r="Q2984" s="37" t="s">
        <v>3506</v>
      </c>
      <c r="S2984" s="10" t="s">
        <v>2390</v>
      </c>
      <c r="U2984" s="22">
        <v>1</v>
      </c>
      <c r="V2984" s="22">
        <v>1</v>
      </c>
      <c r="W2984" s="73">
        <f t="shared" si="188"/>
        <v>89</v>
      </c>
      <c r="X2984" s="80">
        <f t="shared" si="186"/>
        <v>17030</v>
      </c>
      <c r="Y2984" s="82" t="s">
        <v>3591</v>
      </c>
      <c r="Z2984" s="24" t="s">
        <v>2553</v>
      </c>
      <c r="AB2984" s="177">
        <v>43009</v>
      </c>
      <c r="AC2984" s="84" t="s">
        <v>2885</v>
      </c>
    </row>
    <row r="2985" spans="1:35" ht="15.45" customHeight="1" x14ac:dyDescent="0.25">
      <c r="A2985" s="29" t="s">
        <v>2558</v>
      </c>
      <c r="C2985" s="37" t="s">
        <v>6487</v>
      </c>
      <c r="D2985" s="37" t="s">
        <v>6488</v>
      </c>
      <c r="E2985" s="37" t="s">
        <v>2831</v>
      </c>
      <c r="F2985" s="24" t="s">
        <v>2312</v>
      </c>
      <c r="H2985" s="38" t="s">
        <v>3120</v>
      </c>
      <c r="J2985" s="215">
        <v>1976</v>
      </c>
      <c r="K2985" s="10" t="s">
        <v>4596</v>
      </c>
      <c r="N2985" s="37" t="s">
        <v>3121</v>
      </c>
      <c r="P2985" s="37" t="s">
        <v>4527</v>
      </c>
      <c r="Q2985" s="37" t="s">
        <v>3506</v>
      </c>
      <c r="S2985" s="10" t="s">
        <v>2980</v>
      </c>
      <c r="T2985" s="10" t="s">
        <v>2566</v>
      </c>
      <c r="U2985" s="22">
        <v>1</v>
      </c>
      <c r="V2985" s="22">
        <v>1</v>
      </c>
      <c r="W2985" s="73">
        <f t="shared" si="188"/>
        <v>90</v>
      </c>
      <c r="X2985" s="80">
        <f t="shared" si="186"/>
        <v>17031</v>
      </c>
      <c r="Y2985" s="82" t="s">
        <v>3591</v>
      </c>
      <c r="Z2985" s="24" t="s">
        <v>2553</v>
      </c>
      <c r="AB2985" s="177">
        <v>43009</v>
      </c>
      <c r="AC2985" s="84" t="s">
        <v>2885</v>
      </c>
      <c r="AI2985" s="10" t="s">
        <v>2567</v>
      </c>
    </row>
    <row r="2986" spans="1:35" ht="15.45" customHeight="1" x14ac:dyDescent="0.25">
      <c r="A2986" s="29" t="s">
        <v>2559</v>
      </c>
      <c r="C2986" s="37" t="s">
        <v>6487</v>
      </c>
      <c r="D2986" s="37" t="s">
        <v>6488</v>
      </c>
      <c r="E2986" s="37" t="s">
        <v>2831</v>
      </c>
      <c r="F2986" s="24" t="s">
        <v>2312</v>
      </c>
      <c r="H2986" s="38" t="s">
        <v>3120</v>
      </c>
      <c r="J2986" s="215">
        <v>1976</v>
      </c>
      <c r="K2986" s="10" t="s">
        <v>4596</v>
      </c>
      <c r="N2986" s="37" t="s">
        <v>3121</v>
      </c>
      <c r="P2986" s="37" t="s">
        <v>4527</v>
      </c>
      <c r="Q2986" s="37" t="s">
        <v>3506</v>
      </c>
      <c r="S2986" s="10" t="s">
        <v>2980</v>
      </c>
      <c r="T2986" s="10" t="s">
        <v>2566</v>
      </c>
      <c r="U2986" s="22">
        <v>1</v>
      </c>
      <c r="V2986" s="22">
        <v>1</v>
      </c>
      <c r="W2986" s="73">
        <f t="shared" si="188"/>
        <v>91</v>
      </c>
      <c r="X2986" s="80">
        <f t="shared" si="186"/>
        <v>17032</v>
      </c>
      <c r="Y2986" s="82" t="s">
        <v>3591</v>
      </c>
      <c r="Z2986" s="24" t="s">
        <v>2553</v>
      </c>
      <c r="AB2986" s="177">
        <v>43009</v>
      </c>
      <c r="AC2986" s="84" t="s">
        <v>2885</v>
      </c>
      <c r="AI2986" s="10" t="s">
        <v>2567</v>
      </c>
    </row>
    <row r="2987" spans="1:35" ht="15.45" customHeight="1" x14ac:dyDescent="0.25">
      <c r="A2987" s="29" t="s">
        <v>2560</v>
      </c>
      <c r="C2987" s="37" t="s">
        <v>6487</v>
      </c>
      <c r="D2987" s="37" t="s">
        <v>6488</v>
      </c>
      <c r="E2987" s="37" t="s">
        <v>2831</v>
      </c>
      <c r="F2987" s="24" t="s">
        <v>2312</v>
      </c>
      <c r="H2987" s="38" t="s">
        <v>3120</v>
      </c>
      <c r="J2987" s="215">
        <v>1976</v>
      </c>
      <c r="K2987" s="10" t="s">
        <v>4596</v>
      </c>
      <c r="N2987" s="37" t="s">
        <v>3121</v>
      </c>
      <c r="P2987" s="37" t="s">
        <v>4527</v>
      </c>
      <c r="Q2987" s="37" t="s">
        <v>3506</v>
      </c>
      <c r="S2987" s="10" t="s">
        <v>2390</v>
      </c>
      <c r="U2987" s="22">
        <v>1</v>
      </c>
      <c r="V2987" s="22">
        <v>1</v>
      </c>
      <c r="W2987" s="73">
        <f t="shared" si="188"/>
        <v>92</v>
      </c>
      <c r="X2987" s="80">
        <f t="shared" si="186"/>
        <v>17033</v>
      </c>
      <c r="Y2987" s="82" t="s">
        <v>3591</v>
      </c>
      <c r="Z2987" s="24" t="s">
        <v>2553</v>
      </c>
      <c r="AB2987" s="177">
        <v>43009</v>
      </c>
      <c r="AC2987" s="84" t="s">
        <v>2885</v>
      </c>
    </row>
    <row r="2988" spans="1:35" ht="15.45" customHeight="1" x14ac:dyDescent="0.25">
      <c r="A2988" s="29" t="s">
        <v>2561</v>
      </c>
      <c r="C2988" s="37" t="s">
        <v>6487</v>
      </c>
      <c r="D2988" s="37" t="s">
        <v>6488</v>
      </c>
      <c r="E2988" s="37" t="s">
        <v>2831</v>
      </c>
      <c r="F2988" s="24" t="s">
        <v>2312</v>
      </c>
      <c r="H2988" s="38" t="s">
        <v>3120</v>
      </c>
      <c r="J2988" s="215">
        <v>1976</v>
      </c>
      <c r="K2988" s="10" t="s">
        <v>4596</v>
      </c>
      <c r="N2988" s="37" t="s">
        <v>3121</v>
      </c>
      <c r="P2988" s="37" t="s">
        <v>4527</v>
      </c>
      <c r="Q2988" s="37" t="s">
        <v>3506</v>
      </c>
      <c r="S2988" s="10" t="s">
        <v>2390</v>
      </c>
      <c r="U2988" s="22">
        <v>1</v>
      </c>
      <c r="V2988" s="22">
        <v>1</v>
      </c>
      <c r="W2988" s="73">
        <f t="shared" si="188"/>
        <v>93</v>
      </c>
      <c r="X2988" s="80">
        <f t="shared" si="186"/>
        <v>17034</v>
      </c>
      <c r="Y2988" s="82" t="s">
        <v>3591</v>
      </c>
      <c r="Z2988" s="24" t="s">
        <v>2553</v>
      </c>
      <c r="AB2988" s="177">
        <v>43009</v>
      </c>
      <c r="AC2988" s="84" t="s">
        <v>2885</v>
      </c>
    </row>
    <row r="2989" spans="1:35" ht="15.45" customHeight="1" x14ac:dyDescent="0.25">
      <c r="A2989" s="29" t="s">
        <v>2562</v>
      </c>
      <c r="C2989" s="37" t="s">
        <v>6487</v>
      </c>
      <c r="D2989" s="37" t="s">
        <v>6488</v>
      </c>
      <c r="E2989" s="37" t="s">
        <v>2831</v>
      </c>
      <c r="F2989" s="24" t="s">
        <v>2312</v>
      </c>
      <c r="H2989" s="38" t="s">
        <v>3120</v>
      </c>
      <c r="J2989" s="215">
        <v>1976</v>
      </c>
      <c r="K2989" s="10" t="s">
        <v>4596</v>
      </c>
      <c r="N2989" s="37" t="s">
        <v>3121</v>
      </c>
      <c r="P2989" s="37" t="s">
        <v>4527</v>
      </c>
      <c r="Q2989" s="37" t="s">
        <v>3506</v>
      </c>
      <c r="S2989" s="10" t="s">
        <v>2390</v>
      </c>
      <c r="U2989" s="22">
        <v>1</v>
      </c>
      <c r="V2989" s="22">
        <v>1</v>
      </c>
      <c r="W2989" s="73">
        <f t="shared" si="188"/>
        <v>94</v>
      </c>
      <c r="X2989" s="80">
        <f t="shared" si="186"/>
        <v>17035</v>
      </c>
      <c r="Y2989" s="82" t="s">
        <v>3591</v>
      </c>
      <c r="Z2989" s="24" t="s">
        <v>2553</v>
      </c>
      <c r="AB2989" s="177">
        <v>43009</v>
      </c>
      <c r="AC2989" s="84" t="s">
        <v>2885</v>
      </c>
    </row>
    <row r="2990" spans="1:35" ht="15.45" customHeight="1" x14ac:dyDescent="0.25">
      <c r="A2990" s="29" t="s">
        <v>2563</v>
      </c>
      <c r="C2990" s="37" t="s">
        <v>6487</v>
      </c>
      <c r="D2990" s="37" t="s">
        <v>6488</v>
      </c>
      <c r="E2990" s="37" t="s">
        <v>2831</v>
      </c>
      <c r="F2990" s="24" t="s">
        <v>2312</v>
      </c>
      <c r="H2990" s="38" t="s">
        <v>3120</v>
      </c>
      <c r="J2990" s="215">
        <v>1976</v>
      </c>
      <c r="K2990" s="10" t="s">
        <v>4596</v>
      </c>
      <c r="N2990" s="37" t="s">
        <v>3121</v>
      </c>
      <c r="P2990" s="37" t="s">
        <v>4527</v>
      </c>
      <c r="Q2990" s="37" t="s">
        <v>3506</v>
      </c>
      <c r="S2990" s="10" t="s">
        <v>2980</v>
      </c>
      <c r="T2990" s="10" t="s">
        <v>2564</v>
      </c>
      <c r="U2990" s="22">
        <v>1</v>
      </c>
      <c r="V2990" s="22">
        <v>1</v>
      </c>
      <c r="W2990" s="73">
        <f t="shared" si="188"/>
        <v>95</v>
      </c>
      <c r="X2990" s="80">
        <f t="shared" si="186"/>
        <v>17036</v>
      </c>
      <c r="Y2990" s="82" t="s">
        <v>3591</v>
      </c>
      <c r="Z2990" s="24" t="s">
        <v>2553</v>
      </c>
      <c r="AB2990" s="177">
        <v>43009</v>
      </c>
      <c r="AC2990" s="84" t="s">
        <v>2885</v>
      </c>
      <c r="AI2990" s="10" t="s">
        <v>2565</v>
      </c>
    </row>
    <row r="2991" spans="1:35" ht="15.45" customHeight="1" x14ac:dyDescent="0.25">
      <c r="A2991" s="29" t="s">
        <v>4575</v>
      </c>
      <c r="C2991" s="37" t="s">
        <v>6487</v>
      </c>
      <c r="D2991" s="37" t="s">
        <v>6488</v>
      </c>
      <c r="E2991" s="37" t="s">
        <v>2927</v>
      </c>
      <c r="F2991" s="24" t="s">
        <v>2312</v>
      </c>
      <c r="H2991" s="38" t="s">
        <v>4559</v>
      </c>
      <c r="J2991" s="215">
        <v>1965</v>
      </c>
      <c r="K2991" s="10" t="s">
        <v>4596</v>
      </c>
      <c r="N2991" s="37" t="s">
        <v>4560</v>
      </c>
      <c r="P2991" s="37" t="s">
        <v>4527</v>
      </c>
      <c r="Q2991" s="37" t="s">
        <v>3506</v>
      </c>
      <c r="S2991" s="10" t="s">
        <v>3412</v>
      </c>
      <c r="U2991" s="22">
        <v>1</v>
      </c>
      <c r="V2991" s="22">
        <v>1</v>
      </c>
      <c r="W2991" s="73">
        <f t="shared" si="188"/>
        <v>96</v>
      </c>
      <c r="X2991" s="80">
        <f t="shared" si="186"/>
        <v>17037</v>
      </c>
      <c r="Y2991" s="82" t="s">
        <v>3584</v>
      </c>
      <c r="AB2991" s="177">
        <v>43494</v>
      </c>
      <c r="AC2991" s="84" t="s">
        <v>2885</v>
      </c>
      <c r="AF2991" s="10" t="s">
        <v>3401</v>
      </c>
      <c r="AG2991" s="127">
        <v>43494</v>
      </c>
      <c r="AH2991" s="10" t="s">
        <v>4196</v>
      </c>
    </row>
    <row r="2992" spans="1:35" ht="15.45" customHeight="1" x14ac:dyDescent="0.25">
      <c r="A2992" s="29" t="s">
        <v>4576</v>
      </c>
      <c r="C2992" s="37" t="s">
        <v>6487</v>
      </c>
      <c r="D2992" s="37" t="s">
        <v>6488</v>
      </c>
      <c r="E2992" s="37" t="s">
        <v>2927</v>
      </c>
      <c r="F2992" s="24" t="s">
        <v>2312</v>
      </c>
      <c r="H2992" s="38" t="s">
        <v>4559</v>
      </c>
      <c r="J2992" s="215">
        <v>1965</v>
      </c>
      <c r="K2992" s="10" t="s">
        <v>4596</v>
      </c>
      <c r="N2992" s="37" t="s">
        <v>4560</v>
      </c>
      <c r="P2992" s="37" t="s">
        <v>4527</v>
      </c>
      <c r="Q2992" s="37" t="s">
        <v>3506</v>
      </c>
      <c r="S2992" s="10" t="s">
        <v>3412</v>
      </c>
      <c r="U2992" s="22">
        <v>1</v>
      </c>
      <c r="V2992" s="22">
        <v>1</v>
      </c>
      <c r="W2992" s="73">
        <f t="shared" si="188"/>
        <v>97</v>
      </c>
      <c r="X2992" s="80">
        <f t="shared" si="186"/>
        <v>17038</v>
      </c>
      <c r="Y2992" s="82" t="s">
        <v>3584</v>
      </c>
      <c r="AB2992" s="177">
        <v>43494</v>
      </c>
      <c r="AC2992" s="84" t="s">
        <v>2885</v>
      </c>
      <c r="AF2992" s="10" t="s">
        <v>3401</v>
      </c>
      <c r="AG2992" s="127">
        <v>43494</v>
      </c>
      <c r="AH2992" s="10" t="s">
        <v>4196</v>
      </c>
    </row>
    <row r="2993" spans="1:34" ht="15.45" customHeight="1" x14ac:dyDescent="0.25">
      <c r="A2993" s="29" t="s">
        <v>4573</v>
      </c>
      <c r="C2993" s="37" t="s">
        <v>6487</v>
      </c>
      <c r="D2993" s="37" t="s">
        <v>6488</v>
      </c>
      <c r="E2993" s="37" t="s">
        <v>2927</v>
      </c>
      <c r="F2993" s="24" t="s">
        <v>2312</v>
      </c>
      <c r="H2993" s="38" t="s">
        <v>4559</v>
      </c>
      <c r="J2993" s="215">
        <v>1965</v>
      </c>
      <c r="K2993" s="10" t="s">
        <v>4596</v>
      </c>
      <c r="N2993" s="37" t="s">
        <v>4560</v>
      </c>
      <c r="P2993" s="37" t="s">
        <v>4527</v>
      </c>
      <c r="Q2993" s="37" t="s">
        <v>3506</v>
      </c>
      <c r="S2993" s="10" t="s">
        <v>3412</v>
      </c>
      <c r="U2993" s="22">
        <v>1</v>
      </c>
      <c r="V2993" s="22">
        <v>1</v>
      </c>
      <c r="W2993" s="73">
        <f t="shared" si="188"/>
        <v>98</v>
      </c>
      <c r="X2993" s="80">
        <f t="shared" si="186"/>
        <v>17039</v>
      </c>
      <c r="Y2993" s="82" t="s">
        <v>3584</v>
      </c>
      <c r="AB2993" s="177">
        <v>43494</v>
      </c>
      <c r="AC2993" s="84" t="s">
        <v>2885</v>
      </c>
      <c r="AF2993" s="10" t="s">
        <v>3401</v>
      </c>
      <c r="AG2993" s="127">
        <v>43494</v>
      </c>
      <c r="AH2993" s="10" t="s">
        <v>4196</v>
      </c>
    </row>
    <row r="2994" spans="1:34" ht="15.45" customHeight="1" x14ac:dyDescent="0.25">
      <c r="A2994" s="29" t="s">
        <v>4577</v>
      </c>
      <c r="C2994" s="37" t="s">
        <v>6487</v>
      </c>
      <c r="D2994" s="37" t="s">
        <v>6488</v>
      </c>
      <c r="E2994" s="37" t="s">
        <v>2927</v>
      </c>
      <c r="F2994" s="24" t="s">
        <v>2312</v>
      </c>
      <c r="H2994" s="38" t="s">
        <v>4559</v>
      </c>
      <c r="J2994" s="215">
        <v>1965</v>
      </c>
      <c r="K2994" s="10" t="s">
        <v>4596</v>
      </c>
      <c r="N2994" s="37" t="s">
        <v>4560</v>
      </c>
      <c r="P2994" s="37" t="s">
        <v>4527</v>
      </c>
      <c r="Q2994" s="37" t="s">
        <v>3506</v>
      </c>
      <c r="S2994" s="10" t="s">
        <v>3412</v>
      </c>
      <c r="U2994" s="22">
        <v>1</v>
      </c>
      <c r="V2994" s="22">
        <v>1</v>
      </c>
      <c r="W2994" s="73">
        <f t="shared" si="188"/>
        <v>99</v>
      </c>
      <c r="X2994" s="80">
        <f t="shared" si="186"/>
        <v>17040</v>
      </c>
      <c r="Y2994" s="82" t="s">
        <v>3584</v>
      </c>
      <c r="AB2994" s="177">
        <v>43494</v>
      </c>
      <c r="AC2994" s="84" t="s">
        <v>2885</v>
      </c>
      <c r="AF2994" s="10" t="s">
        <v>3401</v>
      </c>
      <c r="AG2994" s="127">
        <v>43494</v>
      </c>
      <c r="AH2994" s="10" t="s">
        <v>4196</v>
      </c>
    </row>
    <row r="2995" spans="1:34" ht="15.45" customHeight="1" x14ac:dyDescent="0.25">
      <c r="A2995" s="29" t="s">
        <v>4562</v>
      </c>
      <c r="C2995" s="37" t="s">
        <v>6487</v>
      </c>
      <c r="D2995" s="37" t="s">
        <v>6488</v>
      </c>
      <c r="E2995" s="37" t="s">
        <v>2927</v>
      </c>
      <c r="F2995" s="24" t="s">
        <v>2312</v>
      </c>
      <c r="H2995" s="38" t="s">
        <v>4559</v>
      </c>
      <c r="J2995" s="215">
        <v>1965</v>
      </c>
      <c r="K2995" s="10" t="s">
        <v>4596</v>
      </c>
      <c r="N2995" s="37" t="s">
        <v>4560</v>
      </c>
      <c r="P2995" s="37" t="s">
        <v>4527</v>
      </c>
      <c r="Q2995" s="37" t="s">
        <v>3506</v>
      </c>
      <c r="S2995" s="10" t="s">
        <v>2980</v>
      </c>
      <c r="T2995" s="10" t="s">
        <v>4563</v>
      </c>
      <c r="U2995" s="22">
        <v>1</v>
      </c>
      <c r="V2995" s="22">
        <v>1</v>
      </c>
      <c r="W2995" s="73">
        <f t="shared" si="188"/>
        <v>100</v>
      </c>
      <c r="X2995" s="80">
        <f t="shared" si="186"/>
        <v>17041</v>
      </c>
      <c r="Y2995" s="82" t="s">
        <v>3584</v>
      </c>
      <c r="AB2995" s="177">
        <v>43494</v>
      </c>
      <c r="AC2995" s="84" t="s">
        <v>2885</v>
      </c>
      <c r="AF2995" s="10" t="s">
        <v>3401</v>
      </c>
      <c r="AG2995" s="127">
        <v>43494</v>
      </c>
      <c r="AH2995" s="10" t="s">
        <v>4196</v>
      </c>
    </row>
    <row r="2996" spans="1:34" ht="15.45" customHeight="1" x14ac:dyDescent="0.25">
      <c r="A2996" s="29" t="s">
        <v>4564</v>
      </c>
      <c r="C2996" s="37" t="s">
        <v>6487</v>
      </c>
      <c r="D2996" s="37" t="s">
        <v>6488</v>
      </c>
      <c r="E2996" s="37" t="s">
        <v>2927</v>
      </c>
      <c r="F2996" s="24" t="s">
        <v>2312</v>
      </c>
      <c r="H2996" s="38" t="s">
        <v>4559</v>
      </c>
      <c r="J2996" s="215">
        <v>1965</v>
      </c>
      <c r="K2996" s="10" t="s">
        <v>4596</v>
      </c>
      <c r="N2996" s="37" t="s">
        <v>4560</v>
      </c>
      <c r="P2996" s="37" t="s">
        <v>4527</v>
      </c>
      <c r="Q2996" s="37" t="s">
        <v>3506</v>
      </c>
      <c r="S2996" s="10" t="s">
        <v>2983</v>
      </c>
      <c r="U2996" s="22">
        <v>1</v>
      </c>
      <c r="V2996" s="22">
        <v>1</v>
      </c>
      <c r="W2996" s="73">
        <f t="shared" si="188"/>
        <v>101</v>
      </c>
      <c r="X2996" s="80">
        <f t="shared" si="186"/>
        <v>17042</v>
      </c>
      <c r="Y2996" s="82" t="s">
        <v>3584</v>
      </c>
      <c r="AB2996" s="177">
        <v>43494</v>
      </c>
      <c r="AC2996" s="84" t="s">
        <v>2885</v>
      </c>
      <c r="AF2996" s="10" t="s">
        <v>3401</v>
      </c>
      <c r="AG2996" s="127">
        <v>43494</v>
      </c>
      <c r="AH2996" s="10" t="s">
        <v>4196</v>
      </c>
    </row>
    <row r="2997" spans="1:34" ht="15.45" customHeight="1" x14ac:dyDescent="0.25">
      <c r="A2997" s="29" t="s">
        <v>4581</v>
      </c>
      <c r="C2997" s="37" t="s">
        <v>6487</v>
      </c>
      <c r="D2997" s="37" t="s">
        <v>6488</v>
      </c>
      <c r="E2997" s="37" t="s">
        <v>2927</v>
      </c>
      <c r="F2997" s="24" t="s">
        <v>2312</v>
      </c>
      <c r="H2997" s="38" t="s">
        <v>4559</v>
      </c>
      <c r="J2997" s="215">
        <v>1965</v>
      </c>
      <c r="K2997" s="10" t="s">
        <v>4596</v>
      </c>
      <c r="N2997" s="37" t="s">
        <v>4560</v>
      </c>
      <c r="P2997" s="37" t="s">
        <v>4527</v>
      </c>
      <c r="Q2997" s="37" t="s">
        <v>3506</v>
      </c>
      <c r="S2997" s="10" t="s">
        <v>2983</v>
      </c>
      <c r="T2997" s="10" t="s">
        <v>4583</v>
      </c>
      <c r="U2997" s="22">
        <v>1</v>
      </c>
      <c r="V2997" s="22">
        <v>1</v>
      </c>
      <c r="W2997" s="73">
        <f t="shared" si="188"/>
        <v>102</v>
      </c>
      <c r="X2997" s="80">
        <f t="shared" si="186"/>
        <v>17043</v>
      </c>
      <c r="Y2997" s="82" t="s">
        <v>3584</v>
      </c>
      <c r="AB2997" s="177">
        <v>43494</v>
      </c>
      <c r="AC2997" s="84" t="s">
        <v>2885</v>
      </c>
      <c r="AF2997" s="10" t="s">
        <v>3401</v>
      </c>
      <c r="AG2997" s="127">
        <v>43494</v>
      </c>
      <c r="AH2997" s="10" t="s">
        <v>4196</v>
      </c>
    </row>
    <row r="2998" spans="1:34" ht="15.45" customHeight="1" x14ac:dyDescent="0.25">
      <c r="A2998" s="29" t="s">
        <v>4578</v>
      </c>
      <c r="C2998" s="37" t="s">
        <v>6487</v>
      </c>
      <c r="D2998" s="37" t="s">
        <v>6488</v>
      </c>
      <c r="E2998" s="37" t="s">
        <v>2927</v>
      </c>
      <c r="F2998" s="24" t="s">
        <v>2312</v>
      </c>
      <c r="H2998" s="38" t="s">
        <v>4559</v>
      </c>
      <c r="J2998" s="215">
        <v>1965</v>
      </c>
      <c r="K2998" s="10" t="s">
        <v>4596</v>
      </c>
      <c r="N2998" s="37" t="s">
        <v>4560</v>
      </c>
      <c r="P2998" s="37" t="s">
        <v>4527</v>
      </c>
      <c r="Q2998" s="37" t="s">
        <v>3506</v>
      </c>
      <c r="S2998" s="10" t="s">
        <v>3412</v>
      </c>
      <c r="U2998" s="22">
        <v>1</v>
      </c>
      <c r="V2998" s="22">
        <v>1</v>
      </c>
      <c r="W2998" s="73">
        <f t="shared" si="188"/>
        <v>103</v>
      </c>
      <c r="X2998" s="80">
        <f t="shared" si="186"/>
        <v>17044</v>
      </c>
      <c r="Y2998" s="82" t="s">
        <v>3584</v>
      </c>
      <c r="AB2998" s="177">
        <v>43494</v>
      </c>
      <c r="AC2998" s="84" t="s">
        <v>2885</v>
      </c>
      <c r="AF2998" s="10" t="s">
        <v>3401</v>
      </c>
      <c r="AG2998" s="127">
        <v>43494</v>
      </c>
      <c r="AH2998" s="10" t="s">
        <v>4196</v>
      </c>
    </row>
    <row r="2999" spans="1:34" ht="15.45" customHeight="1" x14ac:dyDescent="0.25">
      <c r="A2999" s="29" t="s">
        <v>4592</v>
      </c>
      <c r="C2999" s="37" t="s">
        <v>6487</v>
      </c>
      <c r="D2999" s="37" t="s">
        <v>6488</v>
      </c>
      <c r="E2999" s="37" t="s">
        <v>2927</v>
      </c>
      <c r="F2999" s="24" t="s">
        <v>2312</v>
      </c>
      <c r="H2999" s="38" t="s">
        <v>4559</v>
      </c>
      <c r="J2999" s="215">
        <v>1965</v>
      </c>
      <c r="K2999" s="10" t="s">
        <v>4596</v>
      </c>
      <c r="N2999" s="37" t="s">
        <v>4560</v>
      </c>
      <c r="P2999" s="37" t="s">
        <v>4527</v>
      </c>
      <c r="Q2999" s="37" t="s">
        <v>3506</v>
      </c>
      <c r="S2999" s="10" t="s">
        <v>2980</v>
      </c>
      <c r="T2999" s="10" t="s">
        <v>4580</v>
      </c>
      <c r="U2999" s="22">
        <v>1</v>
      </c>
      <c r="V2999" s="22">
        <v>1</v>
      </c>
      <c r="W2999" s="73">
        <f t="shared" si="188"/>
        <v>104</v>
      </c>
      <c r="X2999" s="80">
        <f t="shared" si="186"/>
        <v>17045</v>
      </c>
      <c r="Y2999" s="82" t="s">
        <v>3584</v>
      </c>
      <c r="AB2999" s="177">
        <v>43494</v>
      </c>
      <c r="AC2999" s="84" t="s">
        <v>2885</v>
      </c>
      <c r="AF2999" s="10" t="s">
        <v>3401</v>
      </c>
      <c r="AG2999" s="127">
        <v>43494</v>
      </c>
      <c r="AH2999" s="10" t="s">
        <v>4196</v>
      </c>
    </row>
    <row r="3000" spans="1:34" ht="15.45" customHeight="1" x14ac:dyDescent="0.25">
      <c r="A3000" s="29" t="s">
        <v>4579</v>
      </c>
      <c r="C3000" s="37" t="s">
        <v>6487</v>
      </c>
      <c r="D3000" s="37" t="s">
        <v>6488</v>
      </c>
      <c r="E3000" s="37" t="s">
        <v>2927</v>
      </c>
      <c r="F3000" s="24" t="s">
        <v>2312</v>
      </c>
      <c r="H3000" s="38" t="s">
        <v>4559</v>
      </c>
      <c r="J3000" s="215">
        <v>1965</v>
      </c>
      <c r="K3000" s="10" t="s">
        <v>4596</v>
      </c>
      <c r="N3000" s="37" t="s">
        <v>4560</v>
      </c>
      <c r="P3000" s="37" t="s">
        <v>4527</v>
      </c>
      <c r="Q3000" s="37" t="s">
        <v>3506</v>
      </c>
      <c r="S3000" s="10" t="s">
        <v>3412</v>
      </c>
      <c r="U3000" s="22">
        <v>1</v>
      </c>
      <c r="V3000" s="22">
        <v>1</v>
      </c>
      <c r="W3000" s="73">
        <f t="shared" si="188"/>
        <v>105</v>
      </c>
      <c r="X3000" s="80">
        <f t="shared" si="186"/>
        <v>17046</v>
      </c>
      <c r="Y3000" s="82" t="s">
        <v>3584</v>
      </c>
      <c r="AB3000" s="177">
        <v>43494</v>
      </c>
      <c r="AC3000" s="84" t="s">
        <v>2885</v>
      </c>
      <c r="AF3000" s="10" t="s">
        <v>3401</v>
      </c>
      <c r="AG3000" s="127">
        <v>43494</v>
      </c>
      <c r="AH3000" s="10" t="s">
        <v>4196</v>
      </c>
    </row>
    <row r="3001" spans="1:34" ht="15.45" customHeight="1" x14ac:dyDescent="0.25">
      <c r="A3001" s="29" t="s">
        <v>4574</v>
      </c>
      <c r="C3001" s="37" t="s">
        <v>6487</v>
      </c>
      <c r="D3001" s="37" t="s">
        <v>6488</v>
      </c>
      <c r="E3001" s="37" t="s">
        <v>2927</v>
      </c>
      <c r="F3001" s="24" t="s">
        <v>2312</v>
      </c>
      <c r="H3001" s="38" t="s">
        <v>4559</v>
      </c>
      <c r="J3001" s="215">
        <v>1965</v>
      </c>
      <c r="K3001" s="10" t="s">
        <v>4596</v>
      </c>
      <c r="N3001" s="37" t="s">
        <v>4560</v>
      </c>
      <c r="P3001" s="37" t="s">
        <v>4527</v>
      </c>
      <c r="Q3001" s="37" t="s">
        <v>3506</v>
      </c>
      <c r="S3001" s="10" t="s">
        <v>3412</v>
      </c>
      <c r="U3001" s="22">
        <v>1</v>
      </c>
      <c r="V3001" s="22">
        <v>1</v>
      </c>
      <c r="W3001" s="73">
        <f t="shared" si="188"/>
        <v>106</v>
      </c>
      <c r="X3001" s="80">
        <f t="shared" si="186"/>
        <v>17047</v>
      </c>
      <c r="Y3001" s="82" t="s">
        <v>3584</v>
      </c>
      <c r="AB3001" s="177">
        <v>43494</v>
      </c>
      <c r="AC3001" s="84" t="s">
        <v>2885</v>
      </c>
      <c r="AF3001" s="10" t="s">
        <v>3401</v>
      </c>
      <c r="AG3001" s="127">
        <v>43494</v>
      </c>
      <c r="AH3001" s="10" t="s">
        <v>4196</v>
      </c>
    </row>
    <row r="3002" spans="1:34" ht="15.45" customHeight="1" x14ac:dyDescent="0.25">
      <c r="A3002" s="29" t="s">
        <v>4586</v>
      </c>
      <c r="C3002" s="37" t="s">
        <v>6487</v>
      </c>
      <c r="D3002" s="37" t="s">
        <v>6488</v>
      </c>
      <c r="E3002" s="37" t="s">
        <v>2927</v>
      </c>
      <c r="F3002" s="24" t="s">
        <v>2312</v>
      </c>
      <c r="H3002" s="38" t="s">
        <v>4559</v>
      </c>
      <c r="J3002" s="215">
        <v>1965</v>
      </c>
      <c r="K3002" s="10" t="s">
        <v>4596</v>
      </c>
      <c r="N3002" s="37" t="s">
        <v>4560</v>
      </c>
      <c r="P3002" s="37" t="s">
        <v>4527</v>
      </c>
      <c r="Q3002" s="37" t="s">
        <v>3506</v>
      </c>
      <c r="S3002" s="10" t="s">
        <v>3412</v>
      </c>
      <c r="U3002" s="22">
        <v>1</v>
      </c>
      <c r="V3002" s="22">
        <v>1</v>
      </c>
      <c r="W3002" s="73">
        <f t="shared" si="188"/>
        <v>107</v>
      </c>
      <c r="X3002" s="80">
        <f t="shared" si="186"/>
        <v>17048</v>
      </c>
      <c r="Y3002" s="82" t="s">
        <v>3584</v>
      </c>
      <c r="AB3002" s="177">
        <v>43494</v>
      </c>
      <c r="AC3002" s="84" t="s">
        <v>2885</v>
      </c>
      <c r="AF3002" s="10" t="s">
        <v>3401</v>
      </c>
      <c r="AG3002" s="127">
        <v>43494</v>
      </c>
      <c r="AH3002" s="10" t="s">
        <v>4196</v>
      </c>
    </row>
    <row r="3003" spans="1:34" ht="15.45" customHeight="1" x14ac:dyDescent="0.25">
      <c r="A3003" s="29" t="s">
        <v>4588</v>
      </c>
      <c r="C3003" s="37" t="s">
        <v>6487</v>
      </c>
      <c r="D3003" s="37" t="s">
        <v>6488</v>
      </c>
      <c r="E3003" s="37" t="s">
        <v>2927</v>
      </c>
      <c r="F3003" s="24" t="s">
        <v>2312</v>
      </c>
      <c r="H3003" s="38" t="s">
        <v>4559</v>
      </c>
      <c r="J3003" s="215">
        <v>1965</v>
      </c>
      <c r="K3003" s="10" t="s">
        <v>4596</v>
      </c>
      <c r="N3003" s="37" t="s">
        <v>4560</v>
      </c>
      <c r="P3003" s="37" t="s">
        <v>4527</v>
      </c>
      <c r="Q3003" s="37" t="s">
        <v>3506</v>
      </c>
      <c r="S3003" s="10" t="s">
        <v>2980</v>
      </c>
      <c r="T3003" s="10" t="s">
        <v>4589</v>
      </c>
      <c r="U3003" s="22">
        <v>1</v>
      </c>
      <c r="V3003" s="22">
        <v>1</v>
      </c>
      <c r="W3003" s="73">
        <f t="shared" si="188"/>
        <v>108</v>
      </c>
      <c r="X3003" s="80">
        <f t="shared" si="186"/>
        <v>17049</v>
      </c>
      <c r="Y3003" s="82" t="s">
        <v>3584</v>
      </c>
      <c r="AB3003" s="177">
        <v>43494</v>
      </c>
      <c r="AC3003" s="84" t="s">
        <v>2885</v>
      </c>
      <c r="AF3003" s="10" t="s">
        <v>3401</v>
      </c>
      <c r="AG3003" s="127">
        <v>43494</v>
      </c>
      <c r="AH3003" s="10" t="s">
        <v>4196</v>
      </c>
    </row>
    <row r="3004" spans="1:34" ht="15.45" customHeight="1" x14ac:dyDescent="0.25">
      <c r="A3004" s="29" t="s">
        <v>4590</v>
      </c>
      <c r="C3004" s="37" t="s">
        <v>6487</v>
      </c>
      <c r="D3004" s="37" t="s">
        <v>6488</v>
      </c>
      <c r="E3004" s="37" t="s">
        <v>2927</v>
      </c>
      <c r="F3004" s="24" t="s">
        <v>2312</v>
      </c>
      <c r="H3004" s="38" t="s">
        <v>4559</v>
      </c>
      <c r="J3004" s="215">
        <v>1965</v>
      </c>
      <c r="K3004" s="10" t="s">
        <v>4596</v>
      </c>
      <c r="N3004" s="37" t="s">
        <v>4560</v>
      </c>
      <c r="P3004" s="37" t="s">
        <v>4527</v>
      </c>
      <c r="Q3004" s="37" t="s">
        <v>3506</v>
      </c>
      <c r="S3004" s="10" t="s">
        <v>3412</v>
      </c>
      <c r="U3004" s="22">
        <v>1</v>
      </c>
      <c r="V3004" s="22">
        <v>1</v>
      </c>
      <c r="W3004" s="73">
        <f t="shared" si="188"/>
        <v>109</v>
      </c>
      <c r="X3004" s="80">
        <f t="shared" si="186"/>
        <v>17050</v>
      </c>
      <c r="Y3004" s="82" t="s">
        <v>3584</v>
      </c>
      <c r="AB3004" s="177">
        <v>43494</v>
      </c>
      <c r="AC3004" s="84" t="s">
        <v>2885</v>
      </c>
      <c r="AF3004" s="10" t="s">
        <v>3401</v>
      </c>
      <c r="AG3004" s="127">
        <v>43494</v>
      </c>
      <c r="AH3004" s="10" t="s">
        <v>4196</v>
      </c>
    </row>
    <row r="3005" spans="1:34" ht="15.45" customHeight="1" x14ac:dyDescent="0.25">
      <c r="A3005" s="29" t="s">
        <v>4587</v>
      </c>
      <c r="C3005" s="37" t="s">
        <v>6487</v>
      </c>
      <c r="D3005" s="37" t="s">
        <v>6488</v>
      </c>
      <c r="E3005" s="37" t="s">
        <v>2927</v>
      </c>
      <c r="F3005" s="24" t="s">
        <v>2312</v>
      </c>
      <c r="H3005" s="38" t="s">
        <v>4559</v>
      </c>
      <c r="J3005" s="215">
        <v>1965</v>
      </c>
      <c r="K3005" s="10" t="s">
        <v>4596</v>
      </c>
      <c r="N3005" s="37" t="s">
        <v>4560</v>
      </c>
      <c r="P3005" s="37" t="s">
        <v>4527</v>
      </c>
      <c r="Q3005" s="37" t="s">
        <v>3506</v>
      </c>
      <c r="S3005" s="10" t="s">
        <v>3412</v>
      </c>
      <c r="U3005" s="22">
        <v>1</v>
      </c>
      <c r="V3005" s="22">
        <v>1</v>
      </c>
      <c r="W3005" s="73">
        <f t="shared" si="188"/>
        <v>110</v>
      </c>
      <c r="X3005" s="80">
        <f t="shared" si="186"/>
        <v>17051</v>
      </c>
      <c r="Y3005" s="82" t="s">
        <v>3584</v>
      </c>
      <c r="AB3005" s="177">
        <v>43494</v>
      </c>
      <c r="AC3005" s="84" t="s">
        <v>2885</v>
      </c>
      <c r="AF3005" s="10" t="s">
        <v>3401</v>
      </c>
      <c r="AG3005" s="127">
        <v>43494</v>
      </c>
      <c r="AH3005" s="10" t="s">
        <v>4196</v>
      </c>
    </row>
    <row r="3006" spans="1:34" ht="15.45" customHeight="1" x14ac:dyDescent="0.25">
      <c r="A3006" s="29" t="s">
        <v>4591</v>
      </c>
      <c r="C3006" s="37" t="s">
        <v>6487</v>
      </c>
      <c r="D3006" s="37" t="s">
        <v>6488</v>
      </c>
      <c r="E3006" s="37" t="s">
        <v>2927</v>
      </c>
      <c r="F3006" s="24" t="s">
        <v>2312</v>
      </c>
      <c r="H3006" s="38" t="s">
        <v>4559</v>
      </c>
      <c r="J3006" s="215">
        <v>1965</v>
      </c>
      <c r="K3006" s="10" t="s">
        <v>4596</v>
      </c>
      <c r="N3006" s="37" t="s">
        <v>4560</v>
      </c>
      <c r="P3006" s="37" t="s">
        <v>4527</v>
      </c>
      <c r="Q3006" s="37" t="s">
        <v>3506</v>
      </c>
      <c r="S3006" s="10" t="s">
        <v>3412</v>
      </c>
      <c r="U3006" s="22">
        <v>1</v>
      </c>
      <c r="V3006" s="22">
        <v>1</v>
      </c>
      <c r="W3006" s="73">
        <f t="shared" si="188"/>
        <v>111</v>
      </c>
      <c r="X3006" s="80">
        <f t="shared" si="186"/>
        <v>17052</v>
      </c>
      <c r="Y3006" s="82" t="s">
        <v>3584</v>
      </c>
      <c r="AB3006" s="177">
        <v>43494</v>
      </c>
      <c r="AC3006" s="84" t="s">
        <v>2885</v>
      </c>
      <c r="AF3006" s="10" t="s">
        <v>3401</v>
      </c>
      <c r="AG3006" s="127">
        <v>43494</v>
      </c>
      <c r="AH3006" s="10" t="s">
        <v>4196</v>
      </c>
    </row>
    <row r="3007" spans="1:34" ht="15.45" customHeight="1" x14ac:dyDescent="0.25">
      <c r="A3007" s="29" t="s">
        <v>4565</v>
      </c>
      <c r="C3007" s="37" t="s">
        <v>6487</v>
      </c>
      <c r="D3007" s="37" t="s">
        <v>6488</v>
      </c>
      <c r="E3007" s="37" t="s">
        <v>2927</v>
      </c>
      <c r="F3007" s="24" t="s">
        <v>2312</v>
      </c>
      <c r="H3007" s="38" t="s">
        <v>4559</v>
      </c>
      <c r="J3007" s="215">
        <v>1965</v>
      </c>
      <c r="K3007" s="10" t="s">
        <v>4596</v>
      </c>
      <c r="N3007" s="37" t="s">
        <v>4560</v>
      </c>
      <c r="P3007" s="37" t="s">
        <v>4527</v>
      </c>
      <c r="Q3007" s="37" t="s">
        <v>3506</v>
      </c>
      <c r="S3007" s="10" t="s">
        <v>2980</v>
      </c>
      <c r="T3007" s="10" t="s">
        <v>4566</v>
      </c>
      <c r="U3007" s="22">
        <v>1</v>
      </c>
      <c r="V3007" s="22">
        <v>1</v>
      </c>
      <c r="W3007" s="73">
        <f t="shared" si="188"/>
        <v>112</v>
      </c>
      <c r="X3007" s="80">
        <f t="shared" si="186"/>
        <v>17053</v>
      </c>
      <c r="Y3007" s="82" t="s">
        <v>3584</v>
      </c>
      <c r="AB3007" s="177">
        <v>43494</v>
      </c>
      <c r="AC3007" s="84" t="s">
        <v>2885</v>
      </c>
      <c r="AF3007" s="10" t="s">
        <v>3401</v>
      </c>
      <c r="AG3007" s="127">
        <v>43494</v>
      </c>
      <c r="AH3007" s="10" t="s">
        <v>4196</v>
      </c>
    </row>
    <row r="3008" spans="1:34" ht="15.45" customHeight="1" x14ac:dyDescent="0.25">
      <c r="A3008" s="29" t="s">
        <v>4598</v>
      </c>
      <c r="C3008" s="37" t="s">
        <v>6487</v>
      </c>
      <c r="D3008" s="37" t="s">
        <v>6488</v>
      </c>
      <c r="E3008" s="37" t="s">
        <v>2927</v>
      </c>
      <c r="F3008" s="24" t="s">
        <v>2312</v>
      </c>
      <c r="H3008" s="38" t="s">
        <v>4559</v>
      </c>
      <c r="J3008" s="215">
        <v>1965</v>
      </c>
      <c r="K3008" s="10" t="s">
        <v>4596</v>
      </c>
      <c r="N3008" s="37" t="s">
        <v>4560</v>
      </c>
      <c r="P3008" s="37" t="s">
        <v>4527</v>
      </c>
      <c r="Q3008" s="37" t="s">
        <v>3506</v>
      </c>
      <c r="S3008" s="10" t="s">
        <v>2980</v>
      </c>
      <c r="T3008" s="10" t="s">
        <v>4597</v>
      </c>
      <c r="U3008" s="22">
        <v>1</v>
      </c>
      <c r="V3008" s="22">
        <v>1</v>
      </c>
      <c r="W3008" s="73">
        <f t="shared" si="188"/>
        <v>113</v>
      </c>
      <c r="X3008" s="80">
        <f t="shared" si="186"/>
        <v>17054</v>
      </c>
      <c r="Y3008" s="82" t="s">
        <v>3584</v>
      </c>
      <c r="AB3008" s="177">
        <v>43494</v>
      </c>
      <c r="AC3008" s="84" t="s">
        <v>2885</v>
      </c>
      <c r="AF3008" s="10" t="s">
        <v>3401</v>
      </c>
      <c r="AG3008" s="127">
        <v>43495</v>
      </c>
      <c r="AH3008" s="10" t="s">
        <v>4196</v>
      </c>
    </row>
    <row r="3009" spans="1:37" ht="15.45" customHeight="1" x14ac:dyDescent="0.25">
      <c r="A3009" s="29" t="s">
        <v>4593</v>
      </c>
      <c r="C3009" s="37" t="s">
        <v>6487</v>
      </c>
      <c r="D3009" s="37" t="s">
        <v>6488</v>
      </c>
      <c r="E3009" s="37" t="s">
        <v>2927</v>
      </c>
      <c r="F3009" s="24" t="s">
        <v>2312</v>
      </c>
      <c r="H3009" s="38" t="s">
        <v>4559</v>
      </c>
      <c r="J3009" s="215">
        <v>1965</v>
      </c>
      <c r="K3009" s="10" t="s">
        <v>4596</v>
      </c>
      <c r="N3009" s="37" t="s">
        <v>4560</v>
      </c>
      <c r="P3009" s="37" t="s">
        <v>4527</v>
      </c>
      <c r="Q3009" s="37" t="s">
        <v>3506</v>
      </c>
      <c r="S3009" s="10" t="s">
        <v>3412</v>
      </c>
      <c r="T3009" s="10" t="s">
        <v>4580</v>
      </c>
      <c r="U3009" s="22">
        <v>1</v>
      </c>
      <c r="V3009" s="22">
        <v>1</v>
      </c>
      <c r="W3009" s="73">
        <f t="shared" si="188"/>
        <v>114</v>
      </c>
      <c r="X3009" s="80">
        <f t="shared" si="186"/>
        <v>17055</v>
      </c>
      <c r="Y3009" s="82" t="s">
        <v>3584</v>
      </c>
      <c r="AB3009" s="177">
        <v>43494</v>
      </c>
      <c r="AC3009" s="84" t="s">
        <v>2885</v>
      </c>
      <c r="AF3009" s="10" t="s">
        <v>3401</v>
      </c>
      <c r="AG3009" s="127">
        <v>43494</v>
      </c>
      <c r="AH3009" s="10" t="s">
        <v>4196</v>
      </c>
    </row>
    <row r="3010" spans="1:37" ht="15.45" customHeight="1" x14ac:dyDescent="0.25">
      <c r="A3010" s="29" t="s">
        <v>4570</v>
      </c>
      <c r="C3010" s="37" t="s">
        <v>6487</v>
      </c>
      <c r="D3010" s="37" t="s">
        <v>6488</v>
      </c>
      <c r="E3010" s="37" t="s">
        <v>2927</v>
      </c>
      <c r="F3010" s="24" t="s">
        <v>2312</v>
      </c>
      <c r="H3010" s="38" t="s">
        <v>4559</v>
      </c>
      <c r="J3010" s="215">
        <v>1965</v>
      </c>
      <c r="K3010" s="10" t="s">
        <v>4596</v>
      </c>
      <c r="N3010" s="37" t="s">
        <v>4560</v>
      </c>
      <c r="P3010" s="37" t="s">
        <v>4527</v>
      </c>
      <c r="Q3010" s="37" t="s">
        <v>3506</v>
      </c>
      <c r="S3010" s="10" t="s">
        <v>3412</v>
      </c>
      <c r="U3010" s="22">
        <v>1</v>
      </c>
      <c r="V3010" s="22">
        <v>1</v>
      </c>
      <c r="W3010" s="73">
        <f t="shared" si="188"/>
        <v>115</v>
      </c>
      <c r="X3010" s="80">
        <f t="shared" si="186"/>
        <v>17056</v>
      </c>
      <c r="Y3010" s="82" t="s">
        <v>3584</v>
      </c>
      <c r="AB3010" s="177">
        <v>43494</v>
      </c>
      <c r="AC3010" s="84" t="s">
        <v>2885</v>
      </c>
      <c r="AF3010" s="10" t="s">
        <v>3401</v>
      </c>
      <c r="AG3010" s="127">
        <v>43494</v>
      </c>
      <c r="AH3010" s="10" t="s">
        <v>4196</v>
      </c>
    </row>
    <row r="3011" spans="1:37" ht="15.45" customHeight="1" x14ac:dyDescent="0.25">
      <c r="A3011" s="29" t="s">
        <v>4585</v>
      </c>
      <c r="C3011" s="37" t="s">
        <v>6487</v>
      </c>
      <c r="D3011" s="37" t="s">
        <v>6488</v>
      </c>
      <c r="E3011" s="37" t="s">
        <v>2927</v>
      </c>
      <c r="F3011" s="24" t="s">
        <v>2312</v>
      </c>
      <c r="H3011" s="38" t="s">
        <v>4559</v>
      </c>
      <c r="J3011" s="215">
        <v>1965</v>
      </c>
      <c r="K3011" s="10" t="s">
        <v>4596</v>
      </c>
      <c r="N3011" s="37" t="s">
        <v>4560</v>
      </c>
      <c r="P3011" s="37" t="s">
        <v>4527</v>
      </c>
      <c r="Q3011" s="37" t="s">
        <v>3506</v>
      </c>
      <c r="S3011" s="10" t="s">
        <v>3412</v>
      </c>
      <c r="U3011" s="22">
        <v>1</v>
      </c>
      <c r="V3011" s="22">
        <v>1</v>
      </c>
      <c r="W3011" s="73">
        <f t="shared" si="188"/>
        <v>116</v>
      </c>
      <c r="X3011" s="80">
        <f t="shared" si="186"/>
        <v>17057</v>
      </c>
      <c r="Y3011" s="82" t="s">
        <v>3584</v>
      </c>
      <c r="AB3011" s="177">
        <v>43494</v>
      </c>
      <c r="AC3011" s="84" t="s">
        <v>2885</v>
      </c>
      <c r="AF3011" s="10" t="s">
        <v>3401</v>
      </c>
      <c r="AG3011" s="127">
        <v>43494</v>
      </c>
      <c r="AH3011" s="10" t="s">
        <v>4196</v>
      </c>
    </row>
    <row r="3012" spans="1:37" ht="15.45" customHeight="1" x14ac:dyDescent="0.25">
      <c r="A3012" s="29" t="s">
        <v>4584</v>
      </c>
      <c r="C3012" s="37" t="s">
        <v>6487</v>
      </c>
      <c r="D3012" s="37" t="s">
        <v>6488</v>
      </c>
      <c r="E3012" s="37" t="s">
        <v>2927</v>
      </c>
      <c r="F3012" s="24" t="s">
        <v>2312</v>
      </c>
      <c r="H3012" s="38" t="s">
        <v>4559</v>
      </c>
      <c r="J3012" s="215">
        <v>1965</v>
      </c>
      <c r="K3012" s="10" t="s">
        <v>4596</v>
      </c>
      <c r="N3012" s="37" t="s">
        <v>4560</v>
      </c>
      <c r="P3012" s="37" t="s">
        <v>4527</v>
      </c>
      <c r="Q3012" s="37" t="s">
        <v>3506</v>
      </c>
      <c r="S3012" s="10" t="s">
        <v>2983</v>
      </c>
      <c r="T3012" s="10" t="s">
        <v>4582</v>
      </c>
      <c r="U3012" s="22">
        <v>1</v>
      </c>
      <c r="V3012" s="22">
        <v>1</v>
      </c>
      <c r="W3012" s="73">
        <f t="shared" si="188"/>
        <v>117</v>
      </c>
      <c r="X3012" s="80">
        <f t="shared" si="186"/>
        <v>17058</v>
      </c>
      <c r="Y3012" s="82" t="s">
        <v>3584</v>
      </c>
      <c r="AB3012" s="177">
        <v>43494</v>
      </c>
      <c r="AC3012" s="84" t="s">
        <v>2885</v>
      </c>
      <c r="AF3012" s="10" t="s">
        <v>3401</v>
      </c>
      <c r="AG3012" s="127">
        <v>43494</v>
      </c>
      <c r="AH3012" s="10" t="s">
        <v>4196</v>
      </c>
    </row>
    <row r="3013" spans="1:37" ht="15.45" customHeight="1" x14ac:dyDescent="0.25">
      <c r="A3013" s="29" t="s">
        <v>6094</v>
      </c>
      <c r="C3013" s="37" t="s">
        <v>6487</v>
      </c>
      <c r="D3013" s="37" t="s">
        <v>6488</v>
      </c>
      <c r="E3013" s="37" t="s">
        <v>5301</v>
      </c>
      <c r="F3013" s="24" t="s">
        <v>4595</v>
      </c>
      <c r="H3013" s="38" t="s">
        <v>6093</v>
      </c>
      <c r="J3013" s="215">
        <v>2019</v>
      </c>
      <c r="P3013" s="37" t="s">
        <v>1463</v>
      </c>
      <c r="Q3013" s="37" t="s">
        <v>3506</v>
      </c>
      <c r="S3013" s="10" t="s">
        <v>3436</v>
      </c>
      <c r="U3013" s="22">
        <v>1</v>
      </c>
      <c r="V3013" s="22">
        <v>1</v>
      </c>
      <c r="W3013" s="73">
        <f t="shared" si="188"/>
        <v>118</v>
      </c>
      <c r="X3013" s="80">
        <f t="shared" si="186"/>
        <v>17059</v>
      </c>
      <c r="Y3013" s="82" t="s">
        <v>3591</v>
      </c>
      <c r="Z3013" s="24" t="s">
        <v>2885</v>
      </c>
      <c r="AB3013" s="177">
        <v>43497</v>
      </c>
      <c r="AC3013" s="84" t="s">
        <v>2885</v>
      </c>
      <c r="AG3013" s="127"/>
    </row>
    <row r="3014" spans="1:37" ht="15.45" customHeight="1" x14ac:dyDescent="0.25">
      <c r="A3014" s="29" t="s">
        <v>6095</v>
      </c>
      <c r="C3014" s="37" t="s">
        <v>6487</v>
      </c>
      <c r="D3014" s="37" t="s">
        <v>6488</v>
      </c>
      <c r="E3014" s="37" t="s">
        <v>5301</v>
      </c>
      <c r="F3014" s="24" t="s">
        <v>4595</v>
      </c>
      <c r="H3014" s="38" t="s">
        <v>6096</v>
      </c>
      <c r="J3014" s="215">
        <v>2019</v>
      </c>
      <c r="P3014" s="37" t="s">
        <v>1463</v>
      </c>
      <c r="Q3014" s="37" t="s">
        <v>3506</v>
      </c>
      <c r="S3014" s="10" t="s">
        <v>3436</v>
      </c>
      <c r="U3014" s="22">
        <v>1</v>
      </c>
      <c r="V3014" s="22">
        <v>1</v>
      </c>
      <c r="W3014" s="73">
        <f t="shared" si="188"/>
        <v>119</v>
      </c>
      <c r="X3014" s="80">
        <f t="shared" si="186"/>
        <v>17060</v>
      </c>
      <c r="Y3014" s="82" t="s">
        <v>3591</v>
      </c>
      <c r="Z3014" s="24" t="s">
        <v>2885</v>
      </c>
      <c r="AB3014" s="177">
        <v>43497</v>
      </c>
      <c r="AC3014" s="84" t="s">
        <v>2885</v>
      </c>
      <c r="AG3014" s="127"/>
    </row>
    <row r="3015" spans="1:37" ht="15.45" customHeight="1" x14ac:dyDescent="0.25">
      <c r="A3015" s="29" t="s">
        <v>6092</v>
      </c>
      <c r="C3015" s="37" t="s">
        <v>1007</v>
      </c>
      <c r="D3015" s="37" t="s">
        <v>6488</v>
      </c>
      <c r="E3015" s="37" t="s">
        <v>2928</v>
      </c>
      <c r="F3015" s="24" t="s">
        <v>1951</v>
      </c>
      <c r="H3015" s="38" t="s">
        <v>2492</v>
      </c>
      <c r="S3015" s="10" t="s">
        <v>2433</v>
      </c>
      <c r="U3015" s="22">
        <v>2</v>
      </c>
      <c r="V3015" s="22">
        <v>2</v>
      </c>
      <c r="W3015" s="73">
        <f>W3014+V3015</f>
        <v>121</v>
      </c>
      <c r="X3015" s="80">
        <f>V3015+X3014</f>
        <v>17062</v>
      </c>
      <c r="Y3015" s="82" t="s">
        <v>3591</v>
      </c>
      <c r="Z3015" s="24" t="s">
        <v>2888</v>
      </c>
    </row>
    <row r="3016" spans="1:37" s="51" customFormat="1" ht="15.45" customHeight="1" x14ac:dyDescent="0.25">
      <c r="A3016" s="45" t="s">
        <v>6714</v>
      </c>
      <c r="B3016" s="50"/>
      <c r="C3016" s="49"/>
      <c r="D3016" s="49"/>
      <c r="E3016" s="49"/>
      <c r="F3016" s="50"/>
      <c r="G3016" s="50"/>
      <c r="H3016" s="46"/>
      <c r="I3016" s="109"/>
      <c r="J3016" s="212"/>
      <c r="K3016" s="56"/>
      <c r="L3016" s="100"/>
      <c r="M3016" s="100"/>
      <c r="N3016" s="49"/>
      <c r="O3016" s="49"/>
      <c r="P3016" s="49"/>
      <c r="Q3016" s="49"/>
      <c r="R3016" s="49"/>
      <c r="S3016" s="47"/>
      <c r="T3016" s="47"/>
      <c r="U3016" s="53"/>
      <c r="V3016" s="53"/>
      <c r="W3016" s="74"/>
      <c r="X3016" s="81"/>
      <c r="Y3016" s="132"/>
      <c r="Z3016" s="50"/>
      <c r="AA3016" s="173"/>
      <c r="AB3016" s="173"/>
      <c r="AC3016" s="137"/>
      <c r="AD3016" s="137"/>
      <c r="AE3016" s="83"/>
      <c r="AF3016" s="47"/>
      <c r="AG3016" s="47"/>
      <c r="AH3016" s="47"/>
      <c r="AI3016" s="47"/>
      <c r="AJ3016" s="47"/>
      <c r="AK3016" s="47"/>
    </row>
    <row r="3017" spans="1:37" ht="15.45" customHeight="1" x14ac:dyDescent="0.25">
      <c r="A3017" s="31" t="s">
        <v>6396</v>
      </c>
      <c r="C3017" s="37" t="s">
        <v>1945</v>
      </c>
      <c r="E3017" s="37" t="s">
        <v>2831</v>
      </c>
      <c r="F3017" s="24" t="s">
        <v>2250</v>
      </c>
      <c r="H3017" s="10" t="s">
        <v>6395</v>
      </c>
      <c r="S3017" s="10" t="s">
        <v>3412</v>
      </c>
      <c r="T3017" s="11"/>
      <c r="U3017" s="21">
        <v>1</v>
      </c>
      <c r="V3017" s="21">
        <v>1</v>
      </c>
      <c r="W3017" s="73">
        <f>W3016+V3017</f>
        <v>1</v>
      </c>
      <c r="X3017" s="80">
        <f>V3017+X3015</f>
        <v>17063</v>
      </c>
      <c r="Y3017" s="82" t="s">
        <v>3592</v>
      </c>
      <c r="Z3017" s="24" t="s">
        <v>2884</v>
      </c>
      <c r="AF3017" s="11"/>
      <c r="AG3017" s="11"/>
      <c r="AH3017" s="11"/>
      <c r="AI3017" s="11"/>
      <c r="AJ3017" s="11"/>
      <c r="AK3017" s="11"/>
    </row>
    <row r="3018" spans="1:37" ht="15.45" customHeight="1" x14ac:dyDescent="0.25">
      <c r="A3018" s="31" t="s">
        <v>6969</v>
      </c>
      <c r="C3018" s="37" t="s">
        <v>4338</v>
      </c>
      <c r="E3018" s="37" t="s">
        <v>2928</v>
      </c>
      <c r="F3018" s="24" t="s">
        <v>2848</v>
      </c>
      <c r="H3018" s="10" t="s">
        <v>5688</v>
      </c>
      <c r="J3018" s="214" t="s">
        <v>5689</v>
      </c>
      <c r="P3018" s="37" t="s">
        <v>4527</v>
      </c>
      <c r="S3018" s="10" t="s">
        <v>3412</v>
      </c>
      <c r="T3018" s="11"/>
      <c r="U3018" s="21">
        <v>1</v>
      </c>
      <c r="V3018" s="21">
        <v>1</v>
      </c>
      <c r="W3018" s="73">
        <f t="shared" ref="W3018:W3019" si="189">W3017+V3018</f>
        <v>2</v>
      </c>
      <c r="X3018" s="80">
        <f>V3018+X3017</f>
        <v>17064</v>
      </c>
      <c r="Y3018" s="82" t="s">
        <v>3591</v>
      </c>
      <c r="AB3018" s="177">
        <v>44027</v>
      </c>
      <c r="AC3018" s="84" t="s">
        <v>5308</v>
      </c>
      <c r="AF3018" s="11"/>
      <c r="AG3018" s="11"/>
      <c r="AH3018" s="11"/>
      <c r="AI3018" s="11"/>
      <c r="AJ3018" s="11"/>
      <c r="AK3018" s="11"/>
    </row>
    <row r="3019" spans="1:37" ht="15.45" customHeight="1" x14ac:dyDescent="0.25">
      <c r="A3019" s="29" t="s">
        <v>4337</v>
      </c>
      <c r="B3019" s="24" t="s">
        <v>4451</v>
      </c>
      <c r="C3019" s="37" t="s">
        <v>1945</v>
      </c>
      <c r="E3019" s="37" t="s">
        <v>2827</v>
      </c>
      <c r="F3019" s="24" t="s">
        <v>2848</v>
      </c>
      <c r="H3019" s="38" t="s">
        <v>4456</v>
      </c>
      <c r="J3019" s="214" t="s">
        <v>4450</v>
      </c>
      <c r="K3019" s="10" t="s">
        <v>4445</v>
      </c>
      <c r="P3019" s="37" t="s">
        <v>1463</v>
      </c>
      <c r="S3019" s="10" t="s">
        <v>3412</v>
      </c>
      <c r="U3019" s="21">
        <v>1</v>
      </c>
      <c r="V3019" s="21">
        <v>2</v>
      </c>
      <c r="W3019" s="73">
        <f t="shared" si="189"/>
        <v>4</v>
      </c>
      <c r="X3019" s="80">
        <f t="shared" ref="X3019:X3020" si="190">V3019+X3018</f>
        <v>17066</v>
      </c>
      <c r="Y3019" s="82" t="s">
        <v>3583</v>
      </c>
      <c r="AB3019" s="177">
        <v>43439</v>
      </c>
      <c r="AC3019" s="84" t="s">
        <v>2885</v>
      </c>
    </row>
    <row r="3020" spans="1:37" ht="15.45" customHeight="1" x14ac:dyDescent="0.25">
      <c r="A3020" s="29" t="s">
        <v>4337</v>
      </c>
      <c r="B3020" s="24" t="s">
        <v>4461</v>
      </c>
      <c r="C3020" s="37" t="s">
        <v>1945</v>
      </c>
      <c r="E3020" s="37" t="s">
        <v>2827</v>
      </c>
      <c r="F3020" s="24" t="s">
        <v>2848</v>
      </c>
      <c r="H3020" s="38" t="s">
        <v>4456</v>
      </c>
      <c r="J3020" s="214" t="s">
        <v>4450</v>
      </c>
      <c r="K3020" s="10" t="s">
        <v>4445</v>
      </c>
      <c r="P3020" s="37" t="s">
        <v>1463</v>
      </c>
      <c r="S3020" s="10" t="s">
        <v>3412</v>
      </c>
      <c r="U3020" s="21">
        <v>1</v>
      </c>
      <c r="V3020" s="21">
        <v>2</v>
      </c>
      <c r="W3020" s="73">
        <f t="shared" ref="W3020:W3021" si="191">W3019+V3020</f>
        <v>6</v>
      </c>
      <c r="X3020" s="80">
        <f t="shared" si="190"/>
        <v>17068</v>
      </c>
      <c r="Y3020" s="82" t="s">
        <v>3583</v>
      </c>
      <c r="AB3020" s="177">
        <v>43439</v>
      </c>
      <c r="AC3020" s="84" t="s">
        <v>2885</v>
      </c>
    </row>
    <row r="3021" spans="1:37" ht="15.45" customHeight="1" x14ac:dyDescent="0.25">
      <c r="A3021" s="29" t="s">
        <v>4337</v>
      </c>
      <c r="B3021" s="24" t="s">
        <v>4460</v>
      </c>
      <c r="C3021" s="37" t="s">
        <v>1945</v>
      </c>
      <c r="E3021" s="37" t="s">
        <v>2827</v>
      </c>
      <c r="F3021" s="24" t="s">
        <v>2848</v>
      </c>
      <c r="H3021" s="38" t="s">
        <v>4456</v>
      </c>
      <c r="J3021" s="214" t="s">
        <v>4450</v>
      </c>
      <c r="K3021" s="10" t="s">
        <v>4445</v>
      </c>
      <c r="P3021" s="37" t="s">
        <v>1463</v>
      </c>
      <c r="S3021" s="10" t="s">
        <v>3412</v>
      </c>
      <c r="T3021" s="10" t="s">
        <v>4463</v>
      </c>
      <c r="U3021" s="21">
        <v>1</v>
      </c>
      <c r="V3021" s="21">
        <v>2</v>
      </c>
      <c r="W3021" s="73">
        <f t="shared" si="191"/>
        <v>8</v>
      </c>
      <c r="X3021" s="80">
        <f t="shared" ref="X3021" si="192">V3021+X3020</f>
        <v>17070</v>
      </c>
      <c r="Y3021" s="82" t="s">
        <v>3583</v>
      </c>
      <c r="AB3021" s="177">
        <v>43439</v>
      </c>
      <c r="AC3021" s="84" t="s">
        <v>2885</v>
      </c>
    </row>
    <row r="3022" spans="1:37" ht="15.45" customHeight="1" x14ac:dyDescent="0.25">
      <c r="A3022" s="29" t="s">
        <v>4337</v>
      </c>
      <c r="B3022" s="24" t="s">
        <v>4462</v>
      </c>
      <c r="C3022" s="37" t="s">
        <v>1945</v>
      </c>
      <c r="E3022" s="37" t="s">
        <v>2827</v>
      </c>
      <c r="F3022" s="24" t="s">
        <v>2848</v>
      </c>
      <c r="H3022" s="38" t="s">
        <v>4456</v>
      </c>
      <c r="J3022" s="214" t="s">
        <v>4450</v>
      </c>
      <c r="K3022" s="10" t="s">
        <v>4445</v>
      </c>
      <c r="P3022" s="37" t="s">
        <v>1463</v>
      </c>
      <c r="S3022" s="10" t="s">
        <v>3412</v>
      </c>
      <c r="U3022" s="21">
        <v>1</v>
      </c>
      <c r="V3022" s="21">
        <v>2</v>
      </c>
      <c r="W3022" s="73">
        <f t="shared" ref="W3022:W3029" si="193">W3021+V3022</f>
        <v>10</v>
      </c>
      <c r="X3022" s="80">
        <f t="shared" ref="X3022:X3029" si="194">V3022+X3021</f>
        <v>17072</v>
      </c>
      <c r="Y3022" s="82" t="s">
        <v>3583</v>
      </c>
      <c r="AB3022" s="177">
        <v>43439</v>
      </c>
      <c r="AC3022" s="84" t="s">
        <v>2885</v>
      </c>
    </row>
    <row r="3023" spans="1:37" ht="15.45" customHeight="1" x14ac:dyDescent="0.25">
      <c r="A3023" s="29" t="s">
        <v>4452</v>
      </c>
      <c r="B3023" s="24" t="s">
        <v>4454</v>
      </c>
      <c r="C3023" s="37" t="s">
        <v>1945</v>
      </c>
      <c r="E3023" s="37" t="s">
        <v>2827</v>
      </c>
      <c r="F3023" s="24" t="s">
        <v>2848</v>
      </c>
      <c r="H3023" s="38" t="s">
        <v>4456</v>
      </c>
      <c r="J3023" s="214" t="s">
        <v>4457</v>
      </c>
      <c r="K3023" s="10" t="s">
        <v>4445</v>
      </c>
      <c r="P3023" s="37" t="s">
        <v>1463</v>
      </c>
      <c r="S3023" s="10" t="s">
        <v>3412</v>
      </c>
      <c r="U3023" s="21">
        <v>1</v>
      </c>
      <c r="V3023" s="21">
        <v>2</v>
      </c>
      <c r="W3023" s="73">
        <f t="shared" si="193"/>
        <v>12</v>
      </c>
      <c r="X3023" s="80">
        <f t="shared" si="194"/>
        <v>17074</v>
      </c>
      <c r="Y3023" s="82" t="s">
        <v>3583</v>
      </c>
      <c r="AB3023" s="177">
        <v>43439</v>
      </c>
      <c r="AC3023" s="84" t="s">
        <v>2885</v>
      </c>
    </row>
    <row r="3024" spans="1:37" ht="15.45" customHeight="1" x14ac:dyDescent="0.25">
      <c r="A3024" s="29" t="s">
        <v>4453</v>
      </c>
      <c r="B3024" s="24" t="s">
        <v>4455</v>
      </c>
      <c r="C3024" s="37" t="s">
        <v>1945</v>
      </c>
      <c r="E3024" s="37" t="s">
        <v>2827</v>
      </c>
      <c r="F3024" s="24" t="s">
        <v>2848</v>
      </c>
      <c r="H3024" s="38" t="s">
        <v>4456</v>
      </c>
      <c r="J3024" s="214" t="s">
        <v>4457</v>
      </c>
      <c r="K3024" s="10" t="s">
        <v>4445</v>
      </c>
      <c r="P3024" s="37" t="s">
        <v>1463</v>
      </c>
      <c r="S3024" s="10" t="s">
        <v>3412</v>
      </c>
      <c r="U3024" s="21">
        <v>1</v>
      </c>
      <c r="V3024" s="21">
        <v>2</v>
      </c>
      <c r="W3024" s="73">
        <f t="shared" si="193"/>
        <v>14</v>
      </c>
      <c r="X3024" s="80">
        <f t="shared" si="194"/>
        <v>17076</v>
      </c>
      <c r="Y3024" s="82" t="s">
        <v>3583</v>
      </c>
      <c r="AB3024" s="177">
        <v>43439</v>
      </c>
      <c r="AC3024" s="84" t="s">
        <v>2885</v>
      </c>
    </row>
    <row r="3025" spans="1:37" ht="15.45" customHeight="1" x14ac:dyDescent="0.25">
      <c r="A3025" s="31" t="s">
        <v>4444</v>
      </c>
      <c r="B3025" s="24" t="s">
        <v>4448</v>
      </c>
      <c r="C3025" s="37" t="s">
        <v>1945</v>
      </c>
      <c r="E3025" s="37" t="s">
        <v>2827</v>
      </c>
      <c r="F3025" s="24" t="s">
        <v>2848</v>
      </c>
      <c r="H3025" s="38" t="s">
        <v>4456</v>
      </c>
      <c r="J3025" s="214" t="s">
        <v>4041</v>
      </c>
      <c r="K3025" s="10" t="s">
        <v>4445</v>
      </c>
      <c r="P3025" s="37" t="s">
        <v>1463</v>
      </c>
      <c r="S3025" s="10" t="s">
        <v>3412</v>
      </c>
      <c r="T3025" s="11"/>
      <c r="U3025" s="21">
        <v>1</v>
      </c>
      <c r="V3025" s="21">
        <v>2</v>
      </c>
      <c r="W3025" s="73">
        <f t="shared" si="193"/>
        <v>16</v>
      </c>
      <c r="X3025" s="80">
        <f t="shared" si="194"/>
        <v>17078</v>
      </c>
      <c r="Y3025" s="82" t="s">
        <v>3583</v>
      </c>
      <c r="AB3025" s="177">
        <v>43439</v>
      </c>
      <c r="AC3025" s="84" t="s">
        <v>2885</v>
      </c>
      <c r="AF3025" s="11"/>
      <c r="AG3025" s="11"/>
      <c r="AH3025" s="11"/>
      <c r="AI3025" s="11"/>
      <c r="AJ3025" s="11"/>
      <c r="AK3025" s="11"/>
    </row>
    <row r="3026" spans="1:37" ht="15.45" customHeight="1" x14ac:dyDescent="0.25">
      <c r="A3026" s="31" t="s">
        <v>4446</v>
      </c>
      <c r="B3026" s="24" t="s">
        <v>4449</v>
      </c>
      <c r="C3026" s="37" t="s">
        <v>1945</v>
      </c>
      <c r="E3026" s="37" t="s">
        <v>2928</v>
      </c>
      <c r="F3026" s="24" t="s">
        <v>2848</v>
      </c>
      <c r="H3026" s="38" t="s">
        <v>4456</v>
      </c>
      <c r="J3026" s="214" t="s">
        <v>4447</v>
      </c>
      <c r="K3026" s="10" t="s">
        <v>4445</v>
      </c>
      <c r="P3026" s="37" t="s">
        <v>1463</v>
      </c>
      <c r="S3026" s="10" t="s">
        <v>3412</v>
      </c>
      <c r="T3026" s="11"/>
      <c r="U3026" s="21">
        <v>1</v>
      </c>
      <c r="V3026" s="21">
        <v>2</v>
      </c>
      <c r="W3026" s="73">
        <f t="shared" si="193"/>
        <v>18</v>
      </c>
      <c r="X3026" s="80">
        <f t="shared" si="194"/>
        <v>17080</v>
      </c>
      <c r="Y3026" s="82" t="s">
        <v>3583</v>
      </c>
      <c r="AB3026" s="177">
        <v>43439</v>
      </c>
      <c r="AC3026" s="84" t="s">
        <v>2885</v>
      </c>
      <c r="AF3026" s="11"/>
      <c r="AG3026" s="11"/>
      <c r="AH3026" s="11"/>
      <c r="AI3026" s="11"/>
      <c r="AJ3026" s="11"/>
      <c r="AK3026" s="11"/>
    </row>
    <row r="3027" spans="1:37" ht="15.45" customHeight="1" x14ac:dyDescent="0.25">
      <c r="A3027" s="31" t="s">
        <v>4459</v>
      </c>
      <c r="B3027" s="24" t="s">
        <v>5249</v>
      </c>
      <c r="C3027" s="37" t="s">
        <v>1945</v>
      </c>
      <c r="E3027" s="37" t="s">
        <v>2928</v>
      </c>
      <c r="F3027" s="24" t="s">
        <v>2848</v>
      </c>
      <c r="H3027" s="38" t="s">
        <v>4473</v>
      </c>
      <c r="J3027" s="215" t="s">
        <v>5248</v>
      </c>
      <c r="P3027" s="37" t="s">
        <v>1463</v>
      </c>
      <c r="S3027" s="10" t="s">
        <v>3412</v>
      </c>
      <c r="T3027" s="11"/>
      <c r="U3027" s="21">
        <v>1</v>
      </c>
      <c r="V3027" s="21">
        <v>1</v>
      </c>
      <c r="W3027" s="73">
        <f t="shared" si="193"/>
        <v>19</v>
      </c>
      <c r="X3027" s="80">
        <f t="shared" si="194"/>
        <v>17081</v>
      </c>
      <c r="Y3027" s="82" t="s">
        <v>3583</v>
      </c>
      <c r="AB3027" s="177">
        <v>43439</v>
      </c>
      <c r="AC3027" s="84" t="s">
        <v>2885</v>
      </c>
      <c r="AF3027" s="11"/>
      <c r="AG3027" s="11"/>
      <c r="AH3027" s="11"/>
      <c r="AI3027" s="11"/>
      <c r="AJ3027" s="11"/>
      <c r="AK3027" s="11"/>
    </row>
    <row r="3028" spans="1:37" ht="15.45" customHeight="1" x14ac:dyDescent="0.25">
      <c r="A3028" s="31" t="s">
        <v>4458</v>
      </c>
      <c r="B3028" s="24" t="s">
        <v>5249</v>
      </c>
      <c r="C3028" s="37" t="s">
        <v>1945</v>
      </c>
      <c r="E3028" s="37" t="s">
        <v>2928</v>
      </c>
      <c r="F3028" s="24" t="s">
        <v>2848</v>
      </c>
      <c r="H3028" s="38" t="s">
        <v>4474</v>
      </c>
      <c r="J3028" s="215" t="s">
        <v>5248</v>
      </c>
      <c r="P3028" s="37" t="s">
        <v>1463</v>
      </c>
      <c r="S3028" s="10" t="s">
        <v>3412</v>
      </c>
      <c r="T3028" s="11"/>
      <c r="U3028" s="21">
        <v>1</v>
      </c>
      <c r="V3028" s="21">
        <v>1</v>
      </c>
      <c r="W3028" s="73">
        <f t="shared" si="193"/>
        <v>20</v>
      </c>
      <c r="X3028" s="80">
        <f t="shared" si="194"/>
        <v>17082</v>
      </c>
      <c r="Y3028" s="82" t="s">
        <v>3583</v>
      </c>
      <c r="AB3028" s="177">
        <v>43439</v>
      </c>
      <c r="AC3028" s="84" t="s">
        <v>2885</v>
      </c>
      <c r="AF3028" s="11"/>
      <c r="AG3028" s="11"/>
      <c r="AH3028" s="11"/>
      <c r="AI3028" s="11"/>
      <c r="AJ3028" s="11"/>
      <c r="AK3028" s="11"/>
    </row>
    <row r="3029" spans="1:37" ht="15.45" customHeight="1" x14ac:dyDescent="0.25">
      <c r="A3029" s="31" t="s">
        <v>4464</v>
      </c>
      <c r="C3029" s="37" t="s">
        <v>1945</v>
      </c>
      <c r="E3029" s="37" t="s">
        <v>2928</v>
      </c>
      <c r="F3029" s="24" t="s">
        <v>2848</v>
      </c>
      <c r="H3029" s="38" t="s">
        <v>4470</v>
      </c>
      <c r="J3029" s="215" t="s">
        <v>4465</v>
      </c>
      <c r="P3029" s="37" t="s">
        <v>1463</v>
      </c>
      <c r="S3029" s="10" t="s">
        <v>3412</v>
      </c>
      <c r="T3029" s="11"/>
      <c r="U3029" s="21">
        <v>1</v>
      </c>
      <c r="V3029" s="21">
        <v>1</v>
      </c>
      <c r="W3029" s="73">
        <f t="shared" si="193"/>
        <v>21</v>
      </c>
      <c r="X3029" s="80">
        <f t="shared" si="194"/>
        <v>17083</v>
      </c>
      <c r="Y3029" s="82" t="s">
        <v>3583</v>
      </c>
      <c r="AB3029" s="177">
        <v>43439</v>
      </c>
      <c r="AC3029" s="84" t="s">
        <v>2885</v>
      </c>
      <c r="AF3029" s="11"/>
      <c r="AG3029" s="11"/>
      <c r="AH3029" s="11"/>
      <c r="AI3029" s="11"/>
      <c r="AJ3029" s="11"/>
      <c r="AK3029" s="11"/>
    </row>
    <row r="3030" spans="1:37" ht="15.45" customHeight="1" x14ac:dyDescent="0.25">
      <c r="A3030" s="31" t="s">
        <v>4464</v>
      </c>
      <c r="C3030" s="37" t="s">
        <v>1945</v>
      </c>
      <c r="E3030" s="37" t="s">
        <v>2928</v>
      </c>
      <c r="F3030" s="24" t="s">
        <v>2848</v>
      </c>
      <c r="H3030" s="38" t="s">
        <v>4471</v>
      </c>
      <c r="J3030" s="215" t="s">
        <v>4465</v>
      </c>
      <c r="P3030" s="37" t="s">
        <v>1463</v>
      </c>
      <c r="S3030" s="10" t="s">
        <v>3412</v>
      </c>
      <c r="T3030" s="11"/>
      <c r="U3030" s="21">
        <v>1</v>
      </c>
      <c r="V3030" s="21">
        <v>1</v>
      </c>
      <c r="W3030" s="73">
        <f t="shared" ref="W3030" si="195">W3029+V3030</f>
        <v>22</v>
      </c>
      <c r="X3030" s="80">
        <f t="shared" ref="X3030" si="196">V3030+X3029</f>
        <v>17084</v>
      </c>
      <c r="Y3030" s="82" t="s">
        <v>3583</v>
      </c>
      <c r="AB3030" s="177">
        <v>43439</v>
      </c>
      <c r="AC3030" s="84" t="s">
        <v>2885</v>
      </c>
      <c r="AF3030" s="11"/>
      <c r="AG3030" s="11"/>
      <c r="AH3030" s="11"/>
      <c r="AI3030" s="11"/>
      <c r="AJ3030" s="11"/>
      <c r="AK3030" s="11"/>
    </row>
    <row r="3031" spans="1:37" ht="15.45" customHeight="1" x14ac:dyDescent="0.25">
      <c r="A3031" s="31" t="s">
        <v>4729</v>
      </c>
      <c r="B3031" s="24" t="s">
        <v>4466</v>
      </c>
      <c r="C3031" s="37" t="s">
        <v>1945</v>
      </c>
      <c r="E3031" s="37" t="s">
        <v>2928</v>
      </c>
      <c r="F3031" s="24" t="s">
        <v>2848</v>
      </c>
      <c r="H3031" s="38" t="s">
        <v>4471</v>
      </c>
      <c r="J3031" s="215" t="s">
        <v>4465</v>
      </c>
      <c r="P3031" s="37" t="s">
        <v>1463</v>
      </c>
      <c r="S3031" s="10" t="s">
        <v>3412</v>
      </c>
      <c r="T3031" s="11"/>
      <c r="U3031" s="21">
        <v>1</v>
      </c>
      <c r="V3031" s="21">
        <v>1</v>
      </c>
      <c r="W3031" s="73">
        <f t="shared" ref="W3031" si="197">W3030+V3031</f>
        <v>23</v>
      </c>
      <c r="X3031" s="80">
        <f t="shared" ref="X3031" si="198">V3031+X3030</f>
        <v>17085</v>
      </c>
      <c r="Y3031" s="82" t="s">
        <v>3583</v>
      </c>
      <c r="AB3031" s="177">
        <v>43439</v>
      </c>
      <c r="AC3031" s="84" t="s">
        <v>2885</v>
      </c>
      <c r="AF3031" s="11"/>
      <c r="AG3031" s="11"/>
      <c r="AH3031" s="11"/>
      <c r="AI3031" s="11"/>
      <c r="AJ3031" s="11"/>
      <c r="AK3031" s="11"/>
    </row>
    <row r="3032" spans="1:37" ht="15.45" customHeight="1" x14ac:dyDescent="0.25">
      <c r="A3032" s="31" t="s">
        <v>4729</v>
      </c>
      <c r="B3032" s="24" t="s">
        <v>4466</v>
      </c>
      <c r="C3032" s="37" t="s">
        <v>1945</v>
      </c>
      <c r="E3032" s="37" t="s">
        <v>2928</v>
      </c>
      <c r="F3032" s="24" t="s">
        <v>2848</v>
      </c>
      <c r="H3032" s="38" t="s">
        <v>4472</v>
      </c>
      <c r="J3032" s="215" t="s">
        <v>4465</v>
      </c>
      <c r="P3032" s="37" t="s">
        <v>1463</v>
      </c>
      <c r="S3032" s="10" t="s">
        <v>3412</v>
      </c>
      <c r="T3032" s="11"/>
      <c r="U3032" s="21">
        <v>1</v>
      </c>
      <c r="V3032" s="21">
        <v>1</v>
      </c>
      <c r="W3032" s="73">
        <f t="shared" ref="W3032:W3054" si="199">W3031+V3032</f>
        <v>24</v>
      </c>
      <c r="X3032" s="80">
        <f t="shared" ref="X3032" si="200">V3032+X3031</f>
        <v>17086</v>
      </c>
      <c r="Y3032" s="82" t="s">
        <v>3583</v>
      </c>
      <c r="AB3032" s="177">
        <v>43439</v>
      </c>
      <c r="AC3032" s="84" t="s">
        <v>2885</v>
      </c>
      <c r="AF3032" s="11"/>
      <c r="AG3032" s="11"/>
      <c r="AH3032" s="11"/>
      <c r="AI3032" s="11"/>
      <c r="AJ3032" s="11"/>
      <c r="AK3032" s="11"/>
    </row>
    <row r="3033" spans="1:37" ht="15.45" customHeight="1" x14ac:dyDescent="0.25">
      <c r="A3033" s="31" t="s">
        <v>4467</v>
      </c>
      <c r="B3033" s="24" t="s">
        <v>4485</v>
      </c>
      <c r="C3033" s="37" t="s">
        <v>1945</v>
      </c>
      <c r="E3033" s="37" t="s">
        <v>2928</v>
      </c>
      <c r="F3033" s="24" t="s">
        <v>2848</v>
      </c>
      <c r="H3033" s="38" t="s">
        <v>4469</v>
      </c>
      <c r="J3033" s="215" t="s">
        <v>4468</v>
      </c>
      <c r="P3033" s="37" t="s">
        <v>1463</v>
      </c>
      <c r="S3033" s="10" t="s">
        <v>3412</v>
      </c>
      <c r="T3033" s="11"/>
      <c r="U3033" s="21">
        <v>1</v>
      </c>
      <c r="V3033" s="21">
        <v>1</v>
      </c>
      <c r="W3033" s="73">
        <f t="shared" si="199"/>
        <v>25</v>
      </c>
      <c r="X3033" s="80">
        <f t="shared" ref="X3033:X3034" si="201">V3033+X3032</f>
        <v>17087</v>
      </c>
      <c r="Y3033" s="82" t="s">
        <v>3583</v>
      </c>
      <c r="AB3033" s="177">
        <v>43439</v>
      </c>
      <c r="AC3033" s="84" t="s">
        <v>2885</v>
      </c>
      <c r="AF3033" s="11"/>
      <c r="AG3033" s="11"/>
      <c r="AH3033" s="11"/>
      <c r="AI3033" s="11"/>
      <c r="AJ3033" s="11"/>
      <c r="AK3033" s="11"/>
    </row>
    <row r="3034" spans="1:37" ht="15.45" customHeight="1" x14ac:dyDescent="0.25">
      <c r="A3034" s="31" t="s">
        <v>4475</v>
      </c>
      <c r="C3034" s="37" t="s">
        <v>1945</v>
      </c>
      <c r="E3034" s="37" t="s">
        <v>2928</v>
      </c>
      <c r="F3034" s="24" t="s">
        <v>2848</v>
      </c>
      <c r="H3034" s="38" t="s">
        <v>4476</v>
      </c>
      <c r="J3034" s="215" t="s">
        <v>4479</v>
      </c>
      <c r="P3034" s="37" t="s">
        <v>1463</v>
      </c>
      <c r="S3034" s="10" t="s">
        <v>3412</v>
      </c>
      <c r="T3034" s="11"/>
      <c r="U3034" s="21">
        <v>1</v>
      </c>
      <c r="V3034" s="21">
        <v>1</v>
      </c>
      <c r="W3034" s="73">
        <f t="shared" si="199"/>
        <v>26</v>
      </c>
      <c r="X3034" s="80">
        <f t="shared" si="201"/>
        <v>17088</v>
      </c>
      <c r="Y3034" s="82" t="s">
        <v>3583</v>
      </c>
      <c r="AB3034" s="177">
        <v>43439</v>
      </c>
      <c r="AC3034" s="84" t="s">
        <v>2885</v>
      </c>
      <c r="AF3034" s="11"/>
      <c r="AG3034" s="11"/>
      <c r="AH3034" s="11"/>
      <c r="AI3034" s="11"/>
      <c r="AJ3034" s="11"/>
      <c r="AK3034" s="11"/>
    </row>
    <row r="3035" spans="1:37" ht="15.45" customHeight="1" x14ac:dyDescent="0.25">
      <c r="A3035" s="31" t="s">
        <v>4475</v>
      </c>
      <c r="C3035" s="37" t="s">
        <v>1945</v>
      </c>
      <c r="E3035" s="37" t="s">
        <v>2928</v>
      </c>
      <c r="F3035" s="24" t="s">
        <v>2848</v>
      </c>
      <c r="H3035" s="38" t="s">
        <v>4478</v>
      </c>
      <c r="J3035" s="215" t="s">
        <v>4479</v>
      </c>
      <c r="P3035" s="37" t="s">
        <v>1463</v>
      </c>
      <c r="S3035" s="10" t="s">
        <v>3412</v>
      </c>
      <c r="T3035" s="11"/>
      <c r="U3035" s="21">
        <v>1</v>
      </c>
      <c r="V3035" s="21">
        <v>1</v>
      </c>
      <c r="W3035" s="73">
        <f t="shared" si="199"/>
        <v>27</v>
      </c>
      <c r="X3035" s="80">
        <f t="shared" ref="X3035:X3054" si="202">V3035+X3034</f>
        <v>17089</v>
      </c>
      <c r="Y3035" s="82" t="s">
        <v>3583</v>
      </c>
      <c r="AB3035" s="177">
        <v>43439</v>
      </c>
      <c r="AC3035" s="84" t="s">
        <v>2885</v>
      </c>
      <c r="AF3035" s="11"/>
      <c r="AG3035" s="11"/>
      <c r="AH3035" s="11"/>
      <c r="AI3035" s="11"/>
      <c r="AJ3035" s="11"/>
      <c r="AK3035" s="11"/>
    </row>
    <row r="3036" spans="1:37" ht="15.45" customHeight="1" x14ac:dyDescent="0.25">
      <c r="A3036" s="31" t="s">
        <v>4480</v>
      </c>
      <c r="C3036" s="37" t="s">
        <v>1945</v>
      </c>
      <c r="E3036" s="37" t="s">
        <v>2928</v>
      </c>
      <c r="F3036" s="24" t="s">
        <v>2848</v>
      </c>
      <c r="H3036" s="38" t="s">
        <v>4483</v>
      </c>
      <c r="J3036" s="215" t="s">
        <v>4468</v>
      </c>
      <c r="P3036" s="37" t="s">
        <v>1463</v>
      </c>
      <c r="S3036" s="10" t="s">
        <v>3412</v>
      </c>
      <c r="T3036" s="11"/>
      <c r="U3036" s="21">
        <v>1</v>
      </c>
      <c r="V3036" s="21">
        <v>1</v>
      </c>
      <c r="W3036" s="73">
        <f t="shared" si="199"/>
        <v>28</v>
      </c>
      <c r="X3036" s="80">
        <f t="shared" si="202"/>
        <v>17090</v>
      </c>
      <c r="Y3036" s="82" t="s">
        <v>3583</v>
      </c>
      <c r="AB3036" s="177">
        <v>43439</v>
      </c>
      <c r="AC3036" s="84" t="s">
        <v>2885</v>
      </c>
      <c r="AF3036" s="11"/>
      <c r="AG3036" s="11"/>
      <c r="AH3036" s="11"/>
      <c r="AI3036" s="11"/>
      <c r="AJ3036" s="11"/>
      <c r="AK3036" s="11"/>
    </row>
    <row r="3037" spans="1:37" ht="15.45" customHeight="1" x14ac:dyDescent="0.25">
      <c r="A3037" s="31" t="s">
        <v>4480</v>
      </c>
      <c r="C3037" s="37" t="s">
        <v>1945</v>
      </c>
      <c r="E3037" s="37" t="s">
        <v>2928</v>
      </c>
      <c r="F3037" s="24" t="s">
        <v>2848</v>
      </c>
      <c r="H3037" s="38" t="s">
        <v>4481</v>
      </c>
      <c r="J3037" s="215" t="s">
        <v>4468</v>
      </c>
      <c r="P3037" s="37" t="s">
        <v>1463</v>
      </c>
      <c r="S3037" s="10" t="s">
        <v>3412</v>
      </c>
      <c r="T3037" s="11"/>
      <c r="U3037" s="21">
        <v>1</v>
      </c>
      <c r="V3037" s="21">
        <v>1</v>
      </c>
      <c r="W3037" s="73">
        <f t="shared" si="199"/>
        <v>29</v>
      </c>
      <c r="X3037" s="80">
        <f t="shared" si="202"/>
        <v>17091</v>
      </c>
      <c r="Y3037" s="82" t="s">
        <v>3583</v>
      </c>
      <c r="AB3037" s="177">
        <v>43439</v>
      </c>
      <c r="AC3037" s="84" t="s">
        <v>2885</v>
      </c>
      <c r="AF3037" s="11"/>
      <c r="AG3037" s="11"/>
      <c r="AH3037" s="11"/>
      <c r="AI3037" s="11"/>
      <c r="AJ3037" s="11"/>
      <c r="AK3037" s="11"/>
    </row>
    <row r="3038" spans="1:37" ht="15.45" customHeight="1" x14ac:dyDescent="0.25">
      <c r="A3038" s="31" t="s">
        <v>4480</v>
      </c>
      <c r="C3038" s="37" t="s">
        <v>1945</v>
      </c>
      <c r="E3038" s="37" t="s">
        <v>2928</v>
      </c>
      <c r="F3038" s="24" t="s">
        <v>2848</v>
      </c>
      <c r="H3038" s="38" t="s">
        <v>4482</v>
      </c>
      <c r="J3038" s="215" t="s">
        <v>4468</v>
      </c>
      <c r="P3038" s="37" t="s">
        <v>1463</v>
      </c>
      <c r="S3038" s="10" t="s">
        <v>3412</v>
      </c>
      <c r="T3038" s="11"/>
      <c r="U3038" s="21">
        <v>1</v>
      </c>
      <c r="V3038" s="21">
        <v>1</v>
      </c>
      <c r="W3038" s="73">
        <f t="shared" si="199"/>
        <v>30</v>
      </c>
      <c r="X3038" s="80">
        <f t="shared" si="202"/>
        <v>17092</v>
      </c>
      <c r="Y3038" s="82" t="s">
        <v>3583</v>
      </c>
      <c r="AB3038" s="177">
        <v>43439</v>
      </c>
      <c r="AC3038" s="84" t="s">
        <v>2885</v>
      </c>
      <c r="AF3038" s="11"/>
      <c r="AG3038" s="11"/>
      <c r="AH3038" s="11"/>
      <c r="AI3038" s="11"/>
      <c r="AJ3038" s="11"/>
      <c r="AK3038" s="11"/>
    </row>
    <row r="3039" spans="1:37" ht="15.45" customHeight="1" x14ac:dyDescent="0.25">
      <c r="A3039" s="31" t="s">
        <v>4637</v>
      </c>
      <c r="C3039" s="37" t="s">
        <v>1945</v>
      </c>
      <c r="E3039" s="37" t="s">
        <v>2928</v>
      </c>
      <c r="F3039" s="24" t="s">
        <v>2848</v>
      </c>
      <c r="H3039" s="38" t="s">
        <v>4640</v>
      </c>
      <c r="I3039" s="111" t="s">
        <v>4639</v>
      </c>
      <c r="J3039" s="215" t="s">
        <v>5247</v>
      </c>
      <c r="P3039" s="37" t="s">
        <v>1463</v>
      </c>
      <c r="S3039" s="10" t="s">
        <v>3436</v>
      </c>
      <c r="T3039" s="11"/>
      <c r="U3039" s="21">
        <v>1</v>
      </c>
      <c r="V3039" s="21">
        <v>1</v>
      </c>
      <c r="W3039" s="73">
        <f t="shared" si="199"/>
        <v>31</v>
      </c>
      <c r="X3039" s="80">
        <f t="shared" si="202"/>
        <v>17093</v>
      </c>
      <c r="Y3039" s="82" t="s">
        <v>3583</v>
      </c>
      <c r="AB3039" s="177">
        <v>43529</v>
      </c>
      <c r="AC3039" s="84" t="s">
        <v>2885</v>
      </c>
      <c r="AF3039" s="11"/>
      <c r="AG3039" s="11"/>
      <c r="AH3039" s="11"/>
      <c r="AI3039" s="11"/>
      <c r="AJ3039" s="11"/>
      <c r="AK3039" s="11"/>
    </row>
    <row r="3040" spans="1:37" ht="15.45" customHeight="1" x14ac:dyDescent="0.25">
      <c r="A3040" s="31" t="s">
        <v>4728</v>
      </c>
      <c r="C3040" s="37" t="s">
        <v>1945</v>
      </c>
      <c r="E3040" s="37" t="s">
        <v>2928</v>
      </c>
      <c r="F3040" s="24" t="s">
        <v>2848</v>
      </c>
      <c r="H3040" s="38" t="s">
        <v>4636</v>
      </c>
      <c r="J3040" s="215" t="s">
        <v>4635</v>
      </c>
      <c r="P3040" s="37" t="s">
        <v>1463</v>
      </c>
      <c r="S3040" s="10" t="s">
        <v>3412</v>
      </c>
      <c r="T3040" s="11"/>
      <c r="U3040" s="21">
        <v>4</v>
      </c>
      <c r="V3040" s="21">
        <v>4</v>
      </c>
      <c r="W3040" s="73">
        <f t="shared" si="199"/>
        <v>35</v>
      </c>
      <c r="X3040" s="80">
        <f t="shared" si="202"/>
        <v>17097</v>
      </c>
      <c r="Y3040" s="82" t="s">
        <v>3583</v>
      </c>
      <c r="AB3040" s="177">
        <v>43529</v>
      </c>
      <c r="AC3040" s="84" t="s">
        <v>2885</v>
      </c>
      <c r="AF3040" s="11"/>
      <c r="AG3040" s="11"/>
      <c r="AH3040" s="11"/>
      <c r="AI3040" s="11"/>
      <c r="AJ3040" s="11"/>
      <c r="AK3040" s="11"/>
    </row>
    <row r="3041" spans="1:37" ht="15.45" customHeight="1" x14ac:dyDescent="0.25">
      <c r="A3041" s="31" t="s">
        <v>4638</v>
      </c>
      <c r="C3041" s="37" t="s">
        <v>1945</v>
      </c>
      <c r="E3041" s="37" t="s">
        <v>2928</v>
      </c>
      <c r="F3041" s="24" t="s">
        <v>2848</v>
      </c>
      <c r="H3041" s="38" t="s">
        <v>4636</v>
      </c>
      <c r="J3041" s="215" t="s">
        <v>4635</v>
      </c>
      <c r="P3041" s="37" t="s">
        <v>1463</v>
      </c>
      <c r="S3041" s="10" t="s">
        <v>3412</v>
      </c>
      <c r="T3041" s="11"/>
      <c r="U3041" s="21">
        <v>1</v>
      </c>
      <c r="V3041" s="21">
        <v>1</v>
      </c>
      <c r="W3041" s="73">
        <f t="shared" si="199"/>
        <v>36</v>
      </c>
      <c r="X3041" s="80">
        <f t="shared" si="202"/>
        <v>17098</v>
      </c>
      <c r="Y3041" s="82" t="s">
        <v>3583</v>
      </c>
      <c r="AB3041" s="177">
        <v>43530</v>
      </c>
      <c r="AC3041" s="84" t="s">
        <v>2885</v>
      </c>
      <c r="AF3041" s="11"/>
      <c r="AG3041" s="11"/>
      <c r="AH3041" s="11"/>
      <c r="AI3041" s="11"/>
      <c r="AJ3041" s="11"/>
      <c r="AK3041" s="11"/>
    </row>
    <row r="3042" spans="1:37" ht="15.45" customHeight="1" x14ac:dyDescent="0.25">
      <c r="A3042" s="31" t="s">
        <v>4622</v>
      </c>
      <c r="C3042" s="37" t="s">
        <v>1945</v>
      </c>
      <c r="E3042" s="37" t="s">
        <v>2928</v>
      </c>
      <c r="F3042" s="24" t="s">
        <v>2848</v>
      </c>
      <c r="H3042" s="38" t="s">
        <v>4623</v>
      </c>
      <c r="J3042" s="215" t="s">
        <v>4627</v>
      </c>
      <c r="P3042" s="37" t="s">
        <v>1463</v>
      </c>
      <c r="S3042" s="10" t="s">
        <v>3412</v>
      </c>
      <c r="T3042" s="10" t="s">
        <v>4624</v>
      </c>
      <c r="U3042" s="21">
        <v>1</v>
      </c>
      <c r="V3042" s="21">
        <v>1</v>
      </c>
      <c r="W3042" s="73">
        <f t="shared" si="199"/>
        <v>37</v>
      </c>
      <c r="X3042" s="80">
        <f t="shared" si="202"/>
        <v>17099</v>
      </c>
      <c r="Y3042" s="82" t="s">
        <v>3583</v>
      </c>
      <c r="AB3042" s="177">
        <v>43530</v>
      </c>
      <c r="AC3042" s="84" t="s">
        <v>2885</v>
      </c>
      <c r="AF3042" s="11"/>
      <c r="AG3042" s="11"/>
      <c r="AH3042" s="11"/>
      <c r="AI3042" s="11"/>
      <c r="AJ3042" s="11"/>
      <c r="AK3042" s="11"/>
    </row>
    <row r="3043" spans="1:37" ht="15.45" customHeight="1" x14ac:dyDescent="0.25">
      <c r="A3043" s="31" t="s">
        <v>4625</v>
      </c>
      <c r="C3043" s="37" t="s">
        <v>1945</v>
      </c>
      <c r="E3043" s="37" t="s">
        <v>2928</v>
      </c>
      <c r="F3043" s="24" t="s">
        <v>2848</v>
      </c>
      <c r="H3043" s="38" t="s">
        <v>4626</v>
      </c>
      <c r="J3043" s="215" t="s">
        <v>4628</v>
      </c>
      <c r="P3043" s="37" t="s">
        <v>1463</v>
      </c>
      <c r="S3043" s="10" t="s">
        <v>3412</v>
      </c>
      <c r="T3043" s="10" t="s">
        <v>4624</v>
      </c>
      <c r="U3043" s="21">
        <v>1</v>
      </c>
      <c r="V3043" s="21">
        <v>1</v>
      </c>
      <c r="W3043" s="73">
        <f t="shared" si="199"/>
        <v>38</v>
      </c>
      <c r="X3043" s="80">
        <f t="shared" si="202"/>
        <v>17100</v>
      </c>
      <c r="Y3043" s="82" t="s">
        <v>3583</v>
      </c>
      <c r="AB3043" s="177">
        <v>43530</v>
      </c>
      <c r="AC3043" s="84" t="s">
        <v>2885</v>
      </c>
      <c r="AF3043" s="11"/>
      <c r="AG3043" s="11"/>
      <c r="AH3043" s="11"/>
      <c r="AI3043" s="11"/>
      <c r="AJ3043" s="11"/>
      <c r="AK3043" s="11"/>
    </row>
    <row r="3044" spans="1:37" ht="15.45" customHeight="1" x14ac:dyDescent="0.25">
      <c r="A3044" s="31" t="s">
        <v>6823</v>
      </c>
      <c r="C3044" s="37" t="s">
        <v>1945</v>
      </c>
      <c r="E3044" s="37" t="s">
        <v>2928</v>
      </c>
      <c r="F3044" s="24" t="s">
        <v>2848</v>
      </c>
      <c r="H3044" s="38" t="s">
        <v>6824</v>
      </c>
      <c r="J3044" s="215">
        <v>1951</v>
      </c>
      <c r="P3044" s="37" t="s">
        <v>1463</v>
      </c>
      <c r="S3044" s="10" t="s">
        <v>3412</v>
      </c>
      <c r="U3044" s="21">
        <v>1</v>
      </c>
      <c r="V3044" s="21">
        <v>1</v>
      </c>
      <c r="W3044" s="73">
        <f t="shared" si="199"/>
        <v>39</v>
      </c>
      <c r="X3044" s="80">
        <f t="shared" si="202"/>
        <v>17101</v>
      </c>
      <c r="Y3044" s="82" t="s">
        <v>3583</v>
      </c>
      <c r="AB3044" s="177">
        <v>43530</v>
      </c>
      <c r="AC3044" s="84" t="s">
        <v>2885</v>
      </c>
      <c r="AF3044" s="11"/>
      <c r="AG3044" s="11"/>
      <c r="AH3044" s="11"/>
      <c r="AI3044" s="11"/>
      <c r="AJ3044" s="11"/>
      <c r="AK3044" s="11"/>
    </row>
    <row r="3045" spans="1:37" ht="15.45" customHeight="1" x14ac:dyDescent="0.25">
      <c r="A3045" s="31" t="s">
        <v>6819</v>
      </c>
      <c r="C3045" s="37" t="s">
        <v>1945</v>
      </c>
      <c r="E3045" s="37" t="s">
        <v>2928</v>
      </c>
      <c r="F3045" s="24" t="s">
        <v>2848</v>
      </c>
      <c r="H3045" s="38" t="s">
        <v>6820</v>
      </c>
      <c r="J3045" s="215">
        <v>1954</v>
      </c>
      <c r="P3045" s="37" t="s">
        <v>1463</v>
      </c>
      <c r="S3045" s="10" t="s">
        <v>3412</v>
      </c>
      <c r="U3045" s="21">
        <v>1</v>
      </c>
      <c r="V3045" s="21">
        <v>1</v>
      </c>
      <c r="W3045" s="73">
        <f t="shared" si="199"/>
        <v>40</v>
      </c>
      <c r="X3045" s="80">
        <f t="shared" si="202"/>
        <v>17102</v>
      </c>
      <c r="Y3045" s="82" t="s">
        <v>3591</v>
      </c>
      <c r="Z3045" s="24" t="s">
        <v>6821</v>
      </c>
      <c r="AB3045" s="177">
        <v>44704</v>
      </c>
      <c r="AC3045" s="84" t="s">
        <v>2885</v>
      </c>
      <c r="AF3045" s="11"/>
      <c r="AG3045" s="11"/>
      <c r="AH3045" s="11"/>
      <c r="AI3045" s="11"/>
      <c r="AJ3045" s="11"/>
      <c r="AK3045" s="11"/>
    </row>
    <row r="3046" spans="1:37" ht="15.45" customHeight="1" x14ac:dyDescent="0.25">
      <c r="A3046" s="31" t="s">
        <v>4619</v>
      </c>
      <c r="C3046" s="37" t="s">
        <v>1945</v>
      </c>
      <c r="E3046" s="37" t="s">
        <v>2928</v>
      </c>
      <c r="F3046" s="24" t="s">
        <v>2848</v>
      </c>
      <c r="H3046" s="38" t="s">
        <v>4617</v>
      </c>
      <c r="J3046" s="215" t="s">
        <v>4616</v>
      </c>
      <c r="P3046" s="37" t="s">
        <v>1463</v>
      </c>
      <c r="S3046" s="10" t="s">
        <v>3412</v>
      </c>
      <c r="U3046" s="21">
        <v>1</v>
      </c>
      <c r="V3046" s="21">
        <v>1</v>
      </c>
      <c r="W3046" s="73">
        <f t="shared" si="199"/>
        <v>41</v>
      </c>
      <c r="X3046" s="80">
        <f t="shared" si="202"/>
        <v>17103</v>
      </c>
      <c r="Y3046" s="82" t="s">
        <v>3583</v>
      </c>
      <c r="AB3046" s="177">
        <v>43439</v>
      </c>
      <c r="AC3046" s="84" t="s">
        <v>2885</v>
      </c>
      <c r="AF3046" s="11"/>
      <c r="AG3046" s="11"/>
      <c r="AH3046" s="11"/>
      <c r="AI3046" s="11"/>
      <c r="AJ3046" s="11"/>
      <c r="AK3046" s="11"/>
    </row>
    <row r="3047" spans="1:37" ht="15.45" customHeight="1" x14ac:dyDescent="0.25">
      <c r="A3047" s="31" t="s">
        <v>4484</v>
      </c>
      <c r="C3047" s="37" t="s">
        <v>1945</v>
      </c>
      <c r="E3047" s="37" t="s">
        <v>2928</v>
      </c>
      <c r="F3047" s="24" t="s">
        <v>2848</v>
      </c>
      <c r="H3047" s="38" t="s">
        <v>4621</v>
      </c>
      <c r="J3047" s="215">
        <v>1948</v>
      </c>
      <c r="K3047" s="10" t="s">
        <v>4615</v>
      </c>
      <c r="P3047" s="37" t="s">
        <v>1463</v>
      </c>
      <c r="S3047" s="10" t="s">
        <v>3412</v>
      </c>
      <c r="T3047" s="10" t="s">
        <v>4620</v>
      </c>
      <c r="U3047" s="21">
        <v>1</v>
      </c>
      <c r="V3047" s="21">
        <v>1</v>
      </c>
      <c r="W3047" s="73">
        <f t="shared" si="199"/>
        <v>42</v>
      </c>
      <c r="X3047" s="80">
        <f t="shared" si="202"/>
        <v>17104</v>
      </c>
      <c r="Y3047" s="82" t="s">
        <v>3583</v>
      </c>
      <c r="AB3047" s="177">
        <v>43439</v>
      </c>
      <c r="AC3047" s="84" t="s">
        <v>2885</v>
      </c>
      <c r="AF3047" s="11"/>
      <c r="AG3047" s="11"/>
      <c r="AH3047" s="11"/>
      <c r="AI3047" s="11"/>
      <c r="AJ3047" s="11"/>
      <c r="AK3047" s="11"/>
    </row>
    <row r="3048" spans="1:37" ht="15.45" customHeight="1" x14ac:dyDescent="0.25">
      <c r="A3048" s="31" t="s">
        <v>4618</v>
      </c>
      <c r="C3048" s="37" t="s">
        <v>1945</v>
      </c>
      <c r="E3048" s="37" t="s">
        <v>2928</v>
      </c>
      <c r="F3048" s="24" t="s">
        <v>2848</v>
      </c>
      <c r="H3048" s="38" t="s">
        <v>4614</v>
      </c>
      <c r="J3048" s="215"/>
      <c r="P3048" s="37" t="s">
        <v>1463</v>
      </c>
      <c r="S3048" s="10" t="s">
        <v>3412</v>
      </c>
      <c r="U3048" s="21">
        <v>2</v>
      </c>
      <c r="V3048" s="21">
        <v>2</v>
      </c>
      <c r="W3048" s="73">
        <f t="shared" si="199"/>
        <v>44</v>
      </c>
      <c r="X3048" s="80">
        <f t="shared" si="202"/>
        <v>17106</v>
      </c>
      <c r="Y3048" s="82" t="s">
        <v>3583</v>
      </c>
      <c r="AB3048" s="177">
        <v>43439</v>
      </c>
      <c r="AC3048" s="84" t="s">
        <v>2885</v>
      </c>
      <c r="AF3048" s="11"/>
      <c r="AG3048" s="11"/>
      <c r="AH3048" s="11"/>
      <c r="AI3048" s="11"/>
      <c r="AJ3048" s="11"/>
      <c r="AK3048" s="11"/>
    </row>
    <row r="3049" spans="1:37" ht="15.45" customHeight="1" x14ac:dyDescent="0.25">
      <c r="A3049" s="31" t="s">
        <v>6053</v>
      </c>
      <c r="C3049" s="37" t="s">
        <v>1945</v>
      </c>
      <c r="E3049" s="37" t="s">
        <v>2928</v>
      </c>
      <c r="F3049" s="24" t="s">
        <v>2848</v>
      </c>
      <c r="H3049" s="38" t="s">
        <v>4630</v>
      </c>
      <c r="J3049" s="215" t="s">
        <v>4629</v>
      </c>
      <c r="P3049" s="37" t="s">
        <v>1463</v>
      </c>
      <c r="S3049" s="10" t="s">
        <v>3436</v>
      </c>
      <c r="U3049" s="21">
        <v>6</v>
      </c>
      <c r="V3049" s="21">
        <v>6</v>
      </c>
      <c r="W3049" s="73">
        <f t="shared" si="199"/>
        <v>50</v>
      </c>
      <c r="X3049" s="80">
        <f t="shared" si="202"/>
        <v>17112</v>
      </c>
      <c r="Y3049" s="82" t="s">
        <v>3583</v>
      </c>
      <c r="AB3049" s="177">
        <v>43529</v>
      </c>
      <c r="AC3049" s="84" t="s">
        <v>2885</v>
      </c>
      <c r="AF3049" s="11"/>
      <c r="AG3049" s="11"/>
      <c r="AH3049" s="11"/>
      <c r="AI3049" s="11"/>
      <c r="AJ3049" s="11"/>
      <c r="AK3049" s="11"/>
    </row>
    <row r="3050" spans="1:37" ht="15.45" customHeight="1" x14ac:dyDescent="0.25">
      <c r="A3050" s="31" t="s">
        <v>4631</v>
      </c>
      <c r="C3050" s="37" t="s">
        <v>1945</v>
      </c>
      <c r="E3050" s="37" t="s">
        <v>2928</v>
      </c>
      <c r="F3050" s="24" t="s">
        <v>2848</v>
      </c>
      <c r="H3050" s="38" t="s">
        <v>4632</v>
      </c>
      <c r="J3050" s="215" t="s">
        <v>4633</v>
      </c>
      <c r="K3050" s="10" t="s">
        <v>4634</v>
      </c>
      <c r="P3050" s="37" t="s">
        <v>1463</v>
      </c>
      <c r="S3050" s="10" t="s">
        <v>3436</v>
      </c>
      <c r="T3050" s="11"/>
      <c r="U3050" s="21">
        <v>1</v>
      </c>
      <c r="V3050" s="21">
        <v>1</v>
      </c>
      <c r="W3050" s="73">
        <f t="shared" si="199"/>
        <v>51</v>
      </c>
      <c r="X3050" s="80">
        <f t="shared" si="202"/>
        <v>17113</v>
      </c>
      <c r="Y3050" s="82" t="s">
        <v>3583</v>
      </c>
      <c r="AB3050" s="177">
        <v>43529</v>
      </c>
      <c r="AC3050" s="84" t="s">
        <v>2885</v>
      </c>
      <c r="AF3050" s="11"/>
      <c r="AG3050" s="11"/>
      <c r="AH3050" s="11"/>
      <c r="AI3050" s="11"/>
      <c r="AJ3050" s="11"/>
      <c r="AK3050" s="11"/>
    </row>
    <row r="3051" spans="1:37" ht="15.45" customHeight="1" x14ac:dyDescent="0.25">
      <c r="A3051" s="31" t="s">
        <v>6706</v>
      </c>
      <c r="C3051" s="37" t="s">
        <v>6707</v>
      </c>
      <c r="E3051" s="37" t="s">
        <v>2928</v>
      </c>
      <c r="F3051" s="24" t="s">
        <v>6708</v>
      </c>
      <c r="H3051" s="38" t="s">
        <v>6711</v>
      </c>
      <c r="J3051" s="229">
        <v>29387</v>
      </c>
      <c r="K3051" s="10" t="s">
        <v>6709</v>
      </c>
      <c r="N3051" s="37" t="s">
        <v>6710</v>
      </c>
      <c r="P3051" s="37" t="s">
        <v>1781</v>
      </c>
      <c r="S3051" s="10" t="s">
        <v>3412</v>
      </c>
      <c r="T3051" s="11"/>
      <c r="U3051" s="21">
        <v>1</v>
      </c>
      <c r="V3051" s="21">
        <v>1</v>
      </c>
      <c r="W3051" s="73">
        <f t="shared" si="199"/>
        <v>52</v>
      </c>
      <c r="X3051" s="80">
        <f t="shared" si="202"/>
        <v>17114</v>
      </c>
      <c r="Y3051" s="82" t="s">
        <v>3591</v>
      </c>
      <c r="Z3051" s="24" t="s">
        <v>2885</v>
      </c>
      <c r="AB3051" s="177">
        <v>43439</v>
      </c>
      <c r="AC3051" s="84" t="s">
        <v>2885</v>
      </c>
      <c r="AF3051" s="11"/>
      <c r="AG3051" s="11"/>
      <c r="AH3051" s="11"/>
      <c r="AI3051" s="11"/>
      <c r="AJ3051" s="11"/>
      <c r="AK3051" s="11"/>
    </row>
    <row r="3052" spans="1:37" ht="15.45" customHeight="1" x14ac:dyDescent="0.25">
      <c r="A3052" s="31" t="s">
        <v>6704</v>
      </c>
      <c r="C3052" s="37" t="s">
        <v>6707</v>
      </c>
      <c r="E3052" s="37" t="s">
        <v>2928</v>
      </c>
      <c r="F3052" s="24" t="s">
        <v>2848</v>
      </c>
      <c r="H3052" s="38" t="s">
        <v>6705</v>
      </c>
      <c r="J3052" s="215">
        <v>2009</v>
      </c>
      <c r="K3052" s="10" t="s">
        <v>4477</v>
      </c>
      <c r="P3052" s="37" t="s">
        <v>1463</v>
      </c>
      <c r="S3052" s="10" t="s">
        <v>3436</v>
      </c>
      <c r="T3052" s="11"/>
      <c r="U3052" s="21">
        <v>1</v>
      </c>
      <c r="V3052" s="21">
        <v>1</v>
      </c>
      <c r="W3052" s="73">
        <f t="shared" si="199"/>
        <v>53</v>
      </c>
      <c r="X3052" s="80">
        <f t="shared" si="202"/>
        <v>17115</v>
      </c>
      <c r="Y3052" s="82" t="s">
        <v>3591</v>
      </c>
      <c r="Z3052" s="24" t="s">
        <v>6712</v>
      </c>
      <c r="AB3052" s="177">
        <v>43439</v>
      </c>
      <c r="AC3052" s="84" t="s">
        <v>2885</v>
      </c>
      <c r="AF3052" s="11"/>
      <c r="AG3052" s="11"/>
      <c r="AH3052" s="11"/>
      <c r="AI3052" s="11"/>
      <c r="AJ3052" s="11"/>
      <c r="AK3052" s="11"/>
    </row>
    <row r="3053" spans="1:37" ht="15.45" customHeight="1" x14ac:dyDescent="0.25">
      <c r="A3053" s="31" t="s">
        <v>4440</v>
      </c>
      <c r="C3053" s="37" t="s">
        <v>4441</v>
      </c>
      <c r="E3053" s="37" t="s">
        <v>2928</v>
      </c>
      <c r="F3053" s="24" t="s">
        <v>2848</v>
      </c>
      <c r="H3053" s="38" t="s">
        <v>4442</v>
      </c>
      <c r="J3053" s="215">
        <v>1995</v>
      </c>
      <c r="K3053" s="10" t="s">
        <v>4443</v>
      </c>
      <c r="P3053" s="37" t="s">
        <v>1463</v>
      </c>
      <c r="T3053" s="11"/>
      <c r="U3053" s="21">
        <v>1</v>
      </c>
      <c r="V3053" s="21">
        <v>1</v>
      </c>
      <c r="W3053" s="73">
        <f t="shared" si="199"/>
        <v>54</v>
      </c>
      <c r="X3053" s="80">
        <f t="shared" si="202"/>
        <v>17116</v>
      </c>
      <c r="Y3053" s="82" t="s">
        <v>3583</v>
      </c>
      <c r="AB3053" s="177">
        <v>43439</v>
      </c>
      <c r="AC3053" s="84" t="s">
        <v>2885</v>
      </c>
      <c r="AF3053" s="11"/>
      <c r="AG3053" s="11"/>
      <c r="AH3053" s="11"/>
      <c r="AI3053" s="11"/>
      <c r="AJ3053" s="11"/>
      <c r="AK3053" s="11"/>
    </row>
    <row r="3054" spans="1:37" ht="15.45" customHeight="1" x14ac:dyDescent="0.25">
      <c r="A3054" s="31" t="s">
        <v>4344</v>
      </c>
      <c r="C3054" s="37" t="s">
        <v>4340</v>
      </c>
      <c r="E3054" s="37" t="s">
        <v>2928</v>
      </c>
      <c r="F3054" s="24" t="s">
        <v>2848</v>
      </c>
      <c r="H3054" s="38" t="s">
        <v>4342</v>
      </c>
      <c r="J3054" s="215">
        <v>1984</v>
      </c>
      <c r="P3054" s="37" t="s">
        <v>1463</v>
      </c>
      <c r="Q3054" s="37" t="s">
        <v>3506</v>
      </c>
      <c r="S3054" s="10" t="s">
        <v>3436</v>
      </c>
      <c r="T3054" s="11"/>
      <c r="U3054" s="21">
        <v>2</v>
      </c>
      <c r="V3054" s="21">
        <v>2</v>
      </c>
      <c r="W3054" s="73">
        <f t="shared" si="199"/>
        <v>56</v>
      </c>
      <c r="X3054" s="80">
        <f t="shared" si="202"/>
        <v>17118</v>
      </c>
      <c r="Y3054" s="82" t="s">
        <v>3583</v>
      </c>
      <c r="AB3054" s="177">
        <v>43403</v>
      </c>
      <c r="AC3054" s="84" t="s">
        <v>2885</v>
      </c>
      <c r="AF3054" s="11"/>
      <c r="AG3054" s="11"/>
      <c r="AH3054" s="11"/>
      <c r="AI3054" s="11"/>
      <c r="AJ3054" s="11"/>
      <c r="AK3054" s="11"/>
    </row>
    <row r="3055" spans="1:37" ht="15.45" customHeight="1" x14ac:dyDescent="0.25">
      <c r="A3055" s="31" t="s">
        <v>4341</v>
      </c>
      <c r="C3055" s="37" t="s">
        <v>4340</v>
      </c>
      <c r="E3055" s="37" t="s">
        <v>2928</v>
      </c>
      <c r="F3055" s="24" t="s">
        <v>2848</v>
      </c>
      <c r="H3055" s="38" t="s">
        <v>4343</v>
      </c>
      <c r="J3055" s="215">
        <v>1995</v>
      </c>
      <c r="P3055" s="37" t="s">
        <v>1463</v>
      </c>
      <c r="Q3055" s="37" t="s">
        <v>3506</v>
      </c>
      <c r="S3055" s="10" t="s">
        <v>3436</v>
      </c>
      <c r="T3055" s="11"/>
      <c r="U3055" s="21">
        <v>2</v>
      </c>
      <c r="V3055" s="21">
        <v>2</v>
      </c>
      <c r="W3055" s="73">
        <f t="shared" ref="W3055:W3062" si="203">W3054+V3055</f>
        <v>58</v>
      </c>
      <c r="X3055" s="80">
        <f>V3055+X3054</f>
        <v>17120</v>
      </c>
      <c r="Y3055" s="82" t="s">
        <v>3583</v>
      </c>
      <c r="AB3055" s="177">
        <v>43403</v>
      </c>
      <c r="AC3055" s="84" t="s">
        <v>2885</v>
      </c>
      <c r="AF3055" s="11"/>
      <c r="AG3055" s="11"/>
      <c r="AH3055" s="11"/>
      <c r="AI3055" s="11"/>
      <c r="AJ3055" s="11"/>
      <c r="AK3055" s="11"/>
    </row>
    <row r="3056" spans="1:37" ht="15.45" customHeight="1" x14ac:dyDescent="0.25">
      <c r="A3056" s="31" t="s">
        <v>5694</v>
      </c>
      <c r="C3056" s="37" t="s">
        <v>4340</v>
      </c>
      <c r="H3056" s="38" t="s">
        <v>5695</v>
      </c>
      <c r="J3056" s="215"/>
      <c r="T3056" s="11"/>
      <c r="U3056" s="21">
        <v>2</v>
      </c>
      <c r="V3056" s="21">
        <v>2</v>
      </c>
      <c r="W3056" s="73">
        <f t="shared" si="203"/>
        <v>60</v>
      </c>
      <c r="X3056" s="80">
        <f t="shared" ref="X3056:X3057" si="204">V3056+X3055</f>
        <v>17122</v>
      </c>
      <c r="Y3056" s="82" t="s">
        <v>3583</v>
      </c>
      <c r="AB3056" s="177">
        <v>44336</v>
      </c>
      <c r="AC3056" s="84" t="s">
        <v>2885</v>
      </c>
      <c r="AF3056" s="11"/>
      <c r="AG3056" s="11"/>
      <c r="AH3056" s="11"/>
      <c r="AI3056" s="11"/>
      <c r="AJ3056" s="11"/>
      <c r="AK3056" s="11"/>
    </row>
    <row r="3057" spans="1:37" ht="15.45" customHeight="1" x14ac:dyDescent="0.25">
      <c r="A3057" s="31" t="s">
        <v>4438</v>
      </c>
      <c r="C3057" s="37" t="s">
        <v>6707</v>
      </c>
      <c r="E3057" s="37" t="s">
        <v>2928</v>
      </c>
      <c r="F3057" s="24" t="s">
        <v>2848</v>
      </c>
      <c r="H3057" s="38" t="s">
        <v>4439</v>
      </c>
      <c r="J3057" s="215" t="s">
        <v>3407</v>
      </c>
      <c r="P3057" s="37" t="s">
        <v>1463</v>
      </c>
      <c r="S3057" s="10" t="s">
        <v>3412</v>
      </c>
      <c r="T3057" s="11"/>
      <c r="U3057" s="21">
        <v>1</v>
      </c>
      <c r="V3057" s="21">
        <v>1</v>
      </c>
      <c r="W3057" s="73">
        <f t="shared" si="203"/>
        <v>61</v>
      </c>
      <c r="X3057" s="80">
        <f t="shared" si="204"/>
        <v>17123</v>
      </c>
      <c r="Y3057" s="82" t="s">
        <v>3583</v>
      </c>
      <c r="AB3057" s="177">
        <v>43433</v>
      </c>
      <c r="AC3057" s="84" t="s">
        <v>2885</v>
      </c>
      <c r="AF3057" s="11"/>
      <c r="AG3057" s="11"/>
      <c r="AH3057" s="11"/>
      <c r="AI3057" s="11"/>
      <c r="AJ3057" s="11"/>
      <c r="AK3057" s="11"/>
    </row>
    <row r="3058" spans="1:37" ht="15.45" customHeight="1" x14ac:dyDescent="0.25">
      <c r="A3058" s="31" t="s">
        <v>5651</v>
      </c>
      <c r="C3058" s="37" t="s">
        <v>6707</v>
      </c>
      <c r="E3058" s="37" t="s">
        <v>2926</v>
      </c>
      <c r="F3058" s="24" t="s">
        <v>2848</v>
      </c>
      <c r="H3058" s="38" t="s">
        <v>5652</v>
      </c>
      <c r="J3058" s="215" t="s">
        <v>5654</v>
      </c>
      <c r="N3058" s="37" t="s">
        <v>5653</v>
      </c>
      <c r="P3058" s="37" t="s">
        <v>1463</v>
      </c>
      <c r="Q3058" s="37" t="s">
        <v>3506</v>
      </c>
      <c r="S3058" s="10" t="s">
        <v>3412</v>
      </c>
      <c r="T3058" s="11"/>
      <c r="U3058" s="21">
        <v>1</v>
      </c>
      <c r="V3058" s="21">
        <v>1</v>
      </c>
      <c r="W3058" s="73">
        <f t="shared" si="203"/>
        <v>62</v>
      </c>
      <c r="X3058" s="80">
        <f t="shared" ref="X3058:X3062" si="205">V3058+X3057</f>
        <v>17124</v>
      </c>
      <c r="Y3058" s="82" t="s">
        <v>3591</v>
      </c>
      <c r="Z3058" s="24" t="s">
        <v>5655</v>
      </c>
      <c r="AB3058" s="177">
        <v>42696</v>
      </c>
      <c r="AC3058" s="84" t="s">
        <v>2885</v>
      </c>
      <c r="AF3058" s="11"/>
      <c r="AG3058" s="11"/>
      <c r="AH3058" s="11"/>
      <c r="AI3058" s="11"/>
      <c r="AJ3058" s="11"/>
      <c r="AK3058" s="11"/>
    </row>
    <row r="3059" spans="1:37" ht="15.45" customHeight="1" x14ac:dyDescent="0.25">
      <c r="A3059" s="31" t="s">
        <v>5690</v>
      </c>
      <c r="C3059" s="37" t="s">
        <v>4338</v>
      </c>
      <c r="F3059" s="24" t="s">
        <v>2848</v>
      </c>
      <c r="H3059" s="38" t="s">
        <v>5693</v>
      </c>
      <c r="J3059" s="215">
        <v>1995</v>
      </c>
      <c r="T3059" s="11"/>
      <c r="U3059" s="21">
        <v>1</v>
      </c>
      <c r="V3059" s="21">
        <v>1</v>
      </c>
      <c r="W3059" s="73">
        <f t="shared" si="203"/>
        <v>63</v>
      </c>
      <c r="X3059" s="80">
        <f t="shared" si="205"/>
        <v>17125</v>
      </c>
      <c r="Y3059" s="82" t="s">
        <v>4114</v>
      </c>
      <c r="AB3059" s="177">
        <v>44336</v>
      </c>
      <c r="AC3059" s="84" t="s">
        <v>2885</v>
      </c>
      <c r="AF3059" s="11"/>
      <c r="AG3059" s="11"/>
      <c r="AH3059" s="11"/>
      <c r="AI3059" s="11"/>
      <c r="AJ3059" s="11"/>
      <c r="AK3059" s="11"/>
    </row>
    <row r="3060" spans="1:37" ht="15.45" customHeight="1" x14ac:dyDescent="0.25">
      <c r="A3060" s="31" t="s">
        <v>5691</v>
      </c>
      <c r="C3060" s="37" t="s">
        <v>4338</v>
      </c>
      <c r="F3060" s="24" t="s">
        <v>2848</v>
      </c>
      <c r="H3060" s="38" t="s">
        <v>5693</v>
      </c>
      <c r="J3060" s="215"/>
      <c r="T3060" s="11"/>
      <c r="U3060" s="21">
        <v>1</v>
      </c>
      <c r="V3060" s="21">
        <v>1</v>
      </c>
      <c r="W3060" s="73">
        <f t="shared" si="203"/>
        <v>64</v>
      </c>
      <c r="X3060" s="80">
        <f t="shared" si="205"/>
        <v>17126</v>
      </c>
      <c r="Y3060" s="82" t="s">
        <v>4114</v>
      </c>
      <c r="AB3060" s="177">
        <v>44336</v>
      </c>
      <c r="AC3060" s="84" t="s">
        <v>2885</v>
      </c>
      <c r="AF3060" s="11"/>
      <c r="AG3060" s="11"/>
      <c r="AH3060" s="11"/>
      <c r="AI3060" s="11"/>
      <c r="AJ3060" s="11"/>
      <c r="AK3060" s="11"/>
    </row>
    <row r="3061" spans="1:37" ht="15.45" customHeight="1" x14ac:dyDescent="0.25">
      <c r="A3061" s="31" t="s">
        <v>5692</v>
      </c>
      <c r="C3061" s="37" t="s">
        <v>4338</v>
      </c>
      <c r="F3061" s="24" t="s">
        <v>2848</v>
      </c>
      <c r="H3061" s="38" t="s">
        <v>5693</v>
      </c>
      <c r="J3061" s="215">
        <v>2020</v>
      </c>
      <c r="T3061" s="11"/>
      <c r="U3061" s="21">
        <v>1</v>
      </c>
      <c r="V3061" s="21">
        <v>1</v>
      </c>
      <c r="W3061" s="73">
        <f t="shared" si="203"/>
        <v>65</v>
      </c>
      <c r="X3061" s="80">
        <f t="shared" si="205"/>
        <v>17127</v>
      </c>
      <c r="Y3061" s="82" t="s">
        <v>4114</v>
      </c>
      <c r="AB3061" s="177">
        <v>44336</v>
      </c>
      <c r="AC3061" s="84" t="s">
        <v>2885</v>
      </c>
      <c r="AF3061" s="11"/>
      <c r="AG3061" s="11"/>
      <c r="AH3061" s="11"/>
      <c r="AI3061" s="11"/>
      <c r="AJ3061" s="11"/>
      <c r="AK3061" s="11"/>
    </row>
    <row r="3062" spans="1:37" ht="15.45" customHeight="1" x14ac:dyDescent="0.25">
      <c r="A3062" s="31" t="s">
        <v>6397</v>
      </c>
      <c r="C3062" s="37" t="s">
        <v>4338</v>
      </c>
      <c r="E3062" s="37" t="s">
        <v>2928</v>
      </c>
      <c r="F3062" s="24" t="s">
        <v>2848</v>
      </c>
      <c r="H3062" s="38" t="s">
        <v>4339</v>
      </c>
      <c r="J3062" s="214" t="s">
        <v>6715</v>
      </c>
      <c r="S3062" s="11"/>
      <c r="T3062" s="11"/>
      <c r="U3062" s="21">
        <v>1</v>
      </c>
      <c r="V3062" s="21">
        <v>1</v>
      </c>
      <c r="W3062" s="73">
        <f t="shared" si="203"/>
        <v>66</v>
      </c>
      <c r="X3062" s="80">
        <f t="shared" si="205"/>
        <v>17128</v>
      </c>
      <c r="Y3062" s="82" t="s">
        <v>3583</v>
      </c>
      <c r="AB3062" s="177">
        <v>43403</v>
      </c>
      <c r="AC3062" s="84" t="s">
        <v>2885</v>
      </c>
      <c r="AF3062" s="11"/>
      <c r="AG3062" s="11"/>
      <c r="AH3062" s="11"/>
      <c r="AI3062" s="11"/>
      <c r="AJ3062" s="11"/>
      <c r="AK3062" s="11"/>
    </row>
    <row r="3063" spans="1:37" s="51" customFormat="1" ht="15.45" customHeight="1" x14ac:dyDescent="0.25">
      <c r="A3063" s="66" t="s">
        <v>2155</v>
      </c>
      <c r="B3063" s="50"/>
      <c r="C3063" s="49"/>
      <c r="D3063" s="49"/>
      <c r="E3063" s="49"/>
      <c r="F3063" s="50"/>
      <c r="G3063" s="50"/>
      <c r="H3063" s="67"/>
      <c r="I3063" s="109"/>
      <c r="J3063" s="212"/>
      <c r="K3063" s="56"/>
      <c r="L3063" s="100"/>
      <c r="M3063" s="100"/>
      <c r="N3063" s="49"/>
      <c r="O3063" s="49"/>
      <c r="P3063" s="49"/>
      <c r="Q3063" s="49"/>
      <c r="R3063" s="49"/>
      <c r="S3063" s="68"/>
      <c r="T3063" s="68"/>
      <c r="U3063" s="53"/>
      <c r="V3063" s="53"/>
      <c r="W3063" s="74"/>
      <c r="X3063" s="81"/>
      <c r="Y3063" s="132"/>
      <c r="Z3063" s="50"/>
      <c r="AA3063" s="173"/>
      <c r="AB3063" s="173"/>
      <c r="AC3063" s="137"/>
      <c r="AD3063" s="137"/>
      <c r="AE3063" s="83"/>
      <c r="AF3063" s="68"/>
      <c r="AG3063" s="68"/>
      <c r="AH3063" s="68"/>
      <c r="AI3063" s="68"/>
      <c r="AJ3063" s="68"/>
      <c r="AK3063" s="68"/>
    </row>
    <row r="3064" spans="1:37" ht="15.45" customHeight="1" x14ac:dyDescent="0.25">
      <c r="A3064" s="31" t="s">
        <v>2239</v>
      </c>
      <c r="C3064" s="37" t="s">
        <v>1946</v>
      </c>
      <c r="E3064" s="37" t="s">
        <v>2932</v>
      </c>
      <c r="H3064" s="38" t="s">
        <v>6825</v>
      </c>
      <c r="S3064" s="17"/>
      <c r="T3064" s="17"/>
      <c r="U3064" s="21">
        <v>1</v>
      </c>
      <c r="V3064" s="21">
        <v>1</v>
      </c>
      <c r="W3064" s="73">
        <f>W3063+V3064</f>
        <v>1</v>
      </c>
      <c r="X3064" s="80">
        <f>V3064+X3062</f>
        <v>17129</v>
      </c>
      <c r="Y3064" s="82" t="s">
        <v>3584</v>
      </c>
      <c r="AA3064" s="178"/>
      <c r="AB3064" s="178">
        <v>42060</v>
      </c>
      <c r="AC3064" s="84" t="s">
        <v>2885</v>
      </c>
      <c r="AF3064" s="17"/>
      <c r="AG3064" s="17"/>
      <c r="AH3064" s="17"/>
      <c r="AI3064" s="17"/>
      <c r="AJ3064" s="17"/>
      <c r="AK3064" s="17"/>
    </row>
    <row r="3065" spans="1:37" ht="15.45" customHeight="1" x14ac:dyDescent="0.25">
      <c r="A3065" s="29" t="s">
        <v>828</v>
      </c>
      <c r="C3065" s="37" t="s">
        <v>1946</v>
      </c>
      <c r="E3065" s="37" t="s">
        <v>2827</v>
      </c>
      <c r="F3065" s="24" t="s">
        <v>1951</v>
      </c>
      <c r="H3065" s="38" t="s">
        <v>6826</v>
      </c>
      <c r="U3065" s="21">
        <v>1</v>
      </c>
      <c r="V3065" s="21">
        <v>1</v>
      </c>
      <c r="W3065" s="73">
        <f>W3064+V3065</f>
        <v>2</v>
      </c>
      <c r="X3065" s="80">
        <f>V3065+X3064</f>
        <v>17130</v>
      </c>
      <c r="Y3065" s="82" t="s">
        <v>3591</v>
      </c>
      <c r="Z3065" s="24" t="s">
        <v>2910</v>
      </c>
      <c r="AB3065" s="177">
        <v>1995</v>
      </c>
    </row>
    <row r="3066" spans="1:37" ht="15.45" customHeight="1" x14ac:dyDescent="0.25">
      <c r="A3066" s="29" t="s">
        <v>2494</v>
      </c>
      <c r="C3066" s="37" t="s">
        <v>1946</v>
      </c>
      <c r="E3066" s="37" t="s">
        <v>2827</v>
      </c>
      <c r="F3066" s="24" t="s">
        <v>1951</v>
      </c>
      <c r="H3066" s="38" t="s">
        <v>2783</v>
      </c>
      <c r="S3066" s="10" t="s">
        <v>2390</v>
      </c>
      <c r="U3066" s="22">
        <v>1</v>
      </c>
      <c r="V3066" s="22">
        <v>1</v>
      </c>
      <c r="W3066" s="73">
        <f>W3065+V3066</f>
        <v>3</v>
      </c>
      <c r="X3066" s="80">
        <f>V3066+X3065</f>
        <v>17131</v>
      </c>
      <c r="Y3066" s="82" t="s">
        <v>3591</v>
      </c>
      <c r="Z3066" s="24" t="s">
        <v>2910</v>
      </c>
      <c r="AB3066" s="177">
        <v>1995</v>
      </c>
    </row>
    <row r="3067" spans="1:37" ht="15.45" customHeight="1" x14ac:dyDescent="0.25">
      <c r="A3067" s="29" t="s">
        <v>4402</v>
      </c>
      <c r="C3067" s="37" t="s">
        <v>1946</v>
      </c>
      <c r="E3067" s="37" t="s">
        <v>2927</v>
      </c>
      <c r="F3067" s="24" t="s">
        <v>4401</v>
      </c>
      <c r="H3067" s="38" t="s">
        <v>4403</v>
      </c>
      <c r="J3067" s="214" t="s">
        <v>4404</v>
      </c>
      <c r="K3067" s="10" t="s">
        <v>4405</v>
      </c>
      <c r="N3067" s="37" t="s">
        <v>4406</v>
      </c>
      <c r="P3067" s="37" t="s">
        <v>1463</v>
      </c>
      <c r="S3067" s="10" t="s">
        <v>3412</v>
      </c>
      <c r="U3067" s="22">
        <v>1</v>
      </c>
      <c r="V3067" s="22">
        <v>1</v>
      </c>
      <c r="W3067" s="73">
        <f t="shared" ref="W3067:W3068" si="206">W3066+V3067</f>
        <v>4</v>
      </c>
      <c r="X3067" s="80">
        <f t="shared" ref="X3067:X3068" si="207">V3067+X3066</f>
        <v>17132</v>
      </c>
      <c r="Y3067" s="82" t="s">
        <v>2907</v>
      </c>
      <c r="AB3067" s="177">
        <v>43398</v>
      </c>
      <c r="AC3067" s="84" t="s">
        <v>2885</v>
      </c>
    </row>
    <row r="3068" spans="1:37" ht="15.45" customHeight="1" x14ac:dyDescent="0.25">
      <c r="A3068" s="29" t="s">
        <v>3615</v>
      </c>
      <c r="C3068" s="37" t="s">
        <v>1946</v>
      </c>
      <c r="E3068" s="37" t="s">
        <v>2831</v>
      </c>
      <c r="F3068" s="24" t="s">
        <v>2141</v>
      </c>
      <c r="H3068" s="38" t="s">
        <v>6398</v>
      </c>
      <c r="J3068" s="214" t="s">
        <v>3551</v>
      </c>
      <c r="U3068" s="22">
        <v>1</v>
      </c>
      <c r="V3068" s="22">
        <v>1</v>
      </c>
      <c r="W3068" s="73">
        <f t="shared" si="206"/>
        <v>5</v>
      </c>
      <c r="X3068" s="80">
        <f t="shared" si="207"/>
        <v>17133</v>
      </c>
      <c r="Y3068" s="82" t="s">
        <v>3584</v>
      </c>
      <c r="AB3068" s="177">
        <v>43375</v>
      </c>
      <c r="AC3068" s="84" t="s">
        <v>2885</v>
      </c>
    </row>
    <row r="3069" spans="1:37" s="51" customFormat="1" ht="15.45" customHeight="1" x14ac:dyDescent="0.25">
      <c r="A3069" s="45" t="s">
        <v>5777</v>
      </c>
      <c r="B3069" s="50"/>
      <c r="C3069" s="49"/>
      <c r="D3069" s="49"/>
      <c r="E3069" s="142"/>
      <c r="F3069" s="50"/>
      <c r="G3069" s="50"/>
      <c r="H3069" s="71"/>
      <c r="I3069" s="120"/>
      <c r="J3069" s="212"/>
      <c r="K3069" s="56"/>
      <c r="L3069" s="100"/>
      <c r="M3069" s="100"/>
      <c r="N3069" s="49"/>
      <c r="O3069" s="49"/>
      <c r="P3069" s="49"/>
      <c r="Q3069" s="49"/>
      <c r="R3069" s="49"/>
      <c r="S3069" s="72"/>
      <c r="T3069" s="72"/>
      <c r="U3069" s="48"/>
      <c r="V3069" s="48"/>
      <c r="W3069" s="74"/>
      <c r="X3069" s="81"/>
      <c r="Y3069" s="132"/>
      <c r="Z3069" s="50"/>
      <c r="AA3069" s="173"/>
      <c r="AB3069" s="173"/>
      <c r="AC3069" s="137"/>
      <c r="AD3069" s="137"/>
      <c r="AE3069" s="83"/>
      <c r="AF3069" s="72"/>
      <c r="AG3069" s="72"/>
      <c r="AH3069" s="72"/>
      <c r="AI3069" s="72"/>
      <c r="AJ3069" s="72"/>
      <c r="AK3069" s="72"/>
    </row>
    <row r="3070" spans="1:37" ht="15.45" customHeight="1" x14ac:dyDescent="0.25">
      <c r="A3070" s="29" t="s">
        <v>4435</v>
      </c>
      <c r="C3070" s="37" t="s">
        <v>2568</v>
      </c>
      <c r="E3070" s="37" t="s">
        <v>5301</v>
      </c>
      <c r="F3070" s="24" t="s">
        <v>4595</v>
      </c>
      <c r="I3070" s="117"/>
      <c r="N3070" s="37" t="s">
        <v>2826</v>
      </c>
      <c r="S3070" s="18" t="s">
        <v>2980</v>
      </c>
      <c r="T3070" s="18" t="s">
        <v>2570</v>
      </c>
      <c r="U3070" s="22">
        <v>1</v>
      </c>
      <c r="V3070" s="22">
        <v>1</v>
      </c>
      <c r="W3070" s="73">
        <f t="shared" ref="W3070:W3095" si="208">W3069+V3070</f>
        <v>1</v>
      </c>
      <c r="X3070" s="80">
        <f t="shared" ref="X3070" si="209">V3070+X3068</f>
        <v>17134</v>
      </c>
      <c r="Y3070" s="82" t="s">
        <v>3583</v>
      </c>
      <c r="AB3070" s="177">
        <v>43157</v>
      </c>
      <c r="AC3070" s="84" t="s">
        <v>2885</v>
      </c>
      <c r="AF3070" s="18"/>
      <c r="AG3070" s="18"/>
      <c r="AH3070" s="18"/>
      <c r="AI3070" s="18" t="s">
        <v>2571</v>
      </c>
      <c r="AJ3070" s="18"/>
      <c r="AK3070" s="18"/>
    </row>
    <row r="3071" spans="1:37" ht="15.45" customHeight="1" x14ac:dyDescent="0.25">
      <c r="A3071" s="29" t="s">
        <v>7177</v>
      </c>
      <c r="B3071" s="24" t="s">
        <v>7176</v>
      </c>
      <c r="C3071" s="37" t="s">
        <v>2568</v>
      </c>
      <c r="E3071" s="37" t="s">
        <v>2928</v>
      </c>
      <c r="F3071" s="24" t="s">
        <v>7178</v>
      </c>
      <c r="G3071" s="24" t="s">
        <v>7174</v>
      </c>
      <c r="H3071" s="38" t="s">
        <v>7175</v>
      </c>
      <c r="I3071" s="117"/>
      <c r="J3071" s="214" t="s">
        <v>4465</v>
      </c>
      <c r="N3071" s="37" t="s">
        <v>2826</v>
      </c>
      <c r="S3071" s="18" t="s">
        <v>3412</v>
      </c>
      <c r="T3071" s="18"/>
      <c r="U3071" s="22">
        <v>1</v>
      </c>
      <c r="V3071" s="22">
        <v>4</v>
      </c>
      <c r="W3071" s="73">
        <f t="shared" si="208"/>
        <v>5</v>
      </c>
      <c r="X3071" s="80">
        <f>V3071+X3070</f>
        <v>17138</v>
      </c>
      <c r="Y3071" s="82" t="s">
        <v>3583</v>
      </c>
      <c r="AA3071" s="177">
        <v>45076</v>
      </c>
      <c r="AB3071" s="177">
        <v>45084</v>
      </c>
      <c r="AC3071" s="84" t="s">
        <v>2885</v>
      </c>
      <c r="AF3071" s="18"/>
      <c r="AG3071" s="18"/>
      <c r="AH3071" s="18"/>
      <c r="AI3071" s="18"/>
      <c r="AJ3071" s="18"/>
      <c r="AK3071" s="18"/>
    </row>
    <row r="3072" spans="1:37" ht="15.45" customHeight="1" x14ac:dyDescent="0.25">
      <c r="A3072" s="29" t="s">
        <v>6078</v>
      </c>
      <c r="C3072" s="37" t="s">
        <v>2568</v>
      </c>
      <c r="E3072" s="37" t="s">
        <v>5301</v>
      </c>
      <c r="F3072" s="24" t="s">
        <v>4595</v>
      </c>
      <c r="H3072" s="44" t="s">
        <v>6077</v>
      </c>
      <c r="I3072" s="117"/>
      <c r="J3072" s="215">
        <v>1980</v>
      </c>
      <c r="P3072" s="37" t="s">
        <v>1463</v>
      </c>
      <c r="Q3072" s="37" t="s">
        <v>3506</v>
      </c>
      <c r="S3072" s="18" t="s">
        <v>2983</v>
      </c>
      <c r="T3072" s="18" t="s">
        <v>6081</v>
      </c>
      <c r="U3072" s="22">
        <v>1</v>
      </c>
      <c r="V3072" s="22">
        <v>1</v>
      </c>
      <c r="W3072" s="73">
        <f t="shared" si="208"/>
        <v>6</v>
      </c>
      <c r="X3072" s="80">
        <f t="shared" ref="X3072:X3073" si="210">V3072+X3071</f>
        <v>17139</v>
      </c>
      <c r="Y3072" s="82" t="s">
        <v>3583</v>
      </c>
      <c r="AB3072" s="177">
        <v>44455</v>
      </c>
      <c r="AC3072" s="84" t="s">
        <v>2885</v>
      </c>
      <c r="AF3072" s="18"/>
      <c r="AG3072" s="18"/>
      <c r="AH3072" s="18"/>
      <c r="AI3072" s="18"/>
      <c r="AJ3072" s="18"/>
      <c r="AK3072" s="18"/>
    </row>
    <row r="3073" spans="1:37" ht="15.45" customHeight="1" x14ac:dyDescent="0.25">
      <c r="A3073" s="29" t="s">
        <v>6079</v>
      </c>
      <c r="C3073" s="37" t="s">
        <v>2568</v>
      </c>
      <c r="E3073" s="37" t="s">
        <v>5301</v>
      </c>
      <c r="F3073" s="24" t="s">
        <v>4595</v>
      </c>
      <c r="H3073" s="44" t="s">
        <v>6080</v>
      </c>
      <c r="I3073" s="117"/>
      <c r="J3073" s="214" t="s">
        <v>5334</v>
      </c>
      <c r="P3073" s="37" t="s">
        <v>1463</v>
      </c>
      <c r="Q3073" s="37" t="s">
        <v>3506</v>
      </c>
      <c r="S3073" s="18" t="s">
        <v>3412</v>
      </c>
      <c r="T3073" s="18"/>
      <c r="U3073" s="22">
        <v>1</v>
      </c>
      <c r="V3073" s="22">
        <v>1</v>
      </c>
      <c r="W3073" s="73">
        <f t="shared" si="208"/>
        <v>7</v>
      </c>
      <c r="X3073" s="80">
        <f t="shared" si="210"/>
        <v>17140</v>
      </c>
      <c r="Y3073" s="82" t="s">
        <v>3583</v>
      </c>
      <c r="AB3073" s="177">
        <v>44455</v>
      </c>
      <c r="AC3073" s="84" t="s">
        <v>2885</v>
      </c>
      <c r="AF3073" s="18"/>
      <c r="AG3073" s="18"/>
      <c r="AH3073" s="18"/>
      <c r="AI3073" s="18"/>
      <c r="AJ3073" s="18"/>
      <c r="AK3073" s="18"/>
    </row>
    <row r="3074" spans="1:37" ht="15.45" customHeight="1" x14ac:dyDescent="0.25">
      <c r="A3074" s="29" t="s">
        <v>6082</v>
      </c>
      <c r="C3074" s="37" t="s">
        <v>2568</v>
      </c>
      <c r="E3074" s="37" t="s">
        <v>5301</v>
      </c>
      <c r="F3074" s="24" t="s">
        <v>4594</v>
      </c>
      <c r="H3074" s="44" t="s">
        <v>6100</v>
      </c>
      <c r="I3074" s="117"/>
      <c r="J3074" s="214" t="s">
        <v>5827</v>
      </c>
      <c r="N3074" s="37" t="s">
        <v>2826</v>
      </c>
      <c r="S3074" s="18" t="s">
        <v>3412</v>
      </c>
      <c r="T3074" s="18"/>
      <c r="U3074" s="22">
        <v>1</v>
      </c>
      <c r="V3074" s="22">
        <v>1</v>
      </c>
      <c r="W3074" s="73">
        <f t="shared" si="208"/>
        <v>8</v>
      </c>
      <c r="X3074" s="80">
        <f t="shared" ref="X3074:X3078" si="211">V3074+X3073</f>
        <v>17141</v>
      </c>
      <c r="Y3074" s="82" t="s">
        <v>3591</v>
      </c>
      <c r="Z3074" s="24" t="s">
        <v>2885</v>
      </c>
      <c r="AB3074" s="177">
        <v>44456</v>
      </c>
      <c r="AC3074" s="84" t="s">
        <v>2885</v>
      </c>
      <c r="AF3074" s="18"/>
      <c r="AG3074" s="18"/>
      <c r="AH3074" s="18"/>
      <c r="AI3074" s="18"/>
      <c r="AJ3074" s="18"/>
      <c r="AK3074" s="18"/>
    </row>
    <row r="3075" spans="1:37" ht="15.45" customHeight="1" x14ac:dyDescent="0.25">
      <c r="A3075" s="29" t="s">
        <v>6088</v>
      </c>
      <c r="C3075" s="37" t="s">
        <v>2568</v>
      </c>
      <c r="E3075" s="37" t="s">
        <v>5301</v>
      </c>
      <c r="F3075" s="24" t="s">
        <v>4594</v>
      </c>
      <c r="H3075" s="44" t="s">
        <v>6090</v>
      </c>
      <c r="I3075" s="117"/>
      <c r="J3075" s="214" t="s">
        <v>6089</v>
      </c>
      <c r="N3075" s="37" t="s">
        <v>2826</v>
      </c>
      <c r="S3075" s="18" t="s">
        <v>2983</v>
      </c>
      <c r="T3075" s="18" t="s">
        <v>6091</v>
      </c>
      <c r="U3075" s="22">
        <v>1</v>
      </c>
      <c r="V3075" s="22">
        <v>1</v>
      </c>
      <c r="W3075" s="73">
        <f t="shared" si="208"/>
        <v>9</v>
      </c>
      <c r="X3075" s="80">
        <f t="shared" si="211"/>
        <v>17142</v>
      </c>
      <c r="Y3075" s="82" t="s">
        <v>2986</v>
      </c>
      <c r="AB3075" s="177">
        <v>44456</v>
      </c>
      <c r="AC3075" s="84" t="s">
        <v>2885</v>
      </c>
      <c r="AF3075" s="18"/>
      <c r="AG3075" s="18"/>
      <c r="AH3075" s="18"/>
      <c r="AI3075" s="18"/>
      <c r="AJ3075" s="18"/>
      <c r="AK3075" s="18"/>
    </row>
    <row r="3076" spans="1:37" ht="15.45" customHeight="1" x14ac:dyDescent="0.25">
      <c r="A3076" s="29" t="s">
        <v>4798</v>
      </c>
      <c r="C3076" s="37" t="s">
        <v>2568</v>
      </c>
      <c r="E3076" s="37" t="s">
        <v>2927</v>
      </c>
      <c r="F3076" s="24" t="s">
        <v>2312</v>
      </c>
      <c r="H3076" s="44" t="s">
        <v>4799</v>
      </c>
      <c r="I3076" s="117"/>
      <c r="J3076" s="214" t="s">
        <v>4801</v>
      </c>
      <c r="K3076" s="10" t="s">
        <v>4800</v>
      </c>
      <c r="P3076" s="37" t="s">
        <v>1463</v>
      </c>
      <c r="Q3076" s="37" t="s">
        <v>3506</v>
      </c>
      <c r="S3076" s="18" t="s">
        <v>3436</v>
      </c>
      <c r="T3076" s="18"/>
      <c r="U3076" s="22">
        <v>1</v>
      </c>
      <c r="V3076" s="22">
        <v>1</v>
      </c>
      <c r="W3076" s="73">
        <f t="shared" si="208"/>
        <v>10</v>
      </c>
      <c r="X3076" s="80">
        <f t="shared" si="211"/>
        <v>17143</v>
      </c>
      <c r="Y3076" s="82" t="s">
        <v>3583</v>
      </c>
      <c r="AB3076" s="177">
        <v>43594</v>
      </c>
      <c r="AC3076" s="84" t="s">
        <v>2885</v>
      </c>
      <c r="AF3076" s="18" t="s">
        <v>2945</v>
      </c>
      <c r="AG3076" s="164">
        <v>43593</v>
      </c>
      <c r="AH3076" s="18" t="s">
        <v>4802</v>
      </c>
      <c r="AI3076" s="18" t="s">
        <v>2947</v>
      </c>
      <c r="AJ3076" s="164">
        <v>43593</v>
      </c>
      <c r="AK3076" s="18" t="s">
        <v>4196</v>
      </c>
    </row>
    <row r="3077" spans="1:37" ht="15.45" customHeight="1" x14ac:dyDescent="0.25">
      <c r="A3077" s="29" t="s">
        <v>4668</v>
      </c>
      <c r="C3077" s="37" t="s">
        <v>2568</v>
      </c>
      <c r="E3077" s="37" t="s">
        <v>2831</v>
      </c>
      <c r="F3077" s="24" t="s">
        <v>2312</v>
      </c>
      <c r="H3077" s="44" t="s">
        <v>4677</v>
      </c>
      <c r="I3077" s="117"/>
      <c r="J3077" s="215">
        <v>1980</v>
      </c>
      <c r="K3077" s="10" t="s">
        <v>4669</v>
      </c>
      <c r="N3077" s="37" t="s">
        <v>4670</v>
      </c>
      <c r="P3077" s="37" t="s">
        <v>1463</v>
      </c>
      <c r="Q3077" s="37" t="s">
        <v>3506</v>
      </c>
      <c r="S3077" s="18" t="s">
        <v>3436</v>
      </c>
      <c r="T3077" s="18"/>
      <c r="U3077" s="22">
        <v>1</v>
      </c>
      <c r="V3077" s="22">
        <v>1</v>
      </c>
      <c r="W3077" s="73">
        <f t="shared" si="208"/>
        <v>11</v>
      </c>
      <c r="X3077" s="80">
        <f t="shared" si="211"/>
        <v>17144</v>
      </c>
      <c r="Y3077" s="82" t="s">
        <v>3583</v>
      </c>
      <c r="AB3077" s="177">
        <v>43559</v>
      </c>
      <c r="AC3077" s="84" t="s">
        <v>2885</v>
      </c>
      <c r="AF3077" s="18"/>
      <c r="AG3077" s="18"/>
      <c r="AH3077" s="18"/>
      <c r="AI3077" s="18"/>
      <c r="AJ3077" s="18"/>
      <c r="AK3077" s="18"/>
    </row>
    <row r="3078" spans="1:37" ht="15.45" customHeight="1" x14ac:dyDescent="0.25">
      <c r="A3078" s="29" t="s">
        <v>4671</v>
      </c>
      <c r="C3078" s="37" t="s">
        <v>2568</v>
      </c>
      <c r="E3078" s="37" t="s">
        <v>2831</v>
      </c>
      <c r="F3078" s="24" t="s">
        <v>2312</v>
      </c>
      <c r="H3078" s="44" t="s">
        <v>4675</v>
      </c>
      <c r="I3078" s="117"/>
      <c r="J3078" s="215">
        <v>1990</v>
      </c>
      <c r="K3078" s="10" t="s">
        <v>4673</v>
      </c>
      <c r="N3078" s="37" t="s">
        <v>4674</v>
      </c>
      <c r="S3078" s="18" t="s">
        <v>3436</v>
      </c>
      <c r="T3078" s="18"/>
      <c r="U3078" s="22">
        <v>1</v>
      </c>
      <c r="V3078" s="22">
        <v>1</v>
      </c>
      <c r="W3078" s="73">
        <f t="shared" si="208"/>
        <v>12</v>
      </c>
      <c r="X3078" s="80">
        <f t="shared" si="211"/>
        <v>17145</v>
      </c>
      <c r="Y3078" s="82" t="s">
        <v>3583</v>
      </c>
      <c r="AB3078" s="177">
        <v>43559</v>
      </c>
      <c r="AC3078" s="84" t="s">
        <v>2885</v>
      </c>
      <c r="AF3078" s="18"/>
      <c r="AG3078" s="18"/>
      <c r="AH3078" s="18"/>
      <c r="AI3078" s="18"/>
      <c r="AJ3078" s="18"/>
      <c r="AK3078" s="18"/>
    </row>
    <row r="3079" spans="1:37" ht="15.45" customHeight="1" x14ac:dyDescent="0.25">
      <c r="A3079" s="29" t="s">
        <v>4672</v>
      </c>
      <c r="C3079" s="37" t="s">
        <v>2568</v>
      </c>
      <c r="E3079" s="37" t="s">
        <v>2831</v>
      </c>
      <c r="F3079" s="24" t="s">
        <v>2312</v>
      </c>
      <c r="H3079" s="44" t="s">
        <v>4678</v>
      </c>
      <c r="I3079" s="117"/>
      <c r="J3079" s="215">
        <v>1980</v>
      </c>
      <c r="K3079" s="10" t="s">
        <v>4676</v>
      </c>
      <c r="N3079" s="37" t="s">
        <v>4674</v>
      </c>
      <c r="P3079" s="37" t="s">
        <v>1463</v>
      </c>
      <c r="Q3079" s="37" t="s">
        <v>3506</v>
      </c>
      <c r="S3079" s="18" t="s">
        <v>3436</v>
      </c>
      <c r="T3079" s="18"/>
      <c r="U3079" s="22">
        <v>1</v>
      </c>
      <c r="V3079" s="22">
        <v>1</v>
      </c>
      <c r="W3079" s="73">
        <f t="shared" si="208"/>
        <v>13</v>
      </c>
      <c r="X3079" s="80">
        <f t="shared" ref="X3079:X3086" si="212">V3079+X3078</f>
        <v>17146</v>
      </c>
      <c r="Y3079" s="82" t="s">
        <v>3583</v>
      </c>
      <c r="AB3079" s="177">
        <v>43559</v>
      </c>
      <c r="AC3079" s="84" t="s">
        <v>2885</v>
      </c>
      <c r="AF3079" s="18"/>
      <c r="AG3079" s="18"/>
      <c r="AH3079" s="18"/>
      <c r="AI3079" s="18"/>
      <c r="AJ3079" s="18"/>
      <c r="AK3079" s="18"/>
    </row>
    <row r="3080" spans="1:37" ht="15.45" customHeight="1" x14ac:dyDescent="0.25">
      <c r="A3080" s="29" t="s">
        <v>6547</v>
      </c>
      <c r="C3080" s="37" t="s">
        <v>2568</v>
      </c>
      <c r="E3080" s="37" t="s">
        <v>2831</v>
      </c>
      <c r="F3080" s="24" t="s">
        <v>2312</v>
      </c>
      <c r="H3080" s="44" t="s">
        <v>6548</v>
      </c>
      <c r="I3080" s="117"/>
      <c r="J3080" s="215">
        <v>2010</v>
      </c>
      <c r="N3080" s="37" t="s">
        <v>4674</v>
      </c>
      <c r="P3080" s="37" t="s">
        <v>1463</v>
      </c>
      <c r="S3080" s="18" t="s">
        <v>3436</v>
      </c>
      <c r="T3080" s="18"/>
      <c r="U3080" s="22">
        <v>1</v>
      </c>
      <c r="V3080" s="22">
        <v>1</v>
      </c>
      <c r="W3080" s="73">
        <f t="shared" si="208"/>
        <v>14</v>
      </c>
      <c r="X3080" s="80">
        <f t="shared" si="212"/>
        <v>17147</v>
      </c>
      <c r="Y3080" s="82" t="s">
        <v>3583</v>
      </c>
      <c r="AB3080" s="177">
        <v>44634</v>
      </c>
      <c r="AC3080" s="84" t="s">
        <v>2885</v>
      </c>
      <c r="AF3080" s="18"/>
      <c r="AG3080" s="18"/>
      <c r="AH3080" s="18"/>
      <c r="AI3080" s="18"/>
      <c r="AJ3080" s="18"/>
      <c r="AK3080" s="18"/>
    </row>
    <row r="3081" spans="1:37" ht="15.45" customHeight="1" x14ac:dyDescent="0.25">
      <c r="A3081" s="29" t="s">
        <v>4679</v>
      </c>
      <c r="C3081" s="37" t="s">
        <v>2568</v>
      </c>
      <c r="E3081" s="37" t="s">
        <v>2831</v>
      </c>
      <c r="F3081" s="24" t="s">
        <v>2312</v>
      </c>
      <c r="H3081" s="44" t="s">
        <v>5775</v>
      </c>
      <c r="I3081" s="117"/>
      <c r="J3081" s="214" t="s">
        <v>3406</v>
      </c>
      <c r="N3081" s="37" t="s">
        <v>4680</v>
      </c>
      <c r="P3081" s="37" t="s">
        <v>4527</v>
      </c>
      <c r="Q3081" s="37" t="s">
        <v>3506</v>
      </c>
      <c r="S3081" s="18" t="s">
        <v>2980</v>
      </c>
      <c r="T3081" s="18" t="s">
        <v>4681</v>
      </c>
      <c r="U3081" s="22">
        <v>1</v>
      </c>
      <c r="V3081" s="22">
        <v>1</v>
      </c>
      <c r="W3081" s="73">
        <f t="shared" si="208"/>
        <v>15</v>
      </c>
      <c r="X3081" s="80">
        <f t="shared" si="212"/>
        <v>17148</v>
      </c>
      <c r="Y3081" s="82" t="s">
        <v>3583</v>
      </c>
      <c r="AB3081" s="177">
        <v>43559</v>
      </c>
      <c r="AC3081" s="84" t="s">
        <v>2885</v>
      </c>
      <c r="AF3081" s="18"/>
      <c r="AG3081" s="18"/>
      <c r="AH3081" s="18"/>
      <c r="AI3081" s="18"/>
      <c r="AJ3081" s="18"/>
      <c r="AK3081" s="18"/>
    </row>
    <row r="3082" spans="1:37" ht="15.45" customHeight="1" x14ac:dyDescent="0.25">
      <c r="A3082" s="29" t="s">
        <v>5774</v>
      </c>
      <c r="C3082" s="37" t="s">
        <v>2568</v>
      </c>
      <c r="E3082" s="37" t="s">
        <v>2831</v>
      </c>
      <c r="F3082" s="24" t="s">
        <v>2312</v>
      </c>
      <c r="H3082" s="44" t="s">
        <v>4690</v>
      </c>
      <c r="I3082" s="117"/>
      <c r="J3082" s="214" t="s">
        <v>4691</v>
      </c>
      <c r="N3082" s="37" t="s">
        <v>4692</v>
      </c>
      <c r="Q3082" s="37" t="s">
        <v>3506</v>
      </c>
      <c r="S3082" s="18" t="s">
        <v>3412</v>
      </c>
      <c r="T3082" s="18"/>
      <c r="U3082" s="22">
        <v>1</v>
      </c>
      <c r="V3082" s="22">
        <v>1</v>
      </c>
      <c r="W3082" s="73">
        <f t="shared" si="208"/>
        <v>16</v>
      </c>
      <c r="X3082" s="80">
        <f t="shared" si="212"/>
        <v>17149</v>
      </c>
      <c r="Y3082" s="82" t="s">
        <v>3583</v>
      </c>
      <c r="AB3082" s="177">
        <v>43559</v>
      </c>
      <c r="AC3082" s="84" t="s">
        <v>2885</v>
      </c>
      <c r="AF3082" s="18"/>
      <c r="AG3082" s="18"/>
      <c r="AH3082" s="18"/>
      <c r="AI3082" s="18"/>
      <c r="AJ3082" s="18"/>
      <c r="AK3082" s="18"/>
    </row>
    <row r="3083" spans="1:37" ht="15.45" customHeight="1" x14ac:dyDescent="0.25">
      <c r="A3083" s="29" t="s">
        <v>4687</v>
      </c>
      <c r="C3083" s="37" t="s">
        <v>2568</v>
      </c>
      <c r="E3083" s="37" t="s">
        <v>2831</v>
      </c>
      <c r="F3083" s="24" t="s">
        <v>2312</v>
      </c>
      <c r="H3083" s="44" t="s">
        <v>4688</v>
      </c>
      <c r="I3083" s="117"/>
      <c r="J3083" s="214" t="s">
        <v>3406</v>
      </c>
      <c r="N3083" s="37" t="s">
        <v>4680</v>
      </c>
      <c r="P3083" s="37" t="s">
        <v>4527</v>
      </c>
      <c r="Q3083" s="37" t="s">
        <v>3506</v>
      </c>
      <c r="S3083" s="18" t="s">
        <v>2980</v>
      </c>
      <c r="T3083" s="18" t="s">
        <v>4681</v>
      </c>
      <c r="U3083" s="22">
        <v>1</v>
      </c>
      <c r="V3083" s="22">
        <v>1</v>
      </c>
      <c r="W3083" s="73">
        <f t="shared" si="208"/>
        <v>17</v>
      </c>
      <c r="X3083" s="80">
        <f t="shared" si="212"/>
        <v>17150</v>
      </c>
      <c r="Y3083" s="82" t="s">
        <v>3583</v>
      </c>
      <c r="AB3083" s="177">
        <v>43559</v>
      </c>
      <c r="AC3083" s="84" t="s">
        <v>2885</v>
      </c>
      <c r="AF3083" s="18"/>
      <c r="AG3083" s="18"/>
      <c r="AH3083" s="18"/>
      <c r="AI3083" s="18"/>
      <c r="AJ3083" s="18"/>
      <c r="AK3083" s="18"/>
    </row>
    <row r="3084" spans="1:37" ht="15.45" customHeight="1" x14ac:dyDescent="0.25">
      <c r="A3084" s="29" t="s">
        <v>4920</v>
      </c>
      <c r="C3084" s="37" t="s">
        <v>2568</v>
      </c>
      <c r="E3084" s="37" t="s">
        <v>2927</v>
      </c>
      <c r="F3084" s="24" t="s">
        <v>2312</v>
      </c>
      <c r="H3084" s="44" t="s">
        <v>4689</v>
      </c>
      <c r="I3084" s="117"/>
      <c r="J3084" s="214" t="s">
        <v>3406</v>
      </c>
      <c r="P3084" s="37" t="s">
        <v>1463</v>
      </c>
      <c r="Q3084" s="37" t="s">
        <v>3506</v>
      </c>
      <c r="S3084" s="18" t="s">
        <v>3412</v>
      </c>
      <c r="T3084" s="18"/>
      <c r="U3084" s="22">
        <v>1</v>
      </c>
      <c r="V3084" s="22">
        <v>2</v>
      </c>
      <c r="W3084" s="73">
        <f t="shared" si="208"/>
        <v>19</v>
      </c>
      <c r="X3084" s="80">
        <f t="shared" si="212"/>
        <v>17152</v>
      </c>
      <c r="Y3084" s="82" t="s">
        <v>3583</v>
      </c>
      <c r="AB3084" s="177">
        <v>43559</v>
      </c>
      <c r="AC3084" s="84" t="s">
        <v>2885</v>
      </c>
      <c r="AF3084" s="18"/>
      <c r="AG3084" s="18"/>
      <c r="AH3084" s="18"/>
      <c r="AI3084" s="18"/>
      <c r="AJ3084" s="18"/>
      <c r="AK3084" s="18"/>
    </row>
    <row r="3085" spans="1:37" ht="15.45" customHeight="1" x14ac:dyDescent="0.25">
      <c r="A3085" s="29" t="s">
        <v>6399</v>
      </c>
      <c r="C3085" s="37" t="s">
        <v>2568</v>
      </c>
      <c r="E3085" s="37" t="s">
        <v>2831</v>
      </c>
      <c r="F3085" s="24" t="s">
        <v>2312</v>
      </c>
      <c r="H3085" s="44" t="s">
        <v>2800</v>
      </c>
      <c r="I3085" s="117"/>
      <c r="S3085" s="18" t="s">
        <v>2980</v>
      </c>
      <c r="T3085" s="18"/>
      <c r="U3085" s="22">
        <v>1</v>
      </c>
      <c r="V3085" s="22">
        <v>1</v>
      </c>
      <c r="W3085" s="73">
        <f t="shared" si="208"/>
        <v>20</v>
      </c>
      <c r="X3085" s="80">
        <f t="shared" si="212"/>
        <v>17153</v>
      </c>
      <c r="Y3085" s="82" t="s">
        <v>3583</v>
      </c>
      <c r="AB3085" s="177">
        <v>43160</v>
      </c>
      <c r="AC3085" s="84" t="s">
        <v>2885</v>
      </c>
      <c r="AF3085" s="18"/>
      <c r="AG3085" s="18"/>
      <c r="AH3085" s="18"/>
      <c r="AI3085" s="18"/>
      <c r="AJ3085" s="18"/>
      <c r="AK3085" s="18"/>
    </row>
    <row r="3086" spans="1:37" ht="15.45" customHeight="1" x14ac:dyDescent="0.25">
      <c r="A3086" s="29" t="s">
        <v>2579</v>
      </c>
      <c r="C3086" s="37" t="s">
        <v>2568</v>
      </c>
      <c r="E3086" s="37" t="s">
        <v>2831</v>
      </c>
      <c r="F3086" s="24" t="s">
        <v>2312</v>
      </c>
      <c r="H3086" s="44" t="s">
        <v>2578</v>
      </c>
      <c r="I3086" s="117"/>
      <c r="N3086" s="37" t="s">
        <v>3112</v>
      </c>
      <c r="S3086" s="18" t="s">
        <v>2433</v>
      </c>
      <c r="T3086" s="18"/>
      <c r="U3086" s="22">
        <v>1</v>
      </c>
      <c r="V3086" s="22">
        <v>1</v>
      </c>
      <c r="W3086" s="73">
        <f t="shared" si="208"/>
        <v>21</v>
      </c>
      <c r="X3086" s="80">
        <f t="shared" si="212"/>
        <v>17154</v>
      </c>
      <c r="Y3086" s="82" t="s">
        <v>3583</v>
      </c>
      <c r="AB3086" s="177">
        <v>43160</v>
      </c>
      <c r="AC3086" s="84" t="s">
        <v>2885</v>
      </c>
      <c r="AF3086" s="18"/>
      <c r="AG3086" s="18"/>
      <c r="AH3086" s="18"/>
      <c r="AI3086" s="18"/>
      <c r="AJ3086" s="18"/>
      <c r="AK3086" s="18"/>
    </row>
    <row r="3087" spans="1:37" ht="15.45" customHeight="1" x14ac:dyDescent="0.25">
      <c r="A3087" s="29" t="s">
        <v>2580</v>
      </c>
      <c r="C3087" s="37" t="s">
        <v>2568</v>
      </c>
      <c r="E3087" s="37" t="s">
        <v>2831</v>
      </c>
      <c r="F3087" s="24" t="s">
        <v>2312</v>
      </c>
      <c r="H3087" s="44" t="s">
        <v>2581</v>
      </c>
      <c r="I3087" s="117"/>
      <c r="N3087" s="37" t="s">
        <v>3111</v>
      </c>
      <c r="S3087" s="18" t="s">
        <v>2433</v>
      </c>
      <c r="T3087" s="18"/>
      <c r="U3087" s="22">
        <v>1</v>
      </c>
      <c r="V3087" s="22">
        <v>1</v>
      </c>
      <c r="W3087" s="73">
        <f t="shared" si="208"/>
        <v>22</v>
      </c>
      <c r="X3087" s="80">
        <f t="shared" ref="X3087:X3095" si="213">V3087+X3086</f>
        <v>17155</v>
      </c>
      <c r="Y3087" s="82" t="s">
        <v>3583</v>
      </c>
      <c r="AB3087" s="177">
        <v>43160</v>
      </c>
      <c r="AC3087" s="84" t="s">
        <v>2885</v>
      </c>
      <c r="AF3087" s="18"/>
      <c r="AG3087" s="18"/>
      <c r="AH3087" s="18"/>
      <c r="AI3087" s="18"/>
      <c r="AJ3087" s="18"/>
      <c r="AK3087" s="18"/>
    </row>
    <row r="3088" spans="1:37" ht="15.45" customHeight="1" x14ac:dyDescent="0.25">
      <c r="A3088" s="29" t="s">
        <v>2582</v>
      </c>
      <c r="C3088" s="37" t="s">
        <v>2568</v>
      </c>
      <c r="E3088" s="37" t="s">
        <v>2831</v>
      </c>
      <c r="F3088" s="24" t="s">
        <v>2312</v>
      </c>
      <c r="H3088" s="44" t="s">
        <v>2583</v>
      </c>
      <c r="I3088" s="117"/>
      <c r="N3088" s="37" t="s">
        <v>3113</v>
      </c>
      <c r="P3088" s="37" t="s">
        <v>2584</v>
      </c>
      <c r="S3088" s="18" t="s">
        <v>2433</v>
      </c>
      <c r="T3088" s="18"/>
      <c r="U3088" s="22">
        <v>1</v>
      </c>
      <c r="V3088" s="22">
        <v>1</v>
      </c>
      <c r="W3088" s="73">
        <f t="shared" si="208"/>
        <v>23</v>
      </c>
      <c r="X3088" s="80">
        <f t="shared" si="213"/>
        <v>17156</v>
      </c>
      <c r="Y3088" s="82" t="s">
        <v>3583</v>
      </c>
      <c r="AB3088" s="177">
        <v>43160</v>
      </c>
      <c r="AC3088" s="84" t="s">
        <v>2885</v>
      </c>
      <c r="AF3088" s="18"/>
      <c r="AG3088" s="18"/>
      <c r="AH3088" s="18"/>
      <c r="AI3088" s="18"/>
      <c r="AJ3088" s="18"/>
      <c r="AK3088" s="18"/>
    </row>
    <row r="3089" spans="1:44" ht="15.45" customHeight="1" x14ac:dyDescent="0.25">
      <c r="A3089" s="29" t="s">
        <v>5336</v>
      </c>
      <c r="C3089" s="37" t="s">
        <v>2568</v>
      </c>
      <c r="E3089" s="37" t="s">
        <v>2831</v>
      </c>
      <c r="F3089" s="24" t="s">
        <v>4561</v>
      </c>
      <c r="H3089" s="44" t="s">
        <v>5335</v>
      </c>
      <c r="I3089" s="117"/>
      <c r="J3089" s="214" t="s">
        <v>5582</v>
      </c>
      <c r="N3089" s="37" t="s">
        <v>5337</v>
      </c>
      <c r="S3089" s="18" t="s">
        <v>3436</v>
      </c>
      <c r="T3089" s="18"/>
      <c r="U3089" s="22">
        <v>1</v>
      </c>
      <c r="V3089" s="22">
        <v>2</v>
      </c>
      <c r="W3089" s="73">
        <f t="shared" si="208"/>
        <v>25</v>
      </c>
      <c r="X3089" s="80">
        <f t="shared" si="213"/>
        <v>17158</v>
      </c>
      <c r="Y3089" s="82" t="s">
        <v>3591</v>
      </c>
      <c r="Z3089" s="24" t="s">
        <v>2885</v>
      </c>
      <c r="AB3089" s="177">
        <v>43160</v>
      </c>
      <c r="AC3089" s="84" t="s">
        <v>2885</v>
      </c>
      <c r="AF3089" s="18"/>
      <c r="AG3089" s="18"/>
      <c r="AH3089" s="18"/>
      <c r="AI3089" s="18"/>
      <c r="AJ3089" s="18"/>
      <c r="AK3089" s="18"/>
    </row>
    <row r="3090" spans="1:44" ht="15.45" customHeight="1" x14ac:dyDescent="0.25">
      <c r="A3090" s="29" t="s">
        <v>4917</v>
      </c>
      <c r="C3090" s="37" t="s">
        <v>2568</v>
      </c>
      <c r="E3090" s="37" t="s">
        <v>5301</v>
      </c>
      <c r="F3090" s="24" t="s">
        <v>4595</v>
      </c>
      <c r="H3090" s="44" t="s">
        <v>4952</v>
      </c>
      <c r="I3090" s="117"/>
      <c r="J3090" s="215" t="s">
        <v>4918</v>
      </c>
      <c r="K3090" s="10" t="s">
        <v>6400</v>
      </c>
      <c r="N3090" s="37" t="s">
        <v>4953</v>
      </c>
      <c r="P3090" s="37" t="s">
        <v>4527</v>
      </c>
      <c r="Q3090" s="37" t="s">
        <v>3506</v>
      </c>
      <c r="S3090" s="18" t="s">
        <v>2983</v>
      </c>
      <c r="T3090" s="18" t="s">
        <v>4916</v>
      </c>
      <c r="U3090" s="22">
        <v>1</v>
      </c>
      <c r="V3090" s="22">
        <v>1</v>
      </c>
      <c r="W3090" s="73">
        <f t="shared" si="208"/>
        <v>26</v>
      </c>
      <c r="X3090" s="80">
        <f t="shared" si="213"/>
        <v>17159</v>
      </c>
      <c r="Y3090" s="82" t="s">
        <v>3583</v>
      </c>
      <c r="AB3090" s="177">
        <v>43626</v>
      </c>
      <c r="AC3090" s="84" t="s">
        <v>2885</v>
      </c>
      <c r="AF3090" s="18"/>
      <c r="AG3090" s="18"/>
      <c r="AH3090" s="18"/>
      <c r="AI3090" s="18"/>
      <c r="AJ3090" s="18"/>
      <c r="AK3090" s="18"/>
    </row>
    <row r="3091" spans="1:44" ht="15.45" customHeight="1" x14ac:dyDescent="0.25">
      <c r="A3091" s="29" t="s">
        <v>4399</v>
      </c>
      <c r="C3091" s="37" t="s">
        <v>2568</v>
      </c>
      <c r="E3091" s="37" t="s">
        <v>5301</v>
      </c>
      <c r="F3091" s="24" t="s">
        <v>4595</v>
      </c>
      <c r="H3091" s="44" t="s">
        <v>6407</v>
      </c>
      <c r="I3091" s="117"/>
      <c r="J3091" s="214" t="s">
        <v>3407</v>
      </c>
      <c r="N3091" s="37" t="s">
        <v>2826</v>
      </c>
      <c r="S3091" s="18" t="s">
        <v>3412</v>
      </c>
      <c r="T3091" s="18" t="s">
        <v>4400</v>
      </c>
      <c r="U3091" s="22">
        <v>1</v>
      </c>
      <c r="V3091" s="22">
        <v>1</v>
      </c>
      <c r="W3091" s="73">
        <f t="shared" si="208"/>
        <v>27</v>
      </c>
      <c r="X3091" s="80">
        <f t="shared" si="213"/>
        <v>17160</v>
      </c>
      <c r="Y3091" s="82" t="s">
        <v>3583</v>
      </c>
      <c r="AB3091" s="177">
        <v>43431</v>
      </c>
      <c r="AC3091" s="84" t="s">
        <v>2885</v>
      </c>
      <c r="AF3091" s="18"/>
      <c r="AG3091" s="18"/>
      <c r="AH3091" s="18"/>
      <c r="AI3091" s="18"/>
      <c r="AJ3091" s="18"/>
      <c r="AK3091" s="18"/>
    </row>
    <row r="3092" spans="1:44" ht="15.45" customHeight="1" x14ac:dyDescent="0.25">
      <c r="A3092" s="29" t="s">
        <v>2594</v>
      </c>
      <c r="C3092" s="37" t="s">
        <v>2568</v>
      </c>
      <c r="E3092" s="37" t="s">
        <v>2831</v>
      </c>
      <c r="F3092" s="24" t="s">
        <v>2110</v>
      </c>
      <c r="H3092" s="44" t="s">
        <v>4921</v>
      </c>
      <c r="I3092" s="117"/>
      <c r="N3092" s="37" t="s">
        <v>3110</v>
      </c>
      <c r="S3092" s="18" t="s">
        <v>2433</v>
      </c>
      <c r="T3092" s="18"/>
      <c r="U3092" s="22">
        <v>1</v>
      </c>
      <c r="V3092" s="22">
        <v>1</v>
      </c>
      <c r="W3092" s="73">
        <f t="shared" si="208"/>
        <v>28</v>
      </c>
      <c r="X3092" s="80">
        <f t="shared" si="213"/>
        <v>17161</v>
      </c>
      <c r="Y3092" s="82" t="s">
        <v>3589</v>
      </c>
      <c r="AB3092" s="177">
        <v>42855</v>
      </c>
      <c r="AC3092" s="84" t="s">
        <v>2885</v>
      </c>
      <c r="AF3092" s="18"/>
      <c r="AG3092" s="18"/>
      <c r="AH3092" s="18"/>
      <c r="AI3092" s="18"/>
      <c r="AJ3092" s="18"/>
      <c r="AK3092" s="18"/>
    </row>
    <row r="3093" spans="1:44" ht="15.45" customHeight="1" x14ac:dyDescent="0.25">
      <c r="A3093" s="31" t="s">
        <v>5333</v>
      </c>
      <c r="C3093" s="37" t="s">
        <v>2568</v>
      </c>
      <c r="E3093" s="37" t="s">
        <v>2831</v>
      </c>
      <c r="F3093" s="24" t="s">
        <v>2312</v>
      </c>
      <c r="H3093" s="44" t="s">
        <v>6406</v>
      </c>
      <c r="J3093" s="214" t="s">
        <v>5334</v>
      </c>
      <c r="N3093" s="37" t="s">
        <v>3109</v>
      </c>
      <c r="S3093" s="11" t="s">
        <v>2433</v>
      </c>
      <c r="T3093" s="11"/>
      <c r="U3093" s="22">
        <v>8</v>
      </c>
      <c r="V3093" s="22">
        <v>8</v>
      </c>
      <c r="W3093" s="73">
        <f t="shared" si="208"/>
        <v>36</v>
      </c>
      <c r="X3093" s="80">
        <f t="shared" si="213"/>
        <v>17169</v>
      </c>
      <c r="Y3093" s="82" t="s">
        <v>3584</v>
      </c>
      <c r="AB3093" s="177">
        <v>42856</v>
      </c>
      <c r="AC3093" s="84" t="s">
        <v>2885</v>
      </c>
      <c r="AF3093" s="11"/>
      <c r="AG3093" s="11"/>
      <c r="AH3093" s="11"/>
      <c r="AI3093" s="11"/>
      <c r="AJ3093" s="11"/>
      <c r="AK3093" s="11"/>
    </row>
    <row r="3094" spans="1:44" ht="15.45" customHeight="1" x14ac:dyDescent="0.25">
      <c r="A3094" s="31" t="s">
        <v>5273</v>
      </c>
      <c r="C3094" s="37" t="s">
        <v>2568</v>
      </c>
      <c r="E3094" s="37" t="s">
        <v>2927</v>
      </c>
      <c r="F3094" s="24" t="s">
        <v>2312</v>
      </c>
      <c r="H3094" s="44" t="s">
        <v>5274</v>
      </c>
      <c r="J3094" s="214" t="s">
        <v>3406</v>
      </c>
      <c r="N3094" s="37" t="s">
        <v>2826</v>
      </c>
      <c r="S3094" s="18" t="s">
        <v>3436</v>
      </c>
      <c r="T3094" s="11"/>
      <c r="U3094" s="22">
        <v>1</v>
      </c>
      <c r="V3094" s="22">
        <v>1</v>
      </c>
      <c r="W3094" s="73">
        <f t="shared" si="208"/>
        <v>37</v>
      </c>
      <c r="X3094" s="80">
        <f t="shared" si="213"/>
        <v>17170</v>
      </c>
      <c r="Y3094" s="82" t="s">
        <v>4114</v>
      </c>
      <c r="AB3094" s="177">
        <v>44310</v>
      </c>
      <c r="AC3094" s="84" t="s">
        <v>2885</v>
      </c>
      <c r="AF3094" s="11"/>
      <c r="AG3094" s="11"/>
      <c r="AH3094" s="11"/>
      <c r="AI3094" s="11"/>
      <c r="AJ3094" s="11"/>
      <c r="AK3094" s="11"/>
    </row>
    <row r="3095" spans="1:44" ht="15.45" customHeight="1" x14ac:dyDescent="0.25">
      <c r="A3095" s="31" t="s">
        <v>5273</v>
      </c>
      <c r="C3095" s="37" t="s">
        <v>2568</v>
      </c>
      <c r="E3095" s="37" t="s">
        <v>5301</v>
      </c>
      <c r="F3095" s="24" t="s">
        <v>4595</v>
      </c>
      <c r="H3095" s="44" t="s">
        <v>5274</v>
      </c>
      <c r="J3095" s="214" t="s">
        <v>3406</v>
      </c>
      <c r="N3095" s="37" t="s">
        <v>2826</v>
      </c>
      <c r="S3095" s="18" t="s">
        <v>3436</v>
      </c>
      <c r="T3095" s="11"/>
      <c r="U3095" s="22">
        <v>1</v>
      </c>
      <c r="V3095" s="22">
        <v>1</v>
      </c>
      <c r="W3095" s="73">
        <f t="shared" si="208"/>
        <v>38</v>
      </c>
      <c r="X3095" s="80">
        <f t="shared" si="213"/>
        <v>17171</v>
      </c>
      <c r="Y3095" s="82" t="s">
        <v>4114</v>
      </c>
      <c r="AB3095" s="177">
        <v>44310</v>
      </c>
      <c r="AC3095" s="84" t="s">
        <v>2885</v>
      </c>
      <c r="AF3095" s="11"/>
      <c r="AG3095" s="11"/>
      <c r="AH3095" s="11"/>
      <c r="AI3095" s="11"/>
      <c r="AJ3095" s="11"/>
      <c r="AK3095" s="11"/>
    </row>
    <row r="3096" spans="1:44" ht="15.45" customHeight="1" x14ac:dyDescent="0.25">
      <c r="A3096" s="45" t="s">
        <v>5773</v>
      </c>
      <c r="B3096" s="45"/>
      <c r="C3096" s="45"/>
      <c r="D3096" s="45"/>
      <c r="E3096" s="45"/>
      <c r="F3096" s="45"/>
      <c r="G3096" s="45"/>
      <c r="H3096" s="45"/>
      <c r="I3096" s="45"/>
      <c r="J3096" s="227"/>
      <c r="K3096" s="45"/>
      <c r="L3096" s="45"/>
      <c r="M3096" s="45"/>
      <c r="N3096" s="45"/>
      <c r="O3096" s="45"/>
      <c r="P3096" s="45"/>
      <c r="Q3096" s="45"/>
      <c r="R3096" s="45"/>
      <c r="S3096" s="45"/>
      <c r="T3096" s="45"/>
      <c r="U3096" s="45"/>
      <c r="V3096" s="45"/>
      <c r="W3096" s="45"/>
      <c r="X3096" s="45"/>
      <c r="Y3096" s="45"/>
      <c r="Z3096" s="45"/>
      <c r="AA3096" s="45"/>
      <c r="AB3096" s="45"/>
      <c r="AC3096" s="45"/>
      <c r="AD3096" s="45"/>
      <c r="AE3096" s="45"/>
      <c r="AF3096" s="45"/>
      <c r="AG3096" s="45"/>
      <c r="AH3096" s="45"/>
      <c r="AI3096" s="45"/>
      <c r="AJ3096" s="45"/>
      <c r="AK3096" s="45"/>
      <c r="AL3096" s="45"/>
      <c r="AM3096" s="45"/>
      <c r="AN3096" s="45"/>
      <c r="AO3096" s="45"/>
      <c r="AP3096" s="45"/>
      <c r="AQ3096" s="45"/>
      <c r="AR3096" s="45"/>
    </row>
    <row r="3097" spans="1:44" ht="17.55" customHeight="1" x14ac:dyDescent="0.25">
      <c r="A3097" s="29" t="s">
        <v>2674</v>
      </c>
      <c r="C3097" s="37" t="s">
        <v>5776</v>
      </c>
      <c r="E3097" s="37" t="s">
        <v>2831</v>
      </c>
      <c r="F3097" s="24" t="s">
        <v>2312</v>
      </c>
      <c r="H3097" s="44" t="s">
        <v>2675</v>
      </c>
      <c r="J3097" s="214" t="s">
        <v>5739</v>
      </c>
      <c r="N3097" s="37" t="s">
        <v>2907</v>
      </c>
      <c r="P3097" s="37" t="s">
        <v>1463</v>
      </c>
      <c r="Q3097" s="37" t="s">
        <v>3506</v>
      </c>
      <c r="S3097" s="11" t="s">
        <v>2433</v>
      </c>
      <c r="T3097" s="11"/>
      <c r="U3097" s="22">
        <v>1</v>
      </c>
      <c r="V3097" s="22">
        <v>1</v>
      </c>
      <c r="W3097" s="73">
        <v>1</v>
      </c>
      <c r="X3097" s="80">
        <f>V3097+X3095</f>
        <v>17172</v>
      </c>
      <c r="Y3097" s="82" t="s">
        <v>3591</v>
      </c>
      <c r="Z3097" s="24" t="s">
        <v>3580</v>
      </c>
      <c r="AB3097" s="177">
        <v>43040</v>
      </c>
      <c r="AC3097" s="84" t="s">
        <v>2885</v>
      </c>
      <c r="AF3097" s="11"/>
      <c r="AG3097" s="11"/>
      <c r="AH3097" s="11"/>
      <c r="AI3097" s="11"/>
      <c r="AJ3097" s="11"/>
      <c r="AK3097" s="11"/>
    </row>
    <row r="3098" spans="1:44" ht="17.55" customHeight="1" x14ac:dyDescent="0.25">
      <c r="A3098" s="29" t="s">
        <v>6794</v>
      </c>
      <c r="C3098" s="37" t="s">
        <v>5776</v>
      </c>
      <c r="E3098" s="37" t="s">
        <v>2831</v>
      </c>
      <c r="F3098" s="24" t="s">
        <v>2312</v>
      </c>
      <c r="H3098" s="44" t="s">
        <v>6795</v>
      </c>
      <c r="J3098" s="214" t="s">
        <v>5334</v>
      </c>
      <c r="N3098" s="37" t="s">
        <v>2907</v>
      </c>
      <c r="P3098" s="37" t="s">
        <v>1463</v>
      </c>
      <c r="Q3098" s="37" t="s">
        <v>3506</v>
      </c>
      <c r="S3098" s="11" t="s">
        <v>2433</v>
      </c>
      <c r="T3098" s="11"/>
      <c r="U3098" s="22">
        <v>1</v>
      </c>
      <c r="V3098" s="22">
        <v>4</v>
      </c>
      <c r="W3098" s="73">
        <f>W3097+V3098</f>
        <v>5</v>
      </c>
      <c r="X3098" s="80">
        <f>V3098+X3097</f>
        <v>17176</v>
      </c>
      <c r="Y3098" s="82" t="s">
        <v>2986</v>
      </c>
      <c r="AB3098" s="177">
        <v>44702</v>
      </c>
      <c r="AC3098" s="84" t="s">
        <v>2885</v>
      </c>
      <c r="AF3098" s="11"/>
      <c r="AG3098" s="11"/>
      <c r="AH3098" s="11"/>
      <c r="AI3098" s="11"/>
      <c r="AJ3098" s="11"/>
      <c r="AK3098" s="11"/>
    </row>
    <row r="3099" spans="1:44" ht="15.45" customHeight="1" x14ac:dyDescent="0.25">
      <c r="A3099" s="29" t="s">
        <v>2798</v>
      </c>
      <c r="C3099" s="37" t="s">
        <v>5776</v>
      </c>
      <c r="E3099" s="37" t="s">
        <v>2831</v>
      </c>
      <c r="F3099" s="24" t="s">
        <v>2312</v>
      </c>
      <c r="H3099" s="44" t="s">
        <v>2799</v>
      </c>
      <c r="I3099" s="117"/>
      <c r="N3099" s="37" t="s">
        <v>2826</v>
      </c>
      <c r="S3099" s="18" t="s">
        <v>2983</v>
      </c>
      <c r="T3099" s="18"/>
      <c r="U3099" s="22">
        <v>2</v>
      </c>
      <c r="V3099" s="22">
        <v>2</v>
      </c>
      <c r="W3099" s="73">
        <f>W3098+V3099</f>
        <v>7</v>
      </c>
      <c r="X3099" s="80">
        <f t="shared" ref="X3099:X3100" si="214">V3099+X3098</f>
        <v>17178</v>
      </c>
      <c r="Y3099" s="82" t="s">
        <v>3584</v>
      </c>
      <c r="AB3099" s="177">
        <v>43160</v>
      </c>
      <c r="AC3099" s="84" t="s">
        <v>2885</v>
      </c>
      <c r="AF3099" s="18"/>
      <c r="AG3099" s="18"/>
      <c r="AH3099" s="18"/>
      <c r="AI3099" s="18"/>
      <c r="AJ3099" s="18"/>
      <c r="AK3099" s="18"/>
    </row>
    <row r="3100" spans="1:44" ht="15.45" customHeight="1" x14ac:dyDescent="0.25">
      <c r="A3100" s="29" t="s">
        <v>2798</v>
      </c>
      <c r="C3100" s="37" t="s">
        <v>5776</v>
      </c>
      <c r="E3100" s="37" t="s">
        <v>2928</v>
      </c>
      <c r="F3100" s="24" t="s">
        <v>4707</v>
      </c>
      <c r="H3100" s="44" t="s">
        <v>2799</v>
      </c>
      <c r="I3100" s="117"/>
      <c r="N3100" s="37" t="s">
        <v>2826</v>
      </c>
      <c r="S3100" s="18" t="s">
        <v>2983</v>
      </c>
      <c r="T3100" s="18"/>
      <c r="U3100" s="22">
        <v>1</v>
      </c>
      <c r="V3100" s="22">
        <v>1</v>
      </c>
      <c r="W3100" s="73">
        <f>W3099+V3100</f>
        <v>8</v>
      </c>
      <c r="X3100" s="80">
        <f t="shared" si="214"/>
        <v>17179</v>
      </c>
      <c r="Y3100" s="82" t="s">
        <v>3584</v>
      </c>
      <c r="AB3100" s="177">
        <v>43160</v>
      </c>
      <c r="AC3100" s="84" t="s">
        <v>5308</v>
      </c>
      <c r="AF3100" s="18"/>
      <c r="AG3100" s="18"/>
      <c r="AH3100" s="18"/>
      <c r="AI3100" s="18"/>
      <c r="AJ3100" s="18"/>
      <c r="AK3100" s="18"/>
    </row>
    <row r="3101" spans="1:44" ht="17.55" customHeight="1" x14ac:dyDescent="0.25">
      <c r="A3101" s="29" t="s">
        <v>6036</v>
      </c>
      <c r="C3101" s="37" t="s">
        <v>5776</v>
      </c>
      <c r="E3101" s="37" t="s">
        <v>2927</v>
      </c>
      <c r="F3101" s="24" t="s">
        <v>2312</v>
      </c>
      <c r="H3101" s="44" t="s">
        <v>6037</v>
      </c>
      <c r="J3101" s="214" t="s">
        <v>6014</v>
      </c>
      <c r="S3101" s="18" t="s">
        <v>2983</v>
      </c>
      <c r="T3101" s="11"/>
      <c r="U3101" s="22">
        <v>1</v>
      </c>
      <c r="V3101" s="22">
        <v>1</v>
      </c>
      <c r="W3101" s="73">
        <f>W3100+V3101</f>
        <v>9</v>
      </c>
      <c r="X3101" s="80">
        <f>V3101+X3100</f>
        <v>17180</v>
      </c>
      <c r="Y3101" s="82" t="s">
        <v>3591</v>
      </c>
      <c r="Z3101" s="24" t="s">
        <v>2885</v>
      </c>
      <c r="AB3101" s="177">
        <v>44369</v>
      </c>
      <c r="AC3101" s="84" t="s">
        <v>5308</v>
      </c>
      <c r="AF3101" s="11"/>
      <c r="AG3101" s="11"/>
      <c r="AH3101" s="11"/>
      <c r="AI3101" s="11"/>
      <c r="AJ3101" s="11"/>
      <c r="AK3101" s="11"/>
    </row>
    <row r="3102" spans="1:44" ht="15.45" customHeight="1" x14ac:dyDescent="0.25">
      <c r="A3102" s="29" t="s">
        <v>4682</v>
      </c>
      <c r="C3102" s="37" t="s">
        <v>2568</v>
      </c>
      <c r="E3102" s="37" t="s">
        <v>2831</v>
      </c>
      <c r="F3102" s="24" t="s">
        <v>2312</v>
      </c>
      <c r="H3102" s="44" t="s">
        <v>4684</v>
      </c>
      <c r="I3102" s="117"/>
      <c r="J3102" s="214" t="s">
        <v>3406</v>
      </c>
      <c r="N3102" s="37" t="s">
        <v>4680</v>
      </c>
      <c r="O3102" s="37" t="s">
        <v>6553</v>
      </c>
      <c r="P3102" s="37" t="s">
        <v>4527</v>
      </c>
      <c r="Q3102" s="37" t="s">
        <v>3506</v>
      </c>
      <c r="S3102" s="18" t="s">
        <v>2980</v>
      </c>
      <c r="T3102" s="18" t="s">
        <v>4685</v>
      </c>
      <c r="U3102" s="22">
        <v>1</v>
      </c>
      <c r="V3102" s="22">
        <v>1</v>
      </c>
      <c r="W3102" s="73">
        <f t="shared" ref="W3102:W3104" si="215">W3101+V3102</f>
        <v>10</v>
      </c>
      <c r="X3102" s="80">
        <f t="shared" ref="X3102:X3104" si="216">V3102+X3101</f>
        <v>17181</v>
      </c>
      <c r="Y3102" s="82" t="s">
        <v>3583</v>
      </c>
      <c r="AB3102" s="177">
        <v>43559</v>
      </c>
      <c r="AC3102" s="84" t="s">
        <v>2885</v>
      </c>
      <c r="AF3102" s="18"/>
      <c r="AG3102" s="18"/>
      <c r="AH3102" s="18"/>
      <c r="AI3102" s="18"/>
      <c r="AJ3102" s="18"/>
      <c r="AK3102" s="18"/>
    </row>
    <row r="3103" spans="1:44" ht="15.45" customHeight="1" x14ac:dyDescent="0.25">
      <c r="A3103" s="29" t="s">
        <v>4683</v>
      </c>
      <c r="C3103" s="37" t="s">
        <v>2568</v>
      </c>
      <c r="E3103" s="37" t="s">
        <v>2831</v>
      </c>
      <c r="F3103" s="24" t="s">
        <v>2312</v>
      </c>
      <c r="H3103" s="44" t="s">
        <v>6555</v>
      </c>
      <c r="I3103" s="117"/>
      <c r="J3103" s="214" t="s">
        <v>3406</v>
      </c>
      <c r="N3103" s="37" t="s">
        <v>4680</v>
      </c>
      <c r="O3103" s="37" t="s">
        <v>6553</v>
      </c>
      <c r="P3103" s="37" t="s">
        <v>4527</v>
      </c>
      <c r="Q3103" s="37" t="s">
        <v>3506</v>
      </c>
      <c r="S3103" s="18" t="s">
        <v>2980</v>
      </c>
      <c r="T3103" s="18" t="s">
        <v>4686</v>
      </c>
      <c r="U3103" s="22">
        <v>1</v>
      </c>
      <c r="V3103" s="22">
        <v>1</v>
      </c>
      <c r="W3103" s="73">
        <f t="shared" si="215"/>
        <v>11</v>
      </c>
      <c r="X3103" s="80">
        <f t="shared" si="216"/>
        <v>17182</v>
      </c>
      <c r="Y3103" s="82" t="s">
        <v>3583</v>
      </c>
      <c r="AB3103" s="177">
        <v>43559</v>
      </c>
      <c r="AC3103" s="84" t="s">
        <v>2885</v>
      </c>
      <c r="AF3103" s="18"/>
      <c r="AG3103" s="18"/>
      <c r="AH3103" s="18"/>
      <c r="AI3103" s="18"/>
      <c r="AJ3103" s="18"/>
      <c r="AK3103" s="18"/>
    </row>
    <row r="3104" spans="1:44" ht="15.45" customHeight="1" x14ac:dyDescent="0.25">
      <c r="A3104" s="29" t="s">
        <v>6552</v>
      </c>
      <c r="C3104" s="37" t="s">
        <v>2568</v>
      </c>
      <c r="E3104" s="37" t="s">
        <v>2831</v>
      </c>
      <c r="F3104" s="24" t="s">
        <v>2312</v>
      </c>
      <c r="H3104" s="44" t="s">
        <v>6554</v>
      </c>
      <c r="I3104" s="117"/>
      <c r="J3104" s="214" t="s">
        <v>5673</v>
      </c>
      <c r="N3104" s="37" t="s">
        <v>4680</v>
      </c>
      <c r="O3104" s="37" t="s">
        <v>6553</v>
      </c>
      <c r="P3104" s="37" t="s">
        <v>4527</v>
      </c>
      <c r="Q3104" s="37" t="s">
        <v>3506</v>
      </c>
      <c r="S3104" s="18" t="s">
        <v>3412</v>
      </c>
      <c r="T3104" s="18"/>
      <c r="U3104" s="22">
        <v>1</v>
      </c>
      <c r="V3104" s="22">
        <v>1</v>
      </c>
      <c r="W3104" s="73">
        <f t="shared" si="215"/>
        <v>12</v>
      </c>
      <c r="X3104" s="80">
        <f t="shared" si="216"/>
        <v>17183</v>
      </c>
      <c r="Y3104" s="82" t="s">
        <v>3591</v>
      </c>
      <c r="Z3104" s="24" t="s">
        <v>2885</v>
      </c>
      <c r="AB3104" s="177">
        <v>44634</v>
      </c>
      <c r="AC3104" s="84" t="s">
        <v>2885</v>
      </c>
      <c r="AF3104" s="18"/>
      <c r="AG3104" s="18"/>
      <c r="AH3104" s="18"/>
      <c r="AI3104" s="18"/>
      <c r="AJ3104" s="18"/>
      <c r="AK3104" s="18"/>
    </row>
    <row r="3105" spans="1:37" ht="17.55" customHeight="1" x14ac:dyDescent="0.25">
      <c r="A3105" s="29"/>
      <c r="H3105" s="44"/>
      <c r="S3105" s="11"/>
      <c r="T3105" s="11"/>
      <c r="U3105" s="22"/>
      <c r="V3105" s="22"/>
      <c r="X3105" s="80"/>
      <c r="AF3105" s="11"/>
      <c r="AG3105" s="11"/>
      <c r="AH3105" s="11"/>
      <c r="AI3105" s="11"/>
      <c r="AJ3105" s="11"/>
      <c r="AK3105" s="11"/>
    </row>
    <row r="3106" spans="1:37" s="69" customFormat="1" ht="15.45" customHeight="1" x14ac:dyDescent="0.25">
      <c r="A3106" s="45" t="s">
        <v>4977</v>
      </c>
      <c r="B3106" s="90"/>
      <c r="C3106" s="49"/>
      <c r="D3106" s="49"/>
      <c r="E3106" s="49"/>
      <c r="F3106" s="50"/>
      <c r="G3106" s="50"/>
      <c r="H3106" s="46" t="s">
        <v>6404</v>
      </c>
      <c r="I3106" s="109"/>
      <c r="J3106" s="213"/>
      <c r="K3106" s="129"/>
      <c r="L3106" s="101"/>
      <c r="M3106" s="101"/>
      <c r="N3106" s="49"/>
      <c r="O3106" s="49"/>
      <c r="P3106" s="49"/>
      <c r="Q3106" s="49"/>
      <c r="R3106" s="49"/>
      <c r="S3106" s="47"/>
      <c r="T3106" s="47"/>
      <c r="U3106" s="48"/>
      <c r="V3106" s="48"/>
      <c r="W3106" s="74"/>
      <c r="X3106" s="81"/>
      <c r="Y3106" s="92"/>
      <c r="Z3106" s="90"/>
      <c r="AA3106" s="188"/>
      <c r="AB3106" s="188"/>
      <c r="AC3106" s="91"/>
      <c r="AD3106" s="91"/>
      <c r="AE3106" s="90"/>
      <c r="AF3106" s="47"/>
      <c r="AG3106" s="47"/>
      <c r="AH3106" s="47"/>
      <c r="AI3106" s="47"/>
      <c r="AJ3106" s="47"/>
      <c r="AK3106" s="47"/>
    </row>
    <row r="3107" spans="1:37" s="8" customFormat="1" ht="15.45" customHeight="1" x14ac:dyDescent="0.25">
      <c r="A3107" s="29" t="s">
        <v>4727</v>
      </c>
      <c r="B3107" s="9"/>
      <c r="C3107" s="37" t="s">
        <v>2115</v>
      </c>
      <c r="D3107" s="37"/>
      <c r="E3107" s="37" t="s">
        <v>2925</v>
      </c>
      <c r="F3107" s="24" t="s">
        <v>4702</v>
      </c>
      <c r="G3107" s="24"/>
      <c r="H3107" s="38" t="s">
        <v>6405</v>
      </c>
      <c r="I3107" s="111"/>
      <c r="J3107" s="220" t="s">
        <v>3669</v>
      </c>
      <c r="K3107" s="130" t="s">
        <v>4703</v>
      </c>
      <c r="L3107" s="106"/>
      <c r="M3107" s="106"/>
      <c r="N3107" s="37"/>
      <c r="O3107" s="37"/>
      <c r="P3107" s="37"/>
      <c r="Q3107" s="37"/>
      <c r="R3107" s="37"/>
      <c r="S3107" s="10" t="s">
        <v>3412</v>
      </c>
      <c r="T3107" s="10"/>
      <c r="U3107" s="22">
        <v>2</v>
      </c>
      <c r="V3107" s="22">
        <v>2</v>
      </c>
      <c r="W3107" s="73">
        <v>2</v>
      </c>
      <c r="X3107" s="80">
        <f>V3107+X3104</f>
        <v>17185</v>
      </c>
      <c r="Y3107" s="82" t="s">
        <v>3584</v>
      </c>
      <c r="Z3107" s="9"/>
      <c r="AA3107" s="178"/>
      <c r="AB3107" s="178">
        <v>43567</v>
      </c>
      <c r="AC3107" s="84" t="s">
        <v>2885</v>
      </c>
      <c r="AD3107" s="84"/>
      <c r="AE3107" s="9"/>
      <c r="AF3107" s="10"/>
      <c r="AG3107" s="10"/>
      <c r="AH3107" s="10"/>
      <c r="AI3107" s="10"/>
      <c r="AJ3107" s="10"/>
      <c r="AK3107" s="10"/>
    </row>
    <row r="3108" spans="1:37" s="8" customFormat="1" ht="15.45" customHeight="1" x14ac:dyDescent="0.25">
      <c r="A3108" s="29" t="s">
        <v>4727</v>
      </c>
      <c r="B3108" s="9"/>
      <c r="C3108" s="37" t="s">
        <v>2115</v>
      </c>
      <c r="D3108" s="37"/>
      <c r="E3108" s="37" t="s">
        <v>2925</v>
      </c>
      <c r="F3108" s="24" t="s">
        <v>4704</v>
      </c>
      <c r="G3108" s="24"/>
      <c r="H3108" s="38"/>
      <c r="I3108" s="111"/>
      <c r="J3108" s="220" t="s">
        <v>3669</v>
      </c>
      <c r="K3108" s="130" t="s">
        <v>4703</v>
      </c>
      <c r="L3108" s="106"/>
      <c r="M3108" s="106"/>
      <c r="N3108" s="37"/>
      <c r="O3108" s="37"/>
      <c r="P3108" s="37"/>
      <c r="Q3108" s="37"/>
      <c r="R3108" s="37"/>
      <c r="S3108" s="10" t="s">
        <v>3412</v>
      </c>
      <c r="T3108" s="10"/>
      <c r="U3108" s="22">
        <v>7</v>
      </c>
      <c r="V3108" s="22">
        <v>7</v>
      </c>
      <c r="W3108" s="73">
        <f>W3107+V3108</f>
        <v>9</v>
      </c>
      <c r="X3108" s="80">
        <f>V3108+X3107</f>
        <v>17192</v>
      </c>
      <c r="Y3108" s="82" t="s">
        <v>3584</v>
      </c>
      <c r="Z3108" s="9"/>
      <c r="AA3108" s="178"/>
      <c r="AB3108" s="178">
        <v>43567</v>
      </c>
      <c r="AC3108" s="84" t="s">
        <v>2885</v>
      </c>
      <c r="AD3108" s="84"/>
      <c r="AE3108" s="9"/>
      <c r="AF3108" s="10"/>
      <c r="AG3108" s="10"/>
      <c r="AH3108" s="10"/>
      <c r="AI3108" s="10"/>
      <c r="AJ3108" s="10"/>
      <c r="AK3108" s="10"/>
    </row>
    <row r="3109" spans="1:37" s="8" customFormat="1" ht="15.45" customHeight="1" x14ac:dyDescent="0.25">
      <c r="A3109" s="29" t="s">
        <v>4727</v>
      </c>
      <c r="B3109" s="9"/>
      <c r="C3109" s="37" t="s">
        <v>2115</v>
      </c>
      <c r="D3109" s="37"/>
      <c r="E3109" s="37" t="s">
        <v>2926</v>
      </c>
      <c r="F3109" s="24" t="s">
        <v>4722</v>
      </c>
      <c r="G3109" s="24"/>
      <c r="H3109" s="38"/>
      <c r="I3109" s="111"/>
      <c r="J3109" s="220" t="s">
        <v>3669</v>
      </c>
      <c r="K3109" s="130" t="s">
        <v>4703</v>
      </c>
      <c r="L3109" s="106"/>
      <c r="M3109" s="106"/>
      <c r="N3109" s="37"/>
      <c r="O3109" s="37"/>
      <c r="P3109" s="37"/>
      <c r="Q3109" s="37"/>
      <c r="R3109" s="37"/>
      <c r="S3109" s="10" t="s">
        <v>3412</v>
      </c>
      <c r="T3109" s="10"/>
      <c r="U3109" s="22">
        <v>2</v>
      </c>
      <c r="V3109" s="22">
        <v>2</v>
      </c>
      <c r="W3109" s="73">
        <f t="shared" ref="W3109:W3141" si="217">W3108+V3109</f>
        <v>11</v>
      </c>
      <c r="X3109" s="80">
        <f t="shared" ref="X3109:X3184" si="218">V3109+X3108</f>
        <v>17194</v>
      </c>
      <c r="Y3109" s="82" t="s">
        <v>3584</v>
      </c>
      <c r="Z3109" s="9"/>
      <c r="AA3109" s="178"/>
      <c r="AB3109" s="178">
        <v>43567</v>
      </c>
      <c r="AC3109" s="84" t="s">
        <v>2885</v>
      </c>
      <c r="AD3109" s="84"/>
      <c r="AE3109" s="9"/>
      <c r="AF3109" s="10"/>
      <c r="AG3109" s="10"/>
      <c r="AH3109" s="10"/>
      <c r="AI3109" s="10"/>
      <c r="AJ3109" s="10"/>
      <c r="AK3109" s="10"/>
    </row>
    <row r="3110" spans="1:37" s="8" customFormat="1" ht="15.45" customHeight="1" x14ac:dyDescent="0.25">
      <c r="A3110" s="29" t="s">
        <v>4727</v>
      </c>
      <c r="B3110" s="9"/>
      <c r="C3110" s="37" t="s">
        <v>2115</v>
      </c>
      <c r="D3110" s="37"/>
      <c r="E3110" s="37" t="s">
        <v>2926</v>
      </c>
      <c r="F3110" s="24" t="s">
        <v>4702</v>
      </c>
      <c r="G3110" s="24"/>
      <c r="H3110" s="38"/>
      <c r="I3110" s="111"/>
      <c r="J3110" s="220" t="s">
        <v>3669</v>
      </c>
      <c r="K3110" s="130" t="s">
        <v>4703</v>
      </c>
      <c r="L3110" s="106"/>
      <c r="M3110" s="106"/>
      <c r="N3110" s="37"/>
      <c r="O3110" s="37"/>
      <c r="P3110" s="37"/>
      <c r="Q3110" s="37"/>
      <c r="R3110" s="37"/>
      <c r="S3110" s="10" t="s">
        <v>3412</v>
      </c>
      <c r="T3110" s="10"/>
      <c r="U3110" s="22">
        <v>6</v>
      </c>
      <c r="V3110" s="22">
        <v>6</v>
      </c>
      <c r="W3110" s="73">
        <f t="shared" si="217"/>
        <v>17</v>
      </c>
      <c r="X3110" s="80">
        <f t="shared" si="218"/>
        <v>17200</v>
      </c>
      <c r="Y3110" s="82" t="s">
        <v>3584</v>
      </c>
      <c r="Z3110" s="9"/>
      <c r="AA3110" s="178"/>
      <c r="AB3110" s="178">
        <v>43567</v>
      </c>
      <c r="AC3110" s="84" t="s">
        <v>2885</v>
      </c>
      <c r="AD3110" s="84"/>
      <c r="AE3110" s="9"/>
      <c r="AF3110" s="10"/>
      <c r="AG3110" s="10"/>
      <c r="AH3110" s="10"/>
      <c r="AI3110" s="10"/>
      <c r="AJ3110" s="10"/>
      <c r="AK3110" s="10"/>
    </row>
    <row r="3111" spans="1:37" s="8" customFormat="1" ht="15.45" customHeight="1" x14ac:dyDescent="0.25">
      <c r="A3111" s="29" t="s">
        <v>4727</v>
      </c>
      <c r="B3111" s="9"/>
      <c r="C3111" s="37" t="s">
        <v>2115</v>
      </c>
      <c r="D3111" s="37"/>
      <c r="E3111" s="37" t="s">
        <v>2926</v>
      </c>
      <c r="F3111" s="24" t="s">
        <v>4704</v>
      </c>
      <c r="G3111" s="24"/>
      <c r="H3111" s="38"/>
      <c r="I3111" s="111"/>
      <c r="J3111" s="220" t="s">
        <v>3669</v>
      </c>
      <c r="K3111" s="130" t="s">
        <v>4703</v>
      </c>
      <c r="L3111" s="106"/>
      <c r="M3111" s="106"/>
      <c r="N3111" s="37"/>
      <c r="O3111" s="37"/>
      <c r="P3111" s="37"/>
      <c r="Q3111" s="37"/>
      <c r="R3111" s="37"/>
      <c r="S3111" s="10" t="s">
        <v>3412</v>
      </c>
      <c r="T3111" s="10"/>
      <c r="U3111" s="22">
        <v>3</v>
      </c>
      <c r="V3111" s="22">
        <v>3</v>
      </c>
      <c r="W3111" s="73">
        <f t="shared" si="217"/>
        <v>20</v>
      </c>
      <c r="X3111" s="80">
        <f t="shared" si="218"/>
        <v>17203</v>
      </c>
      <c r="Y3111" s="82" t="s">
        <v>3584</v>
      </c>
      <c r="Z3111" s="9"/>
      <c r="AA3111" s="178"/>
      <c r="AB3111" s="178">
        <v>43567</v>
      </c>
      <c r="AC3111" s="84" t="s">
        <v>2885</v>
      </c>
      <c r="AD3111" s="84"/>
      <c r="AE3111" s="9"/>
      <c r="AF3111" s="10"/>
      <c r="AG3111" s="10"/>
      <c r="AH3111" s="10"/>
      <c r="AI3111" s="10"/>
      <c r="AJ3111" s="10"/>
      <c r="AK3111" s="10"/>
    </row>
    <row r="3112" spans="1:37" s="8" customFormat="1" ht="15.45" customHeight="1" x14ac:dyDescent="0.25">
      <c r="A3112" s="29" t="s">
        <v>4727</v>
      </c>
      <c r="B3112" s="9"/>
      <c r="C3112" s="37" t="s">
        <v>2115</v>
      </c>
      <c r="D3112" s="37"/>
      <c r="E3112" s="37" t="s">
        <v>2926</v>
      </c>
      <c r="F3112" s="24" t="s">
        <v>4705</v>
      </c>
      <c r="G3112" s="24"/>
      <c r="H3112" s="38"/>
      <c r="I3112" s="111"/>
      <c r="J3112" s="220" t="s">
        <v>3669</v>
      </c>
      <c r="K3112" s="130" t="s">
        <v>4703</v>
      </c>
      <c r="L3112" s="106"/>
      <c r="M3112" s="106"/>
      <c r="N3112" s="37"/>
      <c r="O3112" s="37"/>
      <c r="P3112" s="37"/>
      <c r="Q3112" s="37"/>
      <c r="R3112" s="37"/>
      <c r="S3112" s="10" t="s">
        <v>3412</v>
      </c>
      <c r="T3112" s="10"/>
      <c r="U3112" s="22">
        <v>6</v>
      </c>
      <c r="V3112" s="22">
        <v>6</v>
      </c>
      <c r="W3112" s="73">
        <f t="shared" si="217"/>
        <v>26</v>
      </c>
      <c r="X3112" s="80">
        <f t="shared" si="218"/>
        <v>17209</v>
      </c>
      <c r="Y3112" s="82" t="s">
        <v>3584</v>
      </c>
      <c r="Z3112" s="9"/>
      <c r="AA3112" s="178"/>
      <c r="AB3112" s="178">
        <v>43567</v>
      </c>
      <c r="AC3112" s="84" t="s">
        <v>2885</v>
      </c>
      <c r="AD3112" s="84"/>
      <c r="AE3112" s="9"/>
      <c r="AF3112" s="10"/>
      <c r="AG3112" s="10"/>
      <c r="AH3112" s="10"/>
      <c r="AI3112" s="10"/>
      <c r="AJ3112" s="10"/>
      <c r="AK3112" s="10"/>
    </row>
    <row r="3113" spans="1:37" s="8" customFormat="1" ht="15.45" customHeight="1" x14ac:dyDescent="0.25">
      <c r="A3113" s="29" t="s">
        <v>4727</v>
      </c>
      <c r="B3113" s="9"/>
      <c r="C3113" s="37" t="s">
        <v>2115</v>
      </c>
      <c r="D3113" s="37"/>
      <c r="E3113" s="37" t="s">
        <v>2926</v>
      </c>
      <c r="F3113" s="24" t="s">
        <v>4706</v>
      </c>
      <c r="G3113" s="24"/>
      <c r="H3113" s="38"/>
      <c r="I3113" s="111"/>
      <c r="J3113" s="220" t="s">
        <v>3669</v>
      </c>
      <c r="K3113" s="130" t="s">
        <v>4703</v>
      </c>
      <c r="L3113" s="106"/>
      <c r="M3113" s="106"/>
      <c r="N3113" s="37"/>
      <c r="O3113" s="37"/>
      <c r="P3113" s="37"/>
      <c r="Q3113" s="37"/>
      <c r="R3113" s="37"/>
      <c r="S3113" s="10" t="s">
        <v>3412</v>
      </c>
      <c r="T3113" s="10"/>
      <c r="U3113" s="22">
        <v>6</v>
      </c>
      <c r="V3113" s="22">
        <v>6</v>
      </c>
      <c r="W3113" s="73">
        <f t="shared" si="217"/>
        <v>32</v>
      </c>
      <c r="X3113" s="80">
        <f t="shared" si="218"/>
        <v>17215</v>
      </c>
      <c r="Y3113" s="82" t="s">
        <v>3584</v>
      </c>
      <c r="Z3113" s="9"/>
      <c r="AA3113" s="178"/>
      <c r="AB3113" s="178">
        <v>43567</v>
      </c>
      <c r="AC3113" s="84" t="s">
        <v>2885</v>
      </c>
      <c r="AD3113" s="84"/>
      <c r="AE3113" s="9"/>
      <c r="AF3113" s="10"/>
      <c r="AG3113" s="10"/>
      <c r="AH3113" s="10"/>
      <c r="AI3113" s="10"/>
      <c r="AJ3113" s="10"/>
      <c r="AK3113" s="10"/>
    </row>
    <row r="3114" spans="1:37" s="8" customFormat="1" ht="15.45" customHeight="1" x14ac:dyDescent="0.25">
      <c r="A3114" s="29" t="s">
        <v>4727</v>
      </c>
      <c r="B3114" s="9"/>
      <c r="C3114" s="37" t="s">
        <v>2115</v>
      </c>
      <c r="D3114" s="37"/>
      <c r="E3114" s="37" t="s">
        <v>2926</v>
      </c>
      <c r="F3114" s="24" t="s">
        <v>4707</v>
      </c>
      <c r="G3114" s="24"/>
      <c r="H3114" s="38"/>
      <c r="I3114" s="111"/>
      <c r="J3114" s="220" t="s">
        <v>3669</v>
      </c>
      <c r="K3114" s="130" t="s">
        <v>4703</v>
      </c>
      <c r="L3114" s="106"/>
      <c r="M3114" s="106"/>
      <c r="N3114" s="37"/>
      <c r="O3114" s="37"/>
      <c r="P3114" s="37"/>
      <c r="Q3114" s="37"/>
      <c r="R3114" s="37"/>
      <c r="S3114" s="10" t="s">
        <v>3412</v>
      </c>
      <c r="T3114" s="10"/>
      <c r="U3114" s="22">
        <v>5</v>
      </c>
      <c r="V3114" s="22">
        <v>5</v>
      </c>
      <c r="W3114" s="73">
        <f t="shared" si="217"/>
        <v>37</v>
      </c>
      <c r="X3114" s="80">
        <f t="shared" si="218"/>
        <v>17220</v>
      </c>
      <c r="Y3114" s="82" t="s">
        <v>3584</v>
      </c>
      <c r="Z3114" s="9"/>
      <c r="AA3114" s="178"/>
      <c r="AB3114" s="178">
        <v>43567</v>
      </c>
      <c r="AC3114" s="84" t="s">
        <v>2885</v>
      </c>
      <c r="AD3114" s="84"/>
      <c r="AE3114" s="9"/>
      <c r="AF3114" s="10"/>
      <c r="AG3114" s="10"/>
      <c r="AH3114" s="10"/>
      <c r="AI3114" s="10"/>
      <c r="AJ3114" s="10"/>
      <c r="AK3114" s="10"/>
    </row>
    <row r="3115" spans="1:37" s="8" customFormat="1" ht="15.45" customHeight="1" x14ac:dyDescent="0.25">
      <c r="A3115" s="29" t="s">
        <v>4727</v>
      </c>
      <c r="B3115" s="9"/>
      <c r="C3115" s="37" t="s">
        <v>2115</v>
      </c>
      <c r="D3115" s="37"/>
      <c r="E3115" s="37" t="s">
        <v>2926</v>
      </c>
      <c r="F3115" s="24" t="s">
        <v>4782</v>
      </c>
      <c r="G3115" s="24"/>
      <c r="H3115" s="38"/>
      <c r="I3115" s="111"/>
      <c r="J3115" s="220" t="s">
        <v>3669</v>
      </c>
      <c r="K3115" s="130" t="s">
        <v>4703</v>
      </c>
      <c r="L3115" s="106"/>
      <c r="M3115" s="106"/>
      <c r="N3115" s="37"/>
      <c r="O3115" s="37"/>
      <c r="P3115" s="37"/>
      <c r="Q3115" s="37"/>
      <c r="R3115" s="37"/>
      <c r="S3115" s="10" t="s">
        <v>3412</v>
      </c>
      <c r="T3115" s="10"/>
      <c r="U3115" s="22">
        <v>5</v>
      </c>
      <c r="V3115" s="22">
        <v>5</v>
      </c>
      <c r="W3115" s="73">
        <f t="shared" si="217"/>
        <v>42</v>
      </c>
      <c r="X3115" s="80">
        <f t="shared" si="218"/>
        <v>17225</v>
      </c>
      <c r="Y3115" s="82" t="s">
        <v>3584</v>
      </c>
      <c r="Z3115" s="9"/>
      <c r="AA3115" s="178"/>
      <c r="AB3115" s="178">
        <v>43567</v>
      </c>
      <c r="AC3115" s="84" t="s">
        <v>2885</v>
      </c>
      <c r="AD3115" s="84"/>
      <c r="AE3115" s="9"/>
      <c r="AF3115" s="10"/>
      <c r="AG3115" s="10"/>
      <c r="AH3115" s="10"/>
      <c r="AI3115" s="10"/>
      <c r="AJ3115" s="10"/>
      <c r="AK3115" s="10"/>
    </row>
    <row r="3116" spans="1:37" s="8" customFormat="1" ht="15.45" customHeight="1" x14ac:dyDescent="0.25">
      <c r="A3116" s="29" t="s">
        <v>4727</v>
      </c>
      <c r="B3116" s="9"/>
      <c r="C3116" s="37" t="s">
        <v>2115</v>
      </c>
      <c r="D3116" s="37"/>
      <c r="E3116" s="37" t="s">
        <v>2926</v>
      </c>
      <c r="F3116" s="24" t="s">
        <v>4708</v>
      </c>
      <c r="G3116" s="24"/>
      <c r="H3116" s="38"/>
      <c r="I3116" s="111"/>
      <c r="J3116" s="220" t="s">
        <v>3669</v>
      </c>
      <c r="K3116" s="130" t="s">
        <v>4703</v>
      </c>
      <c r="L3116" s="106"/>
      <c r="M3116" s="106"/>
      <c r="N3116" s="37"/>
      <c r="O3116" s="37"/>
      <c r="P3116" s="37"/>
      <c r="Q3116" s="37"/>
      <c r="R3116" s="37"/>
      <c r="S3116" s="10" t="s">
        <v>3412</v>
      </c>
      <c r="T3116" s="10"/>
      <c r="U3116" s="22">
        <v>9</v>
      </c>
      <c r="V3116" s="22">
        <v>9</v>
      </c>
      <c r="W3116" s="73">
        <f t="shared" si="217"/>
        <v>51</v>
      </c>
      <c r="X3116" s="80">
        <f t="shared" si="218"/>
        <v>17234</v>
      </c>
      <c r="Y3116" s="82" t="s">
        <v>3584</v>
      </c>
      <c r="Z3116" s="9"/>
      <c r="AA3116" s="178"/>
      <c r="AB3116" s="178">
        <v>43567</v>
      </c>
      <c r="AC3116" s="84" t="s">
        <v>2885</v>
      </c>
      <c r="AD3116" s="84"/>
      <c r="AE3116" s="9"/>
      <c r="AF3116" s="10"/>
      <c r="AG3116" s="10"/>
      <c r="AH3116" s="10"/>
      <c r="AI3116" s="10"/>
      <c r="AJ3116" s="10"/>
      <c r="AK3116" s="10"/>
    </row>
    <row r="3117" spans="1:37" s="8" customFormat="1" ht="15.45" customHeight="1" x14ac:dyDescent="0.25">
      <c r="A3117" s="29" t="s">
        <v>4727</v>
      </c>
      <c r="B3117" s="9"/>
      <c r="C3117" s="37" t="s">
        <v>2115</v>
      </c>
      <c r="D3117" s="37"/>
      <c r="E3117" s="37" t="s">
        <v>2926</v>
      </c>
      <c r="F3117" s="24" t="s">
        <v>4709</v>
      </c>
      <c r="G3117" s="24"/>
      <c r="H3117" s="38"/>
      <c r="I3117" s="111"/>
      <c r="J3117" s="220" t="s">
        <v>3669</v>
      </c>
      <c r="K3117" s="130" t="s">
        <v>4703</v>
      </c>
      <c r="L3117" s="106"/>
      <c r="M3117" s="106"/>
      <c r="N3117" s="37"/>
      <c r="O3117" s="37"/>
      <c r="P3117" s="37"/>
      <c r="Q3117" s="37"/>
      <c r="R3117" s="37"/>
      <c r="S3117" s="10" t="s">
        <v>3412</v>
      </c>
      <c r="T3117" s="10"/>
      <c r="U3117" s="22">
        <v>10</v>
      </c>
      <c r="V3117" s="22">
        <v>10</v>
      </c>
      <c r="W3117" s="73">
        <f t="shared" si="217"/>
        <v>61</v>
      </c>
      <c r="X3117" s="80">
        <f t="shared" si="218"/>
        <v>17244</v>
      </c>
      <c r="Y3117" s="82" t="s">
        <v>3584</v>
      </c>
      <c r="Z3117" s="9"/>
      <c r="AA3117" s="178"/>
      <c r="AB3117" s="178">
        <v>43567</v>
      </c>
      <c r="AC3117" s="84" t="s">
        <v>2885</v>
      </c>
      <c r="AD3117" s="84"/>
      <c r="AE3117" s="9"/>
      <c r="AF3117" s="10"/>
      <c r="AG3117" s="10"/>
      <c r="AH3117" s="10"/>
      <c r="AI3117" s="10"/>
      <c r="AJ3117" s="10"/>
      <c r="AK3117" s="10"/>
    </row>
    <row r="3118" spans="1:37" s="8" customFormat="1" ht="15.45" customHeight="1" x14ac:dyDescent="0.25">
      <c r="A3118" s="29" t="s">
        <v>4727</v>
      </c>
      <c r="B3118" s="9"/>
      <c r="C3118" s="37" t="s">
        <v>2115</v>
      </c>
      <c r="D3118" s="37"/>
      <c r="E3118" s="37" t="s">
        <v>2926</v>
      </c>
      <c r="F3118" s="24" t="s">
        <v>4710</v>
      </c>
      <c r="G3118" s="24"/>
      <c r="H3118" s="38"/>
      <c r="I3118" s="111"/>
      <c r="J3118" s="220" t="s">
        <v>3669</v>
      </c>
      <c r="K3118" s="130" t="s">
        <v>4703</v>
      </c>
      <c r="L3118" s="106"/>
      <c r="M3118" s="106"/>
      <c r="N3118" s="37"/>
      <c r="O3118" s="37"/>
      <c r="P3118" s="37"/>
      <c r="Q3118" s="37"/>
      <c r="R3118" s="37"/>
      <c r="S3118" s="10" t="s">
        <v>3412</v>
      </c>
      <c r="T3118" s="10"/>
      <c r="U3118" s="22">
        <v>5</v>
      </c>
      <c r="V3118" s="22">
        <v>5</v>
      </c>
      <c r="W3118" s="73">
        <f t="shared" si="217"/>
        <v>66</v>
      </c>
      <c r="X3118" s="80">
        <f t="shared" si="218"/>
        <v>17249</v>
      </c>
      <c r="Y3118" s="82" t="s">
        <v>3584</v>
      </c>
      <c r="Z3118" s="9"/>
      <c r="AA3118" s="178"/>
      <c r="AB3118" s="178">
        <v>43567</v>
      </c>
      <c r="AC3118" s="84" t="s">
        <v>2885</v>
      </c>
      <c r="AD3118" s="84"/>
      <c r="AE3118" s="9"/>
      <c r="AF3118" s="10"/>
      <c r="AG3118" s="10"/>
      <c r="AH3118" s="10"/>
      <c r="AI3118" s="10"/>
      <c r="AJ3118" s="10"/>
      <c r="AK3118" s="10"/>
    </row>
    <row r="3119" spans="1:37" s="8" customFormat="1" ht="15.45" customHeight="1" x14ac:dyDescent="0.25">
      <c r="A3119" s="29" t="s">
        <v>4727</v>
      </c>
      <c r="B3119" s="9"/>
      <c r="C3119" s="37" t="s">
        <v>2115</v>
      </c>
      <c r="D3119" s="37"/>
      <c r="E3119" s="37" t="s">
        <v>2926</v>
      </c>
      <c r="F3119" s="24" t="s">
        <v>4711</v>
      </c>
      <c r="G3119" s="24"/>
      <c r="H3119" s="38"/>
      <c r="I3119" s="111"/>
      <c r="J3119" s="220" t="s">
        <v>3669</v>
      </c>
      <c r="K3119" s="130" t="s">
        <v>4703</v>
      </c>
      <c r="L3119" s="106"/>
      <c r="M3119" s="106"/>
      <c r="N3119" s="37"/>
      <c r="O3119" s="37"/>
      <c r="P3119" s="37"/>
      <c r="Q3119" s="37"/>
      <c r="R3119" s="37"/>
      <c r="S3119" s="10" t="s">
        <v>3412</v>
      </c>
      <c r="T3119" s="10"/>
      <c r="U3119" s="22">
        <v>0</v>
      </c>
      <c r="V3119" s="22">
        <v>0</v>
      </c>
      <c r="W3119" s="73">
        <f t="shared" si="217"/>
        <v>66</v>
      </c>
      <c r="X3119" s="80">
        <f t="shared" si="218"/>
        <v>17249</v>
      </c>
      <c r="Y3119" s="82" t="s">
        <v>3584</v>
      </c>
      <c r="Z3119" s="9"/>
      <c r="AA3119" s="178"/>
      <c r="AB3119" s="178">
        <v>43567</v>
      </c>
      <c r="AC3119" s="84" t="s">
        <v>2885</v>
      </c>
      <c r="AD3119" s="84"/>
      <c r="AE3119" s="9"/>
      <c r="AF3119" s="10"/>
      <c r="AG3119" s="10"/>
      <c r="AH3119" s="10"/>
      <c r="AI3119" s="10"/>
      <c r="AJ3119" s="10"/>
      <c r="AK3119" s="10"/>
    </row>
    <row r="3120" spans="1:37" s="8" customFormat="1" ht="15.45" customHeight="1" x14ac:dyDescent="0.25">
      <c r="A3120" s="29" t="s">
        <v>4727</v>
      </c>
      <c r="B3120" s="9"/>
      <c r="C3120" s="37" t="s">
        <v>2115</v>
      </c>
      <c r="D3120" s="37"/>
      <c r="E3120" s="37" t="s">
        <v>2926</v>
      </c>
      <c r="F3120" s="24" t="s">
        <v>4712</v>
      </c>
      <c r="G3120" s="24"/>
      <c r="H3120" s="38"/>
      <c r="I3120" s="111"/>
      <c r="J3120" s="220" t="s">
        <v>3669</v>
      </c>
      <c r="K3120" s="130" t="s">
        <v>4703</v>
      </c>
      <c r="L3120" s="106"/>
      <c r="M3120" s="106"/>
      <c r="N3120" s="37"/>
      <c r="O3120" s="37"/>
      <c r="P3120" s="37"/>
      <c r="Q3120" s="37"/>
      <c r="R3120" s="37"/>
      <c r="S3120" s="10" t="s">
        <v>3412</v>
      </c>
      <c r="T3120" s="10"/>
      <c r="U3120" s="22">
        <v>1</v>
      </c>
      <c r="V3120" s="22">
        <v>1</v>
      </c>
      <c r="W3120" s="73">
        <f t="shared" si="217"/>
        <v>67</v>
      </c>
      <c r="X3120" s="80">
        <f t="shared" si="218"/>
        <v>17250</v>
      </c>
      <c r="Y3120" s="82" t="s">
        <v>3584</v>
      </c>
      <c r="Z3120" s="9"/>
      <c r="AA3120" s="178"/>
      <c r="AB3120" s="178">
        <v>43567</v>
      </c>
      <c r="AC3120" s="84" t="s">
        <v>2885</v>
      </c>
      <c r="AD3120" s="84"/>
      <c r="AE3120" s="9"/>
      <c r="AF3120" s="10"/>
      <c r="AG3120" s="10"/>
      <c r="AH3120" s="10"/>
      <c r="AI3120" s="10"/>
      <c r="AJ3120" s="10"/>
      <c r="AK3120" s="10"/>
    </row>
    <row r="3121" spans="1:37" s="8" customFormat="1" ht="15.45" customHeight="1" x14ac:dyDescent="0.25">
      <c r="A3121" s="29" t="s">
        <v>4727</v>
      </c>
      <c r="B3121" s="9"/>
      <c r="C3121" s="37" t="s">
        <v>2115</v>
      </c>
      <c r="D3121" s="37"/>
      <c r="E3121" s="37" t="s">
        <v>2926</v>
      </c>
      <c r="F3121" s="24" t="s">
        <v>4713</v>
      </c>
      <c r="G3121" s="24"/>
      <c r="H3121" s="38"/>
      <c r="I3121" s="111"/>
      <c r="J3121" s="220" t="s">
        <v>3669</v>
      </c>
      <c r="K3121" s="130" t="s">
        <v>4703</v>
      </c>
      <c r="L3121" s="106"/>
      <c r="M3121" s="106"/>
      <c r="N3121" s="37"/>
      <c r="O3121" s="37"/>
      <c r="P3121" s="37"/>
      <c r="Q3121" s="37"/>
      <c r="R3121" s="37"/>
      <c r="S3121" s="10" t="s">
        <v>3412</v>
      </c>
      <c r="T3121" s="10"/>
      <c r="U3121" s="22">
        <v>4</v>
      </c>
      <c r="V3121" s="22">
        <v>4</v>
      </c>
      <c r="W3121" s="73">
        <f t="shared" si="217"/>
        <v>71</v>
      </c>
      <c r="X3121" s="80">
        <f t="shared" si="218"/>
        <v>17254</v>
      </c>
      <c r="Y3121" s="82" t="s">
        <v>3584</v>
      </c>
      <c r="Z3121" s="9"/>
      <c r="AA3121" s="178"/>
      <c r="AB3121" s="178">
        <v>43567</v>
      </c>
      <c r="AC3121" s="84" t="s">
        <v>2885</v>
      </c>
      <c r="AD3121" s="84"/>
      <c r="AE3121" s="9"/>
      <c r="AF3121" s="10"/>
      <c r="AG3121" s="10"/>
      <c r="AH3121" s="10"/>
      <c r="AI3121" s="10"/>
      <c r="AJ3121" s="10"/>
      <c r="AK3121" s="10"/>
    </row>
    <row r="3122" spans="1:37" s="8" customFormat="1" ht="15.45" customHeight="1" x14ac:dyDescent="0.25">
      <c r="A3122" s="29" t="s">
        <v>4727</v>
      </c>
      <c r="B3122" s="9"/>
      <c r="C3122" s="37" t="s">
        <v>2115</v>
      </c>
      <c r="D3122" s="37"/>
      <c r="E3122" s="37" t="s">
        <v>2926</v>
      </c>
      <c r="F3122" s="24" t="s">
        <v>4714</v>
      </c>
      <c r="G3122" s="24"/>
      <c r="H3122" s="38"/>
      <c r="I3122" s="111"/>
      <c r="J3122" s="220" t="s">
        <v>3669</v>
      </c>
      <c r="K3122" s="130" t="s">
        <v>4703</v>
      </c>
      <c r="L3122" s="106"/>
      <c r="M3122" s="106"/>
      <c r="N3122" s="37"/>
      <c r="O3122" s="37"/>
      <c r="P3122" s="37"/>
      <c r="Q3122" s="37"/>
      <c r="R3122" s="37"/>
      <c r="S3122" s="10" t="s">
        <v>3412</v>
      </c>
      <c r="T3122" s="10"/>
      <c r="U3122" s="22">
        <v>0</v>
      </c>
      <c r="V3122" s="22">
        <v>0</v>
      </c>
      <c r="W3122" s="73">
        <f t="shared" si="217"/>
        <v>71</v>
      </c>
      <c r="X3122" s="80">
        <f t="shared" si="218"/>
        <v>17254</v>
      </c>
      <c r="Y3122" s="82" t="s">
        <v>3584</v>
      </c>
      <c r="Z3122" s="9"/>
      <c r="AA3122" s="178"/>
      <c r="AB3122" s="178">
        <v>43567</v>
      </c>
      <c r="AC3122" s="84" t="s">
        <v>2885</v>
      </c>
      <c r="AD3122" s="84"/>
      <c r="AE3122" s="9"/>
      <c r="AF3122" s="10"/>
      <c r="AG3122" s="10"/>
      <c r="AH3122" s="10"/>
      <c r="AI3122" s="10"/>
      <c r="AJ3122" s="10"/>
      <c r="AK3122" s="10"/>
    </row>
    <row r="3123" spans="1:37" s="8" customFormat="1" ht="15.45" customHeight="1" x14ac:dyDescent="0.25">
      <c r="A3123" s="29" t="s">
        <v>4727</v>
      </c>
      <c r="B3123" s="9"/>
      <c r="C3123" s="37" t="s">
        <v>2115</v>
      </c>
      <c r="D3123" s="37"/>
      <c r="E3123" s="37" t="s">
        <v>2926</v>
      </c>
      <c r="F3123" s="24" t="s">
        <v>4715</v>
      </c>
      <c r="G3123" s="24"/>
      <c r="H3123" s="38"/>
      <c r="I3123" s="111"/>
      <c r="J3123" s="220" t="s">
        <v>3669</v>
      </c>
      <c r="K3123" s="130" t="s">
        <v>4703</v>
      </c>
      <c r="L3123" s="106"/>
      <c r="M3123" s="106"/>
      <c r="N3123" s="37"/>
      <c r="O3123" s="37"/>
      <c r="P3123" s="37"/>
      <c r="Q3123" s="37"/>
      <c r="R3123" s="37"/>
      <c r="S3123" s="10" t="s">
        <v>3412</v>
      </c>
      <c r="T3123" s="10"/>
      <c r="U3123" s="22">
        <v>4</v>
      </c>
      <c r="V3123" s="22">
        <v>4</v>
      </c>
      <c r="W3123" s="73">
        <f t="shared" si="217"/>
        <v>75</v>
      </c>
      <c r="X3123" s="80">
        <f t="shared" si="218"/>
        <v>17258</v>
      </c>
      <c r="Y3123" s="82" t="s">
        <v>3584</v>
      </c>
      <c r="Z3123" s="9"/>
      <c r="AA3123" s="178"/>
      <c r="AB3123" s="178">
        <v>43567</v>
      </c>
      <c r="AC3123" s="84" t="s">
        <v>2885</v>
      </c>
      <c r="AD3123" s="84"/>
      <c r="AE3123" s="9"/>
      <c r="AF3123" s="10"/>
      <c r="AG3123" s="10"/>
      <c r="AH3123" s="10"/>
      <c r="AI3123" s="10"/>
      <c r="AJ3123" s="10"/>
      <c r="AK3123" s="10"/>
    </row>
    <row r="3124" spans="1:37" s="8" customFormat="1" ht="15.45" customHeight="1" x14ac:dyDescent="0.25">
      <c r="A3124" s="29" t="s">
        <v>4727</v>
      </c>
      <c r="B3124" s="9"/>
      <c r="C3124" s="37" t="s">
        <v>2115</v>
      </c>
      <c r="D3124" s="37"/>
      <c r="E3124" s="37" t="s">
        <v>2926</v>
      </c>
      <c r="F3124" s="24" t="s">
        <v>4716</v>
      </c>
      <c r="G3124" s="24"/>
      <c r="H3124" s="38"/>
      <c r="I3124" s="111"/>
      <c r="J3124" s="220" t="s">
        <v>3669</v>
      </c>
      <c r="K3124" s="130" t="s">
        <v>4703</v>
      </c>
      <c r="L3124" s="106"/>
      <c r="M3124" s="106"/>
      <c r="N3124" s="37"/>
      <c r="O3124" s="37"/>
      <c r="P3124" s="37"/>
      <c r="Q3124" s="37"/>
      <c r="R3124" s="37"/>
      <c r="S3124" s="10" t="s">
        <v>3412</v>
      </c>
      <c r="T3124" s="10"/>
      <c r="U3124" s="22">
        <v>6</v>
      </c>
      <c r="V3124" s="22">
        <v>6</v>
      </c>
      <c r="W3124" s="73">
        <f t="shared" si="217"/>
        <v>81</v>
      </c>
      <c r="X3124" s="80">
        <f t="shared" si="218"/>
        <v>17264</v>
      </c>
      <c r="Y3124" s="82" t="s">
        <v>3584</v>
      </c>
      <c r="Z3124" s="9"/>
      <c r="AA3124" s="178"/>
      <c r="AB3124" s="178">
        <v>43567</v>
      </c>
      <c r="AC3124" s="84" t="s">
        <v>2885</v>
      </c>
      <c r="AD3124" s="84"/>
      <c r="AE3124" s="9"/>
      <c r="AF3124" s="10"/>
      <c r="AG3124" s="10"/>
      <c r="AH3124" s="10"/>
      <c r="AI3124" s="10"/>
      <c r="AJ3124" s="10"/>
      <c r="AK3124" s="10"/>
    </row>
    <row r="3125" spans="1:37" s="8" customFormat="1" ht="15.45" customHeight="1" x14ac:dyDescent="0.25">
      <c r="A3125" s="29" t="s">
        <v>4727</v>
      </c>
      <c r="B3125" s="9"/>
      <c r="C3125" s="37" t="s">
        <v>2115</v>
      </c>
      <c r="D3125" s="37"/>
      <c r="E3125" s="37" t="s">
        <v>2926</v>
      </c>
      <c r="F3125" s="24" t="s">
        <v>4717</v>
      </c>
      <c r="G3125" s="24"/>
      <c r="H3125" s="38"/>
      <c r="I3125" s="111"/>
      <c r="J3125" s="220" t="s">
        <v>3669</v>
      </c>
      <c r="K3125" s="130" t="s">
        <v>4703</v>
      </c>
      <c r="L3125" s="106"/>
      <c r="M3125" s="106"/>
      <c r="N3125" s="37"/>
      <c r="O3125" s="37"/>
      <c r="P3125" s="37"/>
      <c r="Q3125" s="37"/>
      <c r="R3125" s="37"/>
      <c r="S3125" s="10" t="s">
        <v>3412</v>
      </c>
      <c r="T3125" s="10"/>
      <c r="U3125" s="22">
        <v>10</v>
      </c>
      <c r="V3125" s="22">
        <v>10</v>
      </c>
      <c r="W3125" s="73">
        <f t="shared" si="217"/>
        <v>91</v>
      </c>
      <c r="X3125" s="80">
        <f t="shared" si="218"/>
        <v>17274</v>
      </c>
      <c r="Y3125" s="82" t="s">
        <v>3584</v>
      </c>
      <c r="Z3125" s="9"/>
      <c r="AA3125" s="178"/>
      <c r="AB3125" s="178">
        <v>43567</v>
      </c>
      <c r="AC3125" s="84" t="s">
        <v>2885</v>
      </c>
      <c r="AD3125" s="84"/>
      <c r="AE3125" s="9"/>
      <c r="AF3125" s="10"/>
      <c r="AG3125" s="10"/>
      <c r="AH3125" s="10"/>
      <c r="AI3125" s="10"/>
      <c r="AJ3125" s="10"/>
      <c r="AK3125" s="10"/>
    </row>
    <row r="3126" spans="1:37" s="8" customFormat="1" ht="15.45" customHeight="1" x14ac:dyDescent="0.25">
      <c r="A3126" s="29" t="s">
        <v>4727</v>
      </c>
      <c r="B3126" s="9"/>
      <c r="C3126" s="37" t="s">
        <v>2115</v>
      </c>
      <c r="D3126" s="37"/>
      <c r="E3126" s="37" t="s">
        <v>2926</v>
      </c>
      <c r="F3126" s="24" t="s">
        <v>4718</v>
      </c>
      <c r="G3126" s="24"/>
      <c r="H3126" s="38"/>
      <c r="I3126" s="111"/>
      <c r="J3126" s="220" t="s">
        <v>3669</v>
      </c>
      <c r="K3126" s="130" t="s">
        <v>4703</v>
      </c>
      <c r="L3126" s="106"/>
      <c r="M3126" s="106"/>
      <c r="N3126" s="37"/>
      <c r="O3126" s="37"/>
      <c r="P3126" s="37"/>
      <c r="Q3126" s="37"/>
      <c r="R3126" s="37"/>
      <c r="S3126" s="10" t="s">
        <v>3412</v>
      </c>
      <c r="T3126" s="10"/>
      <c r="U3126" s="22">
        <v>5</v>
      </c>
      <c r="V3126" s="22">
        <v>5</v>
      </c>
      <c r="W3126" s="73">
        <f t="shared" si="217"/>
        <v>96</v>
      </c>
      <c r="X3126" s="80">
        <f t="shared" si="218"/>
        <v>17279</v>
      </c>
      <c r="Y3126" s="82" t="s">
        <v>3584</v>
      </c>
      <c r="Z3126" s="9"/>
      <c r="AA3126" s="178"/>
      <c r="AB3126" s="178">
        <v>43567</v>
      </c>
      <c r="AC3126" s="84" t="s">
        <v>2885</v>
      </c>
      <c r="AD3126" s="84"/>
      <c r="AE3126" s="9"/>
      <c r="AF3126" s="10"/>
      <c r="AG3126" s="10"/>
      <c r="AH3126" s="10"/>
      <c r="AI3126" s="10"/>
      <c r="AJ3126" s="10"/>
      <c r="AK3126" s="10"/>
    </row>
    <row r="3127" spans="1:37" s="8" customFormat="1" ht="15.45" customHeight="1" x14ac:dyDescent="0.25">
      <c r="A3127" s="29" t="s">
        <v>4727</v>
      </c>
      <c r="B3127" s="9"/>
      <c r="C3127" s="37" t="s">
        <v>2115</v>
      </c>
      <c r="D3127" s="37"/>
      <c r="E3127" s="37" t="s">
        <v>2926</v>
      </c>
      <c r="F3127" s="24" t="s">
        <v>4719</v>
      </c>
      <c r="G3127" s="24"/>
      <c r="H3127" s="38"/>
      <c r="I3127" s="111"/>
      <c r="J3127" s="220" t="s">
        <v>3669</v>
      </c>
      <c r="K3127" s="130" t="s">
        <v>4703</v>
      </c>
      <c r="L3127" s="106"/>
      <c r="M3127" s="106"/>
      <c r="N3127" s="37"/>
      <c r="O3127" s="37"/>
      <c r="P3127" s="37"/>
      <c r="Q3127" s="37"/>
      <c r="R3127" s="37"/>
      <c r="S3127" s="10" t="s">
        <v>3412</v>
      </c>
      <c r="T3127" s="10"/>
      <c r="U3127" s="22">
        <v>4</v>
      </c>
      <c r="V3127" s="22">
        <v>4</v>
      </c>
      <c r="W3127" s="73">
        <f t="shared" si="217"/>
        <v>100</v>
      </c>
      <c r="X3127" s="80">
        <f t="shared" si="218"/>
        <v>17283</v>
      </c>
      <c r="Y3127" s="82" t="s">
        <v>3584</v>
      </c>
      <c r="Z3127" s="9"/>
      <c r="AA3127" s="178"/>
      <c r="AB3127" s="178">
        <v>43567</v>
      </c>
      <c r="AC3127" s="84" t="s">
        <v>2885</v>
      </c>
      <c r="AD3127" s="84"/>
      <c r="AE3127" s="9"/>
      <c r="AF3127" s="10"/>
      <c r="AG3127" s="10"/>
      <c r="AH3127" s="10"/>
      <c r="AI3127" s="10"/>
      <c r="AJ3127" s="10"/>
      <c r="AK3127" s="10"/>
    </row>
    <row r="3128" spans="1:37" s="8" customFormat="1" ht="15.45" customHeight="1" x14ac:dyDescent="0.25">
      <c r="A3128" s="29" t="s">
        <v>4727</v>
      </c>
      <c r="B3128" s="9"/>
      <c r="C3128" s="37" t="s">
        <v>2115</v>
      </c>
      <c r="D3128" s="37"/>
      <c r="E3128" s="37" t="s">
        <v>2926</v>
      </c>
      <c r="F3128" s="24" t="s">
        <v>4720</v>
      </c>
      <c r="G3128" s="24"/>
      <c r="H3128" s="38"/>
      <c r="I3128" s="111"/>
      <c r="J3128" s="220" t="s">
        <v>3669</v>
      </c>
      <c r="K3128" s="130" t="s">
        <v>4703</v>
      </c>
      <c r="L3128" s="106"/>
      <c r="M3128" s="106"/>
      <c r="N3128" s="37"/>
      <c r="O3128" s="37"/>
      <c r="P3128" s="37"/>
      <c r="Q3128" s="37"/>
      <c r="R3128" s="37"/>
      <c r="S3128" s="10" t="s">
        <v>3412</v>
      </c>
      <c r="T3128" s="10"/>
      <c r="U3128" s="22">
        <v>4</v>
      </c>
      <c r="V3128" s="22">
        <v>4</v>
      </c>
      <c r="W3128" s="73">
        <f t="shared" si="217"/>
        <v>104</v>
      </c>
      <c r="X3128" s="80">
        <f t="shared" si="218"/>
        <v>17287</v>
      </c>
      <c r="Y3128" s="82" t="s">
        <v>3584</v>
      </c>
      <c r="Z3128" s="9"/>
      <c r="AA3128" s="178"/>
      <c r="AB3128" s="178">
        <v>43567</v>
      </c>
      <c r="AC3128" s="84" t="s">
        <v>2885</v>
      </c>
      <c r="AD3128" s="84"/>
      <c r="AE3128" s="9"/>
      <c r="AF3128" s="10"/>
      <c r="AG3128" s="10"/>
      <c r="AH3128" s="10"/>
      <c r="AI3128" s="10"/>
      <c r="AJ3128" s="10"/>
      <c r="AK3128" s="10"/>
    </row>
    <row r="3129" spans="1:37" s="8" customFormat="1" ht="15.45" customHeight="1" x14ac:dyDescent="0.25">
      <c r="A3129" s="29" t="s">
        <v>4727</v>
      </c>
      <c r="B3129" s="9"/>
      <c r="C3129" s="37" t="s">
        <v>2115</v>
      </c>
      <c r="D3129" s="37"/>
      <c r="E3129" s="37" t="s">
        <v>2926</v>
      </c>
      <c r="F3129" s="24" t="s">
        <v>4721</v>
      </c>
      <c r="G3129" s="24"/>
      <c r="H3129" s="38"/>
      <c r="I3129" s="111"/>
      <c r="J3129" s="220" t="s">
        <v>3669</v>
      </c>
      <c r="K3129" s="130" t="s">
        <v>4703</v>
      </c>
      <c r="L3129" s="106"/>
      <c r="M3129" s="106"/>
      <c r="N3129" s="37"/>
      <c r="O3129" s="37"/>
      <c r="P3129" s="37"/>
      <c r="Q3129" s="37"/>
      <c r="R3129" s="37"/>
      <c r="S3129" s="10" t="s">
        <v>3412</v>
      </c>
      <c r="T3129" s="10"/>
      <c r="U3129" s="22">
        <v>1</v>
      </c>
      <c r="V3129" s="22">
        <v>1</v>
      </c>
      <c r="W3129" s="73">
        <f t="shared" si="217"/>
        <v>105</v>
      </c>
      <c r="X3129" s="80">
        <f t="shared" si="218"/>
        <v>17288</v>
      </c>
      <c r="Y3129" s="82" t="s">
        <v>3584</v>
      </c>
      <c r="Z3129" s="9"/>
      <c r="AA3129" s="178"/>
      <c r="AB3129" s="178">
        <v>43567</v>
      </c>
      <c r="AC3129" s="84" t="s">
        <v>2885</v>
      </c>
      <c r="AD3129" s="84"/>
      <c r="AE3129" s="9"/>
      <c r="AF3129" s="10"/>
      <c r="AG3129" s="10"/>
      <c r="AH3129" s="10"/>
      <c r="AI3129" s="10"/>
      <c r="AJ3129" s="10"/>
      <c r="AK3129" s="10"/>
    </row>
    <row r="3130" spans="1:37" s="8" customFormat="1" ht="15.45" customHeight="1" x14ac:dyDescent="0.25">
      <c r="A3130" s="29" t="s">
        <v>4727</v>
      </c>
      <c r="B3130" s="9"/>
      <c r="C3130" s="37" t="s">
        <v>2115</v>
      </c>
      <c r="D3130" s="37"/>
      <c r="E3130" s="37" t="s">
        <v>2926</v>
      </c>
      <c r="F3130" s="24" t="s">
        <v>4723</v>
      </c>
      <c r="G3130" s="24"/>
      <c r="H3130" s="38"/>
      <c r="I3130" s="111"/>
      <c r="J3130" s="220" t="s">
        <v>3669</v>
      </c>
      <c r="K3130" s="130" t="s">
        <v>4703</v>
      </c>
      <c r="L3130" s="106"/>
      <c r="M3130" s="106"/>
      <c r="N3130" s="37"/>
      <c r="O3130" s="37"/>
      <c r="P3130" s="37"/>
      <c r="Q3130" s="37"/>
      <c r="R3130" s="37"/>
      <c r="S3130" s="10" t="s">
        <v>3412</v>
      </c>
      <c r="T3130" s="10"/>
      <c r="U3130" s="22">
        <v>2</v>
      </c>
      <c r="V3130" s="22">
        <v>2</v>
      </c>
      <c r="W3130" s="73">
        <f t="shared" si="217"/>
        <v>107</v>
      </c>
      <c r="X3130" s="80">
        <f t="shared" si="218"/>
        <v>17290</v>
      </c>
      <c r="Y3130" s="82" t="s">
        <v>3584</v>
      </c>
      <c r="Z3130" s="9"/>
      <c r="AA3130" s="178"/>
      <c r="AB3130" s="178">
        <v>43567</v>
      </c>
      <c r="AC3130" s="84" t="s">
        <v>2885</v>
      </c>
      <c r="AD3130" s="84"/>
      <c r="AE3130" s="9"/>
      <c r="AF3130" s="10"/>
      <c r="AG3130" s="10"/>
      <c r="AH3130" s="10"/>
      <c r="AI3130" s="10"/>
      <c r="AJ3130" s="10"/>
      <c r="AK3130" s="10"/>
    </row>
    <row r="3131" spans="1:37" s="8" customFormat="1" ht="15.45" customHeight="1" x14ac:dyDescent="0.25">
      <c r="A3131" s="29" t="s">
        <v>4727</v>
      </c>
      <c r="B3131" s="9"/>
      <c r="C3131" s="37" t="s">
        <v>2115</v>
      </c>
      <c r="D3131" s="37"/>
      <c r="E3131" s="37" t="s">
        <v>2926</v>
      </c>
      <c r="F3131" s="24" t="s">
        <v>4724</v>
      </c>
      <c r="G3131" s="24"/>
      <c r="H3131" s="38"/>
      <c r="I3131" s="111"/>
      <c r="J3131" s="220" t="s">
        <v>3669</v>
      </c>
      <c r="K3131" s="130" t="s">
        <v>4703</v>
      </c>
      <c r="L3131" s="106"/>
      <c r="M3131" s="106"/>
      <c r="N3131" s="37"/>
      <c r="O3131" s="37"/>
      <c r="P3131" s="37"/>
      <c r="Q3131" s="37"/>
      <c r="R3131" s="37"/>
      <c r="S3131" s="10" t="s">
        <v>3412</v>
      </c>
      <c r="T3131" s="10"/>
      <c r="U3131" s="22">
        <v>3</v>
      </c>
      <c r="V3131" s="22">
        <v>3</v>
      </c>
      <c r="W3131" s="73">
        <f t="shared" si="217"/>
        <v>110</v>
      </c>
      <c r="X3131" s="80">
        <f t="shared" si="218"/>
        <v>17293</v>
      </c>
      <c r="Y3131" s="82" t="s">
        <v>3584</v>
      </c>
      <c r="Z3131" s="9"/>
      <c r="AA3131" s="178"/>
      <c r="AB3131" s="178">
        <v>43567</v>
      </c>
      <c r="AC3131" s="84" t="s">
        <v>2885</v>
      </c>
      <c r="AD3131" s="84"/>
      <c r="AE3131" s="9"/>
      <c r="AF3131" s="10"/>
      <c r="AG3131" s="10"/>
      <c r="AH3131" s="10"/>
      <c r="AI3131" s="10"/>
      <c r="AJ3131" s="10"/>
      <c r="AK3131" s="10"/>
    </row>
    <row r="3132" spans="1:37" s="8" customFormat="1" ht="15.45" customHeight="1" x14ac:dyDescent="0.25">
      <c r="A3132" s="29" t="s">
        <v>4727</v>
      </c>
      <c r="B3132" s="9"/>
      <c r="C3132" s="37" t="s">
        <v>2115</v>
      </c>
      <c r="D3132" s="37"/>
      <c r="E3132" s="37" t="s">
        <v>2926</v>
      </c>
      <c r="F3132" s="24" t="s">
        <v>4725</v>
      </c>
      <c r="G3132" s="24"/>
      <c r="H3132" s="38"/>
      <c r="I3132" s="111"/>
      <c r="J3132" s="220" t="s">
        <v>3669</v>
      </c>
      <c r="K3132" s="130" t="s">
        <v>4703</v>
      </c>
      <c r="L3132" s="106"/>
      <c r="M3132" s="106"/>
      <c r="N3132" s="37"/>
      <c r="O3132" s="37"/>
      <c r="P3132" s="37"/>
      <c r="Q3132" s="37"/>
      <c r="R3132" s="37"/>
      <c r="S3132" s="10" t="s">
        <v>3412</v>
      </c>
      <c r="T3132" s="10"/>
      <c r="U3132" s="22">
        <v>5</v>
      </c>
      <c r="V3132" s="22">
        <v>5</v>
      </c>
      <c r="W3132" s="73">
        <f t="shared" si="217"/>
        <v>115</v>
      </c>
      <c r="X3132" s="80">
        <f t="shared" si="218"/>
        <v>17298</v>
      </c>
      <c r="Y3132" s="82" t="s">
        <v>3584</v>
      </c>
      <c r="Z3132" s="9"/>
      <c r="AA3132" s="178"/>
      <c r="AB3132" s="178">
        <v>43567</v>
      </c>
      <c r="AC3132" s="84" t="s">
        <v>2885</v>
      </c>
      <c r="AD3132" s="84"/>
      <c r="AE3132" s="9"/>
      <c r="AF3132" s="10"/>
      <c r="AG3132" s="10"/>
      <c r="AH3132" s="10"/>
      <c r="AI3132" s="10"/>
      <c r="AJ3132" s="10"/>
      <c r="AK3132" s="10"/>
    </row>
    <row r="3133" spans="1:37" s="8" customFormat="1" ht="15.45" customHeight="1" x14ac:dyDescent="0.25">
      <c r="A3133" s="29" t="s">
        <v>4727</v>
      </c>
      <c r="B3133" s="9"/>
      <c r="C3133" s="37" t="s">
        <v>2115</v>
      </c>
      <c r="D3133" s="37"/>
      <c r="E3133" s="37" t="s">
        <v>2926</v>
      </c>
      <c r="F3133" s="24" t="s">
        <v>2688</v>
      </c>
      <c r="G3133" s="24"/>
      <c r="H3133" s="38"/>
      <c r="I3133" s="111"/>
      <c r="J3133" s="220" t="s">
        <v>3669</v>
      </c>
      <c r="K3133" s="130" t="s">
        <v>4703</v>
      </c>
      <c r="L3133" s="106"/>
      <c r="M3133" s="106"/>
      <c r="N3133" s="37"/>
      <c r="O3133" s="37"/>
      <c r="P3133" s="37"/>
      <c r="Q3133" s="37"/>
      <c r="R3133" s="37"/>
      <c r="S3133" s="10" t="s">
        <v>3412</v>
      </c>
      <c r="T3133" s="10"/>
      <c r="U3133" s="22">
        <v>2</v>
      </c>
      <c r="V3133" s="22">
        <v>2</v>
      </c>
      <c r="W3133" s="73">
        <f t="shared" si="217"/>
        <v>117</v>
      </c>
      <c r="X3133" s="80">
        <f t="shared" si="218"/>
        <v>17300</v>
      </c>
      <c r="Y3133" s="82" t="s">
        <v>3584</v>
      </c>
      <c r="Z3133" s="9"/>
      <c r="AA3133" s="178"/>
      <c r="AB3133" s="178">
        <v>43567</v>
      </c>
      <c r="AC3133" s="84" t="s">
        <v>2885</v>
      </c>
      <c r="AD3133" s="84"/>
      <c r="AE3133" s="9"/>
      <c r="AF3133" s="10"/>
      <c r="AG3133" s="10"/>
      <c r="AH3133" s="10"/>
      <c r="AI3133" s="10"/>
      <c r="AJ3133" s="10"/>
      <c r="AK3133" s="10"/>
    </row>
    <row r="3134" spans="1:37" s="8" customFormat="1" ht="15.45" customHeight="1" x14ac:dyDescent="0.25">
      <c r="A3134" s="29" t="s">
        <v>4727</v>
      </c>
      <c r="B3134" s="9"/>
      <c r="C3134" s="37" t="s">
        <v>2115</v>
      </c>
      <c r="D3134" s="37"/>
      <c r="E3134" s="37" t="s">
        <v>2926</v>
      </c>
      <c r="F3134" s="24" t="s">
        <v>4783</v>
      </c>
      <c r="G3134" s="24"/>
      <c r="H3134" s="38"/>
      <c r="I3134" s="111"/>
      <c r="J3134" s="220" t="s">
        <v>3669</v>
      </c>
      <c r="K3134" s="130" t="s">
        <v>4703</v>
      </c>
      <c r="L3134" s="106"/>
      <c r="M3134" s="106"/>
      <c r="N3134" s="37"/>
      <c r="O3134" s="37"/>
      <c r="P3134" s="37"/>
      <c r="Q3134" s="37"/>
      <c r="R3134" s="37"/>
      <c r="S3134" s="10" t="s">
        <v>3412</v>
      </c>
      <c r="T3134" s="10"/>
      <c r="U3134" s="22">
        <v>5</v>
      </c>
      <c r="V3134" s="22">
        <v>5</v>
      </c>
      <c r="W3134" s="73">
        <f t="shared" si="217"/>
        <v>122</v>
      </c>
      <c r="X3134" s="80">
        <f t="shared" si="218"/>
        <v>17305</v>
      </c>
      <c r="Y3134" s="82" t="s">
        <v>3584</v>
      </c>
      <c r="Z3134" s="9"/>
      <c r="AA3134" s="178"/>
      <c r="AB3134" s="178">
        <v>43567</v>
      </c>
      <c r="AC3134" s="84" t="s">
        <v>2885</v>
      </c>
      <c r="AD3134" s="84"/>
      <c r="AE3134" s="9"/>
      <c r="AF3134" s="10"/>
      <c r="AG3134" s="10"/>
      <c r="AH3134" s="10"/>
      <c r="AI3134" s="10"/>
      <c r="AJ3134" s="10"/>
      <c r="AK3134" s="10"/>
    </row>
    <row r="3135" spans="1:37" s="8" customFormat="1" ht="15.45" customHeight="1" x14ac:dyDescent="0.25">
      <c r="A3135" s="29" t="s">
        <v>4727</v>
      </c>
      <c r="B3135" s="9"/>
      <c r="C3135" s="37" t="s">
        <v>2115</v>
      </c>
      <c r="D3135" s="37"/>
      <c r="E3135" s="37" t="s">
        <v>2930</v>
      </c>
      <c r="F3135" s="24" t="s">
        <v>4705</v>
      </c>
      <c r="G3135" s="24"/>
      <c r="H3135" s="38"/>
      <c r="I3135" s="111"/>
      <c r="J3135" s="220" t="s">
        <v>3669</v>
      </c>
      <c r="K3135" s="130" t="s">
        <v>4703</v>
      </c>
      <c r="L3135" s="106"/>
      <c r="M3135" s="106"/>
      <c r="N3135" s="37"/>
      <c r="O3135" s="37"/>
      <c r="P3135" s="37"/>
      <c r="Q3135" s="37"/>
      <c r="R3135" s="37"/>
      <c r="S3135" s="10" t="s">
        <v>3412</v>
      </c>
      <c r="T3135" s="10"/>
      <c r="U3135" s="22">
        <v>1</v>
      </c>
      <c r="V3135" s="22">
        <v>1</v>
      </c>
      <c r="W3135" s="73">
        <f t="shared" si="217"/>
        <v>123</v>
      </c>
      <c r="X3135" s="80">
        <f t="shared" si="218"/>
        <v>17306</v>
      </c>
      <c r="Y3135" s="82" t="s">
        <v>3584</v>
      </c>
      <c r="Z3135" s="9"/>
      <c r="AA3135" s="178"/>
      <c r="AB3135" s="178">
        <v>43567</v>
      </c>
      <c r="AC3135" s="84" t="s">
        <v>2885</v>
      </c>
      <c r="AD3135" s="84"/>
      <c r="AE3135" s="9"/>
      <c r="AF3135" s="10"/>
      <c r="AG3135" s="10"/>
      <c r="AH3135" s="10"/>
      <c r="AI3135" s="10"/>
      <c r="AJ3135" s="10"/>
      <c r="AK3135" s="10"/>
    </row>
    <row r="3136" spans="1:37" s="8" customFormat="1" ht="15.45" customHeight="1" x14ac:dyDescent="0.25">
      <c r="A3136" s="29" t="s">
        <v>4727</v>
      </c>
      <c r="B3136" s="9"/>
      <c r="C3136" s="37" t="s">
        <v>2115</v>
      </c>
      <c r="D3136" s="37"/>
      <c r="E3136" s="37" t="s">
        <v>2932</v>
      </c>
      <c r="F3136" s="24"/>
      <c r="G3136" s="24"/>
      <c r="H3136" s="38"/>
      <c r="I3136" s="111"/>
      <c r="J3136" s="220" t="s">
        <v>3669</v>
      </c>
      <c r="K3136" s="130" t="s">
        <v>4703</v>
      </c>
      <c r="L3136" s="106"/>
      <c r="M3136" s="106"/>
      <c r="N3136" s="37"/>
      <c r="O3136" s="37"/>
      <c r="P3136" s="37"/>
      <c r="Q3136" s="37"/>
      <c r="R3136" s="37"/>
      <c r="S3136" s="10" t="s">
        <v>3412</v>
      </c>
      <c r="T3136" s="10"/>
      <c r="U3136" s="22">
        <v>3</v>
      </c>
      <c r="V3136" s="22">
        <v>3</v>
      </c>
      <c r="W3136" s="73">
        <f t="shared" si="217"/>
        <v>126</v>
      </c>
      <c r="X3136" s="80">
        <f t="shared" si="218"/>
        <v>17309</v>
      </c>
      <c r="Y3136" s="82" t="s">
        <v>3584</v>
      </c>
      <c r="Z3136" s="9"/>
      <c r="AA3136" s="178"/>
      <c r="AB3136" s="178">
        <v>43579</v>
      </c>
      <c r="AC3136" s="84" t="s">
        <v>2885</v>
      </c>
      <c r="AD3136" s="84"/>
      <c r="AE3136" s="9"/>
      <c r="AF3136" s="10"/>
      <c r="AG3136" s="10"/>
      <c r="AH3136" s="10"/>
      <c r="AI3136" s="10"/>
      <c r="AJ3136" s="10"/>
      <c r="AK3136" s="10"/>
    </row>
    <row r="3137" spans="1:38" s="8" customFormat="1" ht="15.45" customHeight="1" x14ac:dyDescent="0.25">
      <c r="A3137" s="29" t="s">
        <v>4974</v>
      </c>
      <c r="B3137" s="9"/>
      <c r="C3137" s="37" t="s">
        <v>2115</v>
      </c>
      <c r="D3137" s="37"/>
      <c r="E3137" s="37" t="s">
        <v>2927</v>
      </c>
      <c r="F3137" s="24" t="s">
        <v>2146</v>
      </c>
      <c r="G3137" s="24"/>
      <c r="H3137" s="38" t="s">
        <v>4844</v>
      </c>
      <c r="I3137" s="111"/>
      <c r="J3137" s="220" t="s">
        <v>3669</v>
      </c>
      <c r="K3137" s="130"/>
      <c r="L3137" s="106"/>
      <c r="M3137" s="106"/>
      <c r="N3137" s="37"/>
      <c r="O3137" s="37"/>
      <c r="P3137" s="37"/>
      <c r="Q3137" s="37"/>
      <c r="R3137" s="37"/>
      <c r="S3137" s="10" t="s">
        <v>3412</v>
      </c>
      <c r="T3137" s="10"/>
      <c r="U3137" s="22">
        <v>1</v>
      </c>
      <c r="V3137" s="22">
        <v>2</v>
      </c>
      <c r="W3137" s="73">
        <f t="shared" si="217"/>
        <v>128</v>
      </c>
      <c r="X3137" s="80">
        <f t="shared" si="218"/>
        <v>17311</v>
      </c>
      <c r="Y3137" s="82" t="s">
        <v>3584</v>
      </c>
      <c r="Z3137" s="9"/>
      <c r="AA3137" s="178"/>
      <c r="AB3137" s="178">
        <v>43613</v>
      </c>
      <c r="AC3137" s="84" t="s">
        <v>2885</v>
      </c>
      <c r="AD3137" s="84"/>
      <c r="AE3137" s="9"/>
      <c r="AF3137" s="10"/>
      <c r="AG3137" s="10"/>
      <c r="AH3137" s="10"/>
      <c r="AI3137" s="10"/>
      <c r="AJ3137" s="10"/>
      <c r="AK3137" s="10"/>
    </row>
    <row r="3138" spans="1:38" ht="15.45" customHeight="1" x14ac:dyDescent="0.25">
      <c r="A3138" s="29" t="s">
        <v>4199</v>
      </c>
      <c r="C3138" s="37" t="s">
        <v>2115</v>
      </c>
      <c r="E3138" s="37" t="s">
        <v>2925</v>
      </c>
      <c r="F3138" s="24" t="s">
        <v>4781</v>
      </c>
      <c r="G3138" s="28"/>
      <c r="H3138" s="38" t="s">
        <v>6403</v>
      </c>
      <c r="J3138" s="219" t="s">
        <v>3691</v>
      </c>
      <c r="K3138" s="10" t="s">
        <v>3717</v>
      </c>
      <c r="N3138" s="151"/>
      <c r="O3138" s="151"/>
      <c r="S3138" s="10" t="s">
        <v>3412</v>
      </c>
      <c r="T3138" s="10" t="s">
        <v>5781</v>
      </c>
      <c r="U3138" s="21">
        <v>1</v>
      </c>
      <c r="V3138" s="21">
        <v>1</v>
      </c>
      <c r="W3138" s="73">
        <f t="shared" si="217"/>
        <v>129</v>
      </c>
      <c r="X3138" s="80">
        <f t="shared" si="218"/>
        <v>17312</v>
      </c>
      <c r="Y3138" s="82" t="s">
        <v>3584</v>
      </c>
      <c r="AA3138" s="183"/>
      <c r="AB3138" s="183">
        <v>43613</v>
      </c>
      <c r="AC3138" s="84" t="s">
        <v>2885</v>
      </c>
      <c r="AD3138" s="88"/>
      <c r="AJ3138" s="127">
        <v>42318</v>
      </c>
      <c r="AK3138" s="10" t="s">
        <v>4196</v>
      </c>
      <c r="AL3138" t="s">
        <v>4200</v>
      </c>
    </row>
    <row r="3139" spans="1:38" ht="15.45" customHeight="1" x14ac:dyDescent="0.25">
      <c r="A3139" s="29" t="s">
        <v>4975</v>
      </c>
      <c r="C3139" s="37" t="s">
        <v>2115</v>
      </c>
      <c r="E3139" s="37" t="s">
        <v>2832</v>
      </c>
      <c r="F3139" s="24" t="s">
        <v>4776</v>
      </c>
      <c r="G3139" s="28"/>
      <c r="H3139" s="38" t="s">
        <v>6402</v>
      </c>
      <c r="J3139" s="219" t="s">
        <v>3749</v>
      </c>
      <c r="K3139" s="10" t="s">
        <v>4149</v>
      </c>
      <c r="N3139" s="151"/>
      <c r="O3139" s="151"/>
      <c r="S3139" s="10" t="s">
        <v>2983</v>
      </c>
      <c r="U3139" s="21">
        <v>1</v>
      </c>
      <c r="V3139" s="21">
        <v>1</v>
      </c>
      <c r="W3139" s="73">
        <f t="shared" si="217"/>
        <v>130</v>
      </c>
      <c r="X3139" s="80">
        <f t="shared" si="218"/>
        <v>17313</v>
      </c>
      <c r="Y3139" s="82" t="s">
        <v>3584</v>
      </c>
      <c r="AA3139" s="183"/>
      <c r="AB3139" s="183">
        <v>43613</v>
      </c>
      <c r="AC3139" s="84" t="s">
        <v>2885</v>
      </c>
      <c r="AD3139" s="88"/>
    </row>
    <row r="3140" spans="1:38" ht="15.45" customHeight="1" x14ac:dyDescent="0.25">
      <c r="A3140" s="29" t="s">
        <v>4975</v>
      </c>
      <c r="C3140" s="37" t="s">
        <v>2115</v>
      </c>
      <c r="E3140" s="37" t="s">
        <v>2930</v>
      </c>
      <c r="F3140" s="24" t="s">
        <v>4278</v>
      </c>
      <c r="H3140" s="38" t="s">
        <v>4769</v>
      </c>
      <c r="I3140" s="111" t="s">
        <v>4740</v>
      </c>
      <c r="J3140" s="214" t="s">
        <v>3407</v>
      </c>
      <c r="S3140" s="10" t="s">
        <v>3436</v>
      </c>
      <c r="U3140" s="22">
        <v>1</v>
      </c>
      <c r="V3140" s="22">
        <v>1</v>
      </c>
      <c r="W3140" s="73">
        <f t="shared" si="217"/>
        <v>131</v>
      </c>
      <c r="X3140" s="80">
        <f t="shared" si="218"/>
        <v>17314</v>
      </c>
      <c r="Y3140" s="82" t="s">
        <v>2907</v>
      </c>
      <c r="Z3140" s="24" t="s">
        <v>2885</v>
      </c>
      <c r="AA3140" s="178"/>
      <c r="AB3140" s="178">
        <v>43266</v>
      </c>
      <c r="AC3140" s="84" t="s">
        <v>2885</v>
      </c>
    </row>
    <row r="3141" spans="1:38" ht="15.45" customHeight="1" x14ac:dyDescent="0.25">
      <c r="A3141" s="29" t="s">
        <v>3471</v>
      </c>
      <c r="C3141" s="37" t="s">
        <v>2115</v>
      </c>
      <c r="E3141" s="37" t="s">
        <v>2930</v>
      </c>
      <c r="F3141" s="24" t="s">
        <v>4278</v>
      </c>
      <c r="H3141" s="38" t="s">
        <v>4736</v>
      </c>
      <c r="I3141" s="111" t="s">
        <v>4737</v>
      </c>
      <c r="J3141" s="214" t="s">
        <v>3039</v>
      </c>
      <c r="N3141" s="37" t="s">
        <v>3404</v>
      </c>
      <c r="S3141" s="10" t="s">
        <v>2983</v>
      </c>
      <c r="U3141" s="22">
        <v>1</v>
      </c>
      <c r="V3141" s="22">
        <v>1</v>
      </c>
      <c r="W3141" s="73">
        <f t="shared" si="217"/>
        <v>132</v>
      </c>
      <c r="X3141" s="80">
        <f t="shared" si="218"/>
        <v>17315</v>
      </c>
      <c r="Y3141" s="82" t="s">
        <v>3584</v>
      </c>
      <c r="AA3141" s="178"/>
      <c r="AB3141" s="178">
        <v>43266</v>
      </c>
      <c r="AC3141" s="84" t="s">
        <v>2885</v>
      </c>
      <c r="AI3141" s="10" t="s">
        <v>2953</v>
      </c>
      <c r="AJ3141" s="127">
        <v>42054</v>
      </c>
      <c r="AK3141" s="10" t="s">
        <v>3455</v>
      </c>
    </row>
    <row r="3142" spans="1:38" ht="15.45" customHeight="1" x14ac:dyDescent="0.25">
      <c r="A3142" s="29" t="s">
        <v>4287</v>
      </c>
      <c r="C3142" s="37" t="s">
        <v>2115</v>
      </c>
      <c r="E3142" s="37" t="s">
        <v>2930</v>
      </c>
      <c r="F3142" s="24" t="s">
        <v>4278</v>
      </c>
      <c r="H3142" s="38" t="s">
        <v>4734</v>
      </c>
      <c r="I3142" s="111" t="s">
        <v>4735</v>
      </c>
      <c r="J3142" s="215" t="s">
        <v>3039</v>
      </c>
      <c r="S3142" s="10" t="s">
        <v>2983</v>
      </c>
      <c r="U3142" s="22">
        <v>1</v>
      </c>
      <c r="V3142" s="22">
        <v>1</v>
      </c>
      <c r="W3142" s="73">
        <f t="shared" ref="W3142:W3167" si="219">W3141+V3142</f>
        <v>133</v>
      </c>
      <c r="X3142" s="80">
        <f t="shared" si="218"/>
        <v>17316</v>
      </c>
      <c r="Y3142" s="82" t="s">
        <v>2907</v>
      </c>
      <c r="Z3142" s="24" t="s">
        <v>2885</v>
      </c>
      <c r="AA3142" s="178"/>
      <c r="AB3142" s="178">
        <v>42536</v>
      </c>
      <c r="AC3142" s="84" t="s">
        <v>2885</v>
      </c>
    </row>
    <row r="3143" spans="1:38" ht="15.45" customHeight="1" x14ac:dyDescent="0.25">
      <c r="A3143" s="29" t="s">
        <v>3473</v>
      </c>
      <c r="C3143" s="37" t="s">
        <v>2115</v>
      </c>
      <c r="E3143" s="37" t="s">
        <v>2930</v>
      </c>
      <c r="F3143" s="24" t="s">
        <v>4278</v>
      </c>
      <c r="H3143" s="38" t="s">
        <v>4738</v>
      </c>
      <c r="I3143" s="111" t="s">
        <v>4739</v>
      </c>
      <c r="J3143" s="214" t="s">
        <v>3039</v>
      </c>
      <c r="S3143" s="10" t="s">
        <v>2983</v>
      </c>
      <c r="U3143" s="22">
        <v>1</v>
      </c>
      <c r="V3143" s="22">
        <v>1</v>
      </c>
      <c r="W3143" s="73">
        <f t="shared" si="219"/>
        <v>134</v>
      </c>
      <c r="X3143" s="80">
        <f t="shared" si="218"/>
        <v>17317</v>
      </c>
      <c r="Y3143" s="82" t="s">
        <v>3584</v>
      </c>
      <c r="AA3143" s="178"/>
      <c r="AB3143" s="178">
        <v>42536</v>
      </c>
      <c r="AC3143" s="84" t="s">
        <v>2885</v>
      </c>
    </row>
    <row r="3144" spans="1:38" ht="15.45" customHeight="1" x14ac:dyDescent="0.25">
      <c r="A3144" s="29" t="s">
        <v>3480</v>
      </c>
      <c r="C3144" s="37" t="s">
        <v>2115</v>
      </c>
      <c r="E3144" s="37" t="s">
        <v>2930</v>
      </c>
      <c r="F3144" s="24" t="s">
        <v>4278</v>
      </c>
      <c r="H3144" s="38" t="s">
        <v>4770</v>
      </c>
      <c r="I3144" s="111" t="s">
        <v>4742</v>
      </c>
      <c r="J3144" s="214" t="s">
        <v>3039</v>
      </c>
      <c r="N3144" s="37" t="s">
        <v>4141</v>
      </c>
      <c r="S3144" s="10" t="s">
        <v>2433</v>
      </c>
      <c r="U3144" s="22">
        <v>1</v>
      </c>
      <c r="V3144" s="22">
        <v>1</v>
      </c>
      <c r="W3144" s="73">
        <f t="shared" si="219"/>
        <v>135</v>
      </c>
      <c r="X3144" s="80">
        <f t="shared" si="218"/>
        <v>17318</v>
      </c>
      <c r="Y3144" s="82" t="s">
        <v>3584</v>
      </c>
      <c r="AA3144" s="178"/>
      <c r="AB3144" s="178">
        <v>42644</v>
      </c>
      <c r="AC3144" s="84" t="s">
        <v>2885</v>
      </c>
    </row>
    <row r="3145" spans="1:38" ht="15.45" customHeight="1" x14ac:dyDescent="0.25">
      <c r="A3145" s="29" t="s">
        <v>3480</v>
      </c>
      <c r="C3145" s="37" t="s">
        <v>2115</v>
      </c>
      <c r="E3145" s="37" t="s">
        <v>2930</v>
      </c>
      <c r="F3145" s="24" t="s">
        <v>4278</v>
      </c>
      <c r="H3145" s="38" t="s">
        <v>4771</v>
      </c>
      <c r="I3145" s="111" t="s">
        <v>4742</v>
      </c>
      <c r="S3145" s="10" t="s">
        <v>3412</v>
      </c>
      <c r="U3145" s="22">
        <v>1</v>
      </c>
      <c r="V3145" s="22">
        <v>1</v>
      </c>
      <c r="W3145" s="73">
        <f t="shared" si="219"/>
        <v>136</v>
      </c>
      <c r="X3145" s="80">
        <f t="shared" si="218"/>
        <v>17319</v>
      </c>
      <c r="Y3145" s="82" t="s">
        <v>3584</v>
      </c>
      <c r="AA3145" s="178"/>
      <c r="AB3145" s="178">
        <v>42644</v>
      </c>
      <c r="AC3145" s="84" t="s">
        <v>2885</v>
      </c>
    </row>
    <row r="3146" spans="1:38" ht="15.45" customHeight="1" x14ac:dyDescent="0.25">
      <c r="A3146" s="29" t="s">
        <v>7305</v>
      </c>
      <c r="C3146" s="37" t="s">
        <v>2115</v>
      </c>
      <c r="E3146" s="37" t="s">
        <v>2930</v>
      </c>
      <c r="F3146" s="24" t="s">
        <v>4278</v>
      </c>
      <c r="H3146" s="38" t="s">
        <v>6767</v>
      </c>
      <c r="I3146" s="111" t="s">
        <v>4752</v>
      </c>
      <c r="J3146" s="215">
        <v>1862</v>
      </c>
      <c r="N3146" s="37" t="s">
        <v>4141</v>
      </c>
      <c r="S3146" s="10" t="s">
        <v>3412</v>
      </c>
      <c r="U3146" s="22">
        <v>1</v>
      </c>
      <c r="V3146" s="22">
        <v>3</v>
      </c>
      <c r="W3146" s="73">
        <f t="shared" si="219"/>
        <v>139</v>
      </c>
      <c r="X3146" s="80">
        <f t="shared" si="218"/>
        <v>17322</v>
      </c>
      <c r="Y3146" s="82" t="s">
        <v>5748</v>
      </c>
      <c r="Z3146" s="24" t="s">
        <v>2885</v>
      </c>
      <c r="AA3146" s="178"/>
      <c r="AB3146" s="178">
        <v>42644</v>
      </c>
      <c r="AC3146" s="84" t="s">
        <v>2885</v>
      </c>
    </row>
    <row r="3147" spans="1:38" ht="15.45" customHeight="1" x14ac:dyDescent="0.25">
      <c r="A3147" s="29" t="s">
        <v>3414</v>
      </c>
      <c r="C3147" s="37" t="s">
        <v>2115</v>
      </c>
      <c r="E3147" s="37" t="s">
        <v>2930</v>
      </c>
      <c r="F3147" s="24" t="s">
        <v>4278</v>
      </c>
      <c r="H3147" s="38" t="s">
        <v>4732</v>
      </c>
      <c r="I3147" s="111" t="s">
        <v>4733</v>
      </c>
      <c r="N3147" s="37" t="s">
        <v>3404</v>
      </c>
      <c r="S3147" s="10" t="s">
        <v>3436</v>
      </c>
      <c r="U3147" s="22">
        <v>1</v>
      </c>
      <c r="V3147" s="22">
        <v>1</v>
      </c>
      <c r="W3147" s="73">
        <f t="shared" si="219"/>
        <v>140</v>
      </c>
      <c r="X3147" s="80">
        <f t="shared" si="218"/>
        <v>17323</v>
      </c>
      <c r="Y3147" s="82" t="s">
        <v>3584</v>
      </c>
      <c r="AA3147" s="178"/>
      <c r="AB3147" s="178">
        <v>42644</v>
      </c>
      <c r="AC3147" s="84" t="s">
        <v>2885</v>
      </c>
    </row>
    <row r="3148" spans="1:38" ht="15.45" customHeight="1" x14ac:dyDescent="0.25">
      <c r="A3148" s="29" t="s">
        <v>3476</v>
      </c>
      <c r="C3148" s="37" t="s">
        <v>2115</v>
      </c>
      <c r="E3148" s="37" t="s">
        <v>2930</v>
      </c>
      <c r="F3148" s="24" t="s">
        <v>4278</v>
      </c>
      <c r="H3148" s="38" t="s">
        <v>4741</v>
      </c>
      <c r="I3148" s="111" t="s">
        <v>4742</v>
      </c>
      <c r="J3148" s="214" t="s">
        <v>3405</v>
      </c>
      <c r="N3148" s="37" t="s">
        <v>2826</v>
      </c>
      <c r="S3148" s="10" t="s">
        <v>2983</v>
      </c>
      <c r="U3148" s="22">
        <v>1</v>
      </c>
      <c r="V3148" s="22">
        <v>1</v>
      </c>
      <c r="W3148" s="73">
        <f t="shared" si="219"/>
        <v>141</v>
      </c>
      <c r="X3148" s="80">
        <f t="shared" si="218"/>
        <v>17324</v>
      </c>
      <c r="Y3148" s="82" t="s">
        <v>3584</v>
      </c>
      <c r="AA3148" s="178"/>
      <c r="AB3148" s="178">
        <v>42644</v>
      </c>
      <c r="AC3148" s="84" t="s">
        <v>2885</v>
      </c>
    </row>
    <row r="3149" spans="1:38" ht="15.45" customHeight="1" x14ac:dyDescent="0.25">
      <c r="A3149" s="29" t="s">
        <v>4922</v>
      </c>
      <c r="C3149" s="37" t="s">
        <v>2115</v>
      </c>
      <c r="E3149" s="37" t="s">
        <v>2928</v>
      </c>
      <c r="F3149" s="24" t="s">
        <v>2110</v>
      </c>
      <c r="H3149" s="38" t="s">
        <v>4803</v>
      </c>
      <c r="I3149" s="111" t="s">
        <v>4804</v>
      </c>
      <c r="J3149" s="214" t="s">
        <v>3669</v>
      </c>
      <c r="S3149" s="10" t="s">
        <v>2983</v>
      </c>
      <c r="U3149" s="22">
        <v>1</v>
      </c>
      <c r="V3149" s="22">
        <v>1</v>
      </c>
      <c r="W3149" s="73">
        <f t="shared" si="219"/>
        <v>142</v>
      </c>
      <c r="X3149" s="80">
        <f t="shared" si="218"/>
        <v>17325</v>
      </c>
      <c r="Y3149" s="82" t="s">
        <v>3584</v>
      </c>
      <c r="AA3149" s="178"/>
      <c r="AB3149" s="178">
        <v>43594</v>
      </c>
      <c r="AC3149" s="84" t="s">
        <v>2885</v>
      </c>
      <c r="AF3149" s="10" t="s">
        <v>3401</v>
      </c>
      <c r="AG3149" s="127">
        <v>43587</v>
      </c>
      <c r="AH3149" s="10" t="s">
        <v>4196</v>
      </c>
      <c r="AI3149" s="10" t="s">
        <v>2947</v>
      </c>
      <c r="AJ3149" s="127">
        <v>43587</v>
      </c>
      <c r="AK3149" s="10" t="s">
        <v>4196</v>
      </c>
    </row>
    <row r="3150" spans="1:38" ht="15.45" customHeight="1" x14ac:dyDescent="0.25">
      <c r="A3150" s="29" t="s">
        <v>5108</v>
      </c>
      <c r="C3150" s="37" t="s">
        <v>2115</v>
      </c>
      <c r="E3150" s="37" t="s">
        <v>2930</v>
      </c>
      <c r="F3150" s="24" t="s">
        <v>4279</v>
      </c>
      <c r="H3150" s="38" t="s">
        <v>4743</v>
      </c>
      <c r="I3150" s="111" t="s">
        <v>4744</v>
      </c>
      <c r="J3150" s="214" t="s">
        <v>5109</v>
      </c>
      <c r="K3150" s="10" t="s">
        <v>5110</v>
      </c>
      <c r="N3150" s="37" t="s">
        <v>3413</v>
      </c>
      <c r="S3150" s="10" t="s">
        <v>2984</v>
      </c>
      <c r="U3150" s="22">
        <v>1</v>
      </c>
      <c r="V3150" s="22">
        <v>1</v>
      </c>
      <c r="W3150" s="73">
        <f t="shared" si="219"/>
        <v>143</v>
      </c>
      <c r="X3150" s="80">
        <f t="shared" si="218"/>
        <v>17326</v>
      </c>
      <c r="Y3150" s="82" t="s">
        <v>3584</v>
      </c>
    </row>
    <row r="3151" spans="1:38" ht="15.45" customHeight="1" x14ac:dyDescent="0.25">
      <c r="A3151" s="29" t="s">
        <v>4277</v>
      </c>
      <c r="C3151" s="37" t="s">
        <v>2115</v>
      </c>
      <c r="E3151" s="37" t="s">
        <v>2930</v>
      </c>
      <c r="F3151" s="24" t="s">
        <v>4279</v>
      </c>
      <c r="H3151" s="38" t="s">
        <v>4745</v>
      </c>
      <c r="I3151" s="111" t="s">
        <v>4746</v>
      </c>
      <c r="J3151" s="214" t="s">
        <v>4238</v>
      </c>
      <c r="S3151" s="10" t="s">
        <v>3412</v>
      </c>
      <c r="U3151" s="22">
        <v>1</v>
      </c>
      <c r="V3151" s="22">
        <v>1</v>
      </c>
      <c r="W3151" s="73">
        <f t="shared" si="219"/>
        <v>144</v>
      </c>
      <c r="X3151" s="80">
        <f t="shared" si="218"/>
        <v>17327</v>
      </c>
      <c r="Y3151" s="82" t="s">
        <v>3584</v>
      </c>
      <c r="AB3151" s="177">
        <v>43266</v>
      </c>
      <c r="AC3151" s="84" t="s">
        <v>2885</v>
      </c>
    </row>
    <row r="3152" spans="1:38" ht="15.45" customHeight="1" x14ac:dyDescent="0.25">
      <c r="A3152" s="29" t="s">
        <v>4283</v>
      </c>
      <c r="C3152" s="37" t="s">
        <v>2115</v>
      </c>
      <c r="E3152" s="37" t="s">
        <v>2930</v>
      </c>
      <c r="F3152" s="24" t="s">
        <v>4279</v>
      </c>
      <c r="H3152" s="38" t="s">
        <v>4747</v>
      </c>
      <c r="I3152" s="111" t="s">
        <v>4748</v>
      </c>
      <c r="J3152" s="214" t="s">
        <v>3638</v>
      </c>
      <c r="S3152" s="10" t="s">
        <v>3412</v>
      </c>
      <c r="U3152" s="22">
        <v>1</v>
      </c>
      <c r="V3152" s="22">
        <v>1</v>
      </c>
      <c r="W3152" s="73">
        <f t="shared" si="219"/>
        <v>145</v>
      </c>
      <c r="X3152" s="80">
        <f t="shared" si="218"/>
        <v>17328</v>
      </c>
      <c r="Y3152" s="82" t="s">
        <v>2907</v>
      </c>
      <c r="Z3152" s="24" t="s">
        <v>2885</v>
      </c>
      <c r="AB3152" s="177">
        <v>43266</v>
      </c>
      <c r="AC3152" s="84" t="s">
        <v>2885</v>
      </c>
    </row>
    <row r="3153" spans="1:37" ht="15.45" customHeight="1" x14ac:dyDescent="0.25">
      <c r="A3153" s="29" t="s">
        <v>4284</v>
      </c>
      <c r="C3153" s="37" t="s">
        <v>2115</v>
      </c>
      <c r="E3153" s="37" t="s">
        <v>2930</v>
      </c>
      <c r="F3153" s="24" t="s">
        <v>4279</v>
      </c>
      <c r="H3153" s="38" t="s">
        <v>7307</v>
      </c>
      <c r="I3153" s="111" t="s">
        <v>4749</v>
      </c>
      <c r="J3153" s="214" t="s">
        <v>3039</v>
      </c>
      <c r="S3153" s="10" t="s">
        <v>3436</v>
      </c>
      <c r="U3153" s="22">
        <v>1</v>
      </c>
      <c r="V3153" s="22">
        <v>1</v>
      </c>
      <c r="W3153" s="73">
        <f t="shared" si="219"/>
        <v>146</v>
      </c>
      <c r="X3153" s="80">
        <f t="shared" si="218"/>
        <v>17329</v>
      </c>
      <c r="Y3153" s="82" t="s">
        <v>3585</v>
      </c>
      <c r="AB3153" s="177">
        <v>43266</v>
      </c>
      <c r="AC3153" s="84" t="s">
        <v>2885</v>
      </c>
    </row>
    <row r="3154" spans="1:37" ht="15.45" customHeight="1" x14ac:dyDescent="0.25">
      <c r="A3154" s="29" t="s">
        <v>4285</v>
      </c>
      <c r="C3154" s="37" t="s">
        <v>2115</v>
      </c>
      <c r="E3154" s="37" t="s">
        <v>2930</v>
      </c>
      <c r="F3154" s="24" t="s">
        <v>4279</v>
      </c>
      <c r="H3154" s="38" t="s">
        <v>4750</v>
      </c>
      <c r="I3154" s="111" t="s">
        <v>4751</v>
      </c>
      <c r="J3154" s="214" t="s">
        <v>4286</v>
      </c>
      <c r="S3154" s="10" t="s">
        <v>3412</v>
      </c>
      <c r="U3154" s="22">
        <v>1</v>
      </c>
      <c r="V3154" s="22">
        <v>1</v>
      </c>
      <c r="W3154" s="73">
        <f t="shared" si="219"/>
        <v>147</v>
      </c>
      <c r="X3154" s="80">
        <f t="shared" si="218"/>
        <v>17330</v>
      </c>
      <c r="Y3154" s="82" t="s">
        <v>3585</v>
      </c>
      <c r="AB3154" s="177">
        <v>43266</v>
      </c>
      <c r="AC3154" s="84" t="s">
        <v>2885</v>
      </c>
    </row>
    <row r="3155" spans="1:37" ht="15.45" customHeight="1" x14ac:dyDescent="0.25">
      <c r="A3155" s="29" t="s">
        <v>3544</v>
      </c>
      <c r="C3155" s="37" t="s">
        <v>2115</v>
      </c>
      <c r="E3155" s="37" t="s">
        <v>2930</v>
      </c>
      <c r="F3155" s="24" t="s">
        <v>4280</v>
      </c>
      <c r="H3155" s="38" t="s">
        <v>4757</v>
      </c>
      <c r="I3155" s="10" t="s">
        <v>4758</v>
      </c>
      <c r="J3155" s="214" t="s">
        <v>3039</v>
      </c>
      <c r="S3155" s="10" t="s">
        <v>2433</v>
      </c>
      <c r="U3155" s="22">
        <v>1</v>
      </c>
      <c r="V3155" s="22">
        <v>1</v>
      </c>
      <c r="W3155" s="73">
        <f t="shared" si="219"/>
        <v>148</v>
      </c>
      <c r="X3155" s="80">
        <f t="shared" si="218"/>
        <v>17331</v>
      </c>
      <c r="Y3155" s="82" t="s">
        <v>3584</v>
      </c>
      <c r="AB3155" s="177">
        <v>43266</v>
      </c>
      <c r="AC3155" s="84" t="s">
        <v>2885</v>
      </c>
    </row>
    <row r="3156" spans="1:37" ht="15.45" customHeight="1" x14ac:dyDescent="0.25">
      <c r="A3156" s="29" t="s">
        <v>3408</v>
      </c>
      <c r="C3156" s="37" t="s">
        <v>2115</v>
      </c>
      <c r="E3156" s="37" t="s">
        <v>2930</v>
      </c>
      <c r="F3156" s="24" t="s">
        <v>4280</v>
      </c>
      <c r="H3156" s="38" t="s">
        <v>4755</v>
      </c>
      <c r="I3156" s="111" t="s">
        <v>4756</v>
      </c>
      <c r="J3156" s="214" t="s">
        <v>3039</v>
      </c>
      <c r="N3156" s="37" t="s">
        <v>3404</v>
      </c>
      <c r="Q3156" s="37" t="s">
        <v>1998</v>
      </c>
      <c r="S3156" s="10" t="s">
        <v>2433</v>
      </c>
      <c r="U3156" s="22">
        <v>1</v>
      </c>
      <c r="V3156" s="22">
        <v>1</v>
      </c>
      <c r="W3156" s="73">
        <f t="shared" si="219"/>
        <v>149</v>
      </c>
      <c r="X3156" s="80">
        <f t="shared" si="218"/>
        <v>17332</v>
      </c>
      <c r="Y3156" s="82" t="s">
        <v>3584</v>
      </c>
      <c r="AB3156" s="177">
        <v>43266</v>
      </c>
      <c r="AC3156" s="84" t="s">
        <v>2885</v>
      </c>
      <c r="AI3156" s="10" t="s">
        <v>2208</v>
      </c>
    </row>
    <row r="3157" spans="1:37" ht="15.45" customHeight="1" x14ac:dyDescent="0.25">
      <c r="A3157" s="29" t="s">
        <v>3534</v>
      </c>
      <c r="C3157" s="37" t="s">
        <v>2115</v>
      </c>
      <c r="E3157" s="37" t="s">
        <v>2930</v>
      </c>
      <c r="F3157" s="24" t="s">
        <v>4280</v>
      </c>
      <c r="H3157" s="38" t="s">
        <v>4759</v>
      </c>
      <c r="I3157" s="10" t="s">
        <v>4760</v>
      </c>
      <c r="J3157" s="214" t="s">
        <v>3039</v>
      </c>
      <c r="S3157" s="10" t="s">
        <v>2433</v>
      </c>
      <c r="U3157" s="22">
        <v>1</v>
      </c>
      <c r="V3157" s="22">
        <v>1</v>
      </c>
      <c r="W3157" s="73">
        <f t="shared" si="219"/>
        <v>150</v>
      </c>
      <c r="X3157" s="80">
        <f t="shared" si="218"/>
        <v>17333</v>
      </c>
      <c r="Y3157" s="82" t="s">
        <v>3584</v>
      </c>
      <c r="AB3157" s="177">
        <v>42037</v>
      </c>
      <c r="AC3157" s="84" t="s">
        <v>2885</v>
      </c>
    </row>
    <row r="3158" spans="1:37" ht="15.45" customHeight="1" x14ac:dyDescent="0.25">
      <c r="A3158" s="194" t="s">
        <v>4761</v>
      </c>
      <c r="C3158" s="37" t="s">
        <v>2115</v>
      </c>
      <c r="E3158" s="37" t="s">
        <v>2930</v>
      </c>
      <c r="F3158" s="24" t="s">
        <v>4280</v>
      </c>
      <c r="H3158" s="38" t="s">
        <v>6038</v>
      </c>
      <c r="I3158" s="111" t="s">
        <v>4754</v>
      </c>
      <c r="J3158" s="215">
        <v>1992</v>
      </c>
      <c r="N3158" s="201" t="s">
        <v>6047</v>
      </c>
      <c r="P3158" s="37" t="s">
        <v>1936</v>
      </c>
      <c r="S3158" s="10" t="s">
        <v>2433</v>
      </c>
      <c r="U3158" s="22">
        <v>1</v>
      </c>
      <c r="V3158" s="22">
        <v>1</v>
      </c>
      <c r="W3158" s="73">
        <f t="shared" si="219"/>
        <v>151</v>
      </c>
      <c r="X3158" s="80">
        <f t="shared" si="218"/>
        <v>17334</v>
      </c>
      <c r="Y3158" s="82" t="s">
        <v>3591</v>
      </c>
      <c r="Z3158" s="24" t="s">
        <v>2885</v>
      </c>
      <c r="AB3158" s="177">
        <v>42037</v>
      </c>
      <c r="AC3158" s="84" t="s">
        <v>2885</v>
      </c>
    </row>
    <row r="3159" spans="1:37" ht="15.45" customHeight="1" x14ac:dyDescent="0.25">
      <c r="A3159" s="29" t="s">
        <v>3634</v>
      </c>
      <c r="C3159" s="37" t="s">
        <v>2115</v>
      </c>
      <c r="E3159" s="37" t="s">
        <v>2930</v>
      </c>
      <c r="F3159" s="24" t="s">
        <v>4281</v>
      </c>
      <c r="G3159" s="28"/>
      <c r="H3159" s="38" t="s">
        <v>4764</v>
      </c>
      <c r="I3159" s="111" t="s">
        <v>4765</v>
      </c>
      <c r="J3159" s="214" t="s">
        <v>3035</v>
      </c>
      <c r="N3159" s="37" t="s">
        <v>3404</v>
      </c>
      <c r="Q3159" s="37" t="s">
        <v>1998</v>
      </c>
      <c r="S3159" s="10" t="s">
        <v>2433</v>
      </c>
      <c r="U3159" s="22">
        <v>1</v>
      </c>
      <c r="V3159" s="22">
        <v>1</v>
      </c>
      <c r="W3159" s="73">
        <f t="shared" si="219"/>
        <v>152</v>
      </c>
      <c r="X3159" s="80">
        <f t="shared" si="218"/>
        <v>17335</v>
      </c>
      <c r="Y3159" s="82" t="s">
        <v>3584</v>
      </c>
      <c r="AB3159" s="177">
        <v>42037</v>
      </c>
      <c r="AC3159" s="84" t="s">
        <v>2885</v>
      </c>
    </row>
    <row r="3160" spans="1:37" ht="15.45" customHeight="1" x14ac:dyDescent="0.25">
      <c r="A3160" s="29" t="s">
        <v>3403</v>
      </c>
      <c r="C3160" s="37" t="s">
        <v>2115</v>
      </c>
      <c r="E3160" s="37" t="s">
        <v>2930</v>
      </c>
      <c r="F3160" s="24" t="s">
        <v>4280</v>
      </c>
      <c r="H3160" s="38" t="s">
        <v>4762</v>
      </c>
      <c r="I3160" s="111" t="s">
        <v>4763</v>
      </c>
      <c r="J3160" s="215">
        <v>2015</v>
      </c>
      <c r="S3160" s="10" t="s">
        <v>2984</v>
      </c>
      <c r="U3160" s="22">
        <v>1</v>
      </c>
      <c r="V3160" s="22">
        <v>1</v>
      </c>
      <c r="W3160" s="73">
        <f t="shared" si="219"/>
        <v>153</v>
      </c>
      <c r="X3160" s="80">
        <f t="shared" si="218"/>
        <v>17336</v>
      </c>
      <c r="Y3160" s="82" t="s">
        <v>2907</v>
      </c>
      <c r="Z3160" s="24" t="s">
        <v>2885</v>
      </c>
      <c r="AB3160" s="177">
        <v>42037</v>
      </c>
      <c r="AC3160" s="84" t="s">
        <v>2885</v>
      </c>
      <c r="AI3160" s="10" t="s">
        <v>2809</v>
      </c>
    </row>
    <row r="3161" spans="1:37" ht="15.45" customHeight="1" x14ac:dyDescent="0.25">
      <c r="A3161" s="29" t="s">
        <v>4897</v>
      </c>
      <c r="C3161" s="37" t="s">
        <v>2115</v>
      </c>
      <c r="E3161" s="37" t="s">
        <v>2926</v>
      </c>
      <c r="F3161" s="24" t="s">
        <v>2679</v>
      </c>
      <c r="H3161" s="38" t="s">
        <v>4907</v>
      </c>
      <c r="J3161" s="215" t="s">
        <v>4898</v>
      </c>
      <c r="K3161" s="10" t="s">
        <v>4904</v>
      </c>
      <c r="S3161" s="10" t="s">
        <v>3412</v>
      </c>
      <c r="U3161" s="22">
        <v>1</v>
      </c>
      <c r="V3161" s="22">
        <v>1</v>
      </c>
      <c r="W3161" s="73">
        <f t="shared" si="219"/>
        <v>154</v>
      </c>
      <c r="X3161" s="80">
        <f t="shared" si="218"/>
        <v>17337</v>
      </c>
      <c r="Y3161" s="82" t="s">
        <v>3584</v>
      </c>
      <c r="AB3161" s="177">
        <v>43621</v>
      </c>
      <c r="AC3161" s="84" t="s">
        <v>2885</v>
      </c>
      <c r="AI3161" s="10" t="s">
        <v>2946</v>
      </c>
      <c r="AK3161" s="10" t="s">
        <v>4196</v>
      </c>
    </row>
    <row r="3162" spans="1:37" ht="15.45" customHeight="1" x14ac:dyDescent="0.25">
      <c r="A3162" s="29" t="s">
        <v>4896</v>
      </c>
      <c r="C3162" s="37" t="s">
        <v>2115</v>
      </c>
      <c r="E3162" s="37" t="s">
        <v>2926</v>
      </c>
      <c r="F3162" s="24" t="s">
        <v>2679</v>
      </c>
      <c r="H3162" s="38" t="s">
        <v>4907</v>
      </c>
      <c r="J3162" s="215" t="s">
        <v>4899</v>
      </c>
      <c r="S3162" s="10" t="s">
        <v>3412</v>
      </c>
      <c r="U3162" s="22">
        <v>1</v>
      </c>
      <c r="V3162" s="22">
        <v>1</v>
      </c>
      <c r="W3162" s="73">
        <f t="shared" si="219"/>
        <v>155</v>
      </c>
      <c r="X3162" s="80">
        <f t="shared" si="218"/>
        <v>17338</v>
      </c>
      <c r="Y3162" s="82" t="s">
        <v>3584</v>
      </c>
      <c r="AB3162" s="177">
        <v>43621</v>
      </c>
      <c r="AC3162" s="84" t="s">
        <v>2885</v>
      </c>
      <c r="AI3162" s="10" t="s">
        <v>2946</v>
      </c>
      <c r="AK3162" s="10" t="s">
        <v>4196</v>
      </c>
    </row>
    <row r="3163" spans="1:37" ht="15.45" customHeight="1" x14ac:dyDescent="0.25">
      <c r="A3163" s="29" t="s">
        <v>4895</v>
      </c>
      <c r="C3163" s="37" t="s">
        <v>2115</v>
      </c>
      <c r="E3163" s="37" t="s">
        <v>2926</v>
      </c>
      <c r="F3163" s="24" t="s">
        <v>2679</v>
      </c>
      <c r="H3163" s="38" t="s">
        <v>4907</v>
      </c>
      <c r="J3163" s="215" t="s">
        <v>4900</v>
      </c>
      <c r="S3163" s="10" t="s">
        <v>3412</v>
      </c>
      <c r="U3163" s="22">
        <v>1</v>
      </c>
      <c r="V3163" s="22">
        <v>1</v>
      </c>
      <c r="W3163" s="73">
        <f t="shared" si="219"/>
        <v>156</v>
      </c>
      <c r="X3163" s="80">
        <f t="shared" si="218"/>
        <v>17339</v>
      </c>
      <c r="Y3163" s="82" t="s">
        <v>3584</v>
      </c>
      <c r="AB3163" s="177">
        <v>43621</v>
      </c>
      <c r="AC3163" s="84" t="s">
        <v>2885</v>
      </c>
      <c r="AI3163" s="10" t="s">
        <v>2946</v>
      </c>
      <c r="AK3163" s="10" t="s">
        <v>4196</v>
      </c>
    </row>
    <row r="3164" spans="1:37" ht="15.45" customHeight="1" x14ac:dyDescent="0.25">
      <c r="A3164" s="29" t="s">
        <v>4908</v>
      </c>
      <c r="C3164" s="37" t="s">
        <v>2115</v>
      </c>
      <c r="E3164" s="37" t="s">
        <v>2926</v>
      </c>
      <c r="F3164" s="24" t="s">
        <v>2679</v>
      </c>
      <c r="H3164" s="38" t="s">
        <v>4907</v>
      </c>
      <c r="J3164" s="215" t="s">
        <v>4901</v>
      </c>
      <c r="S3164" s="10" t="s">
        <v>3412</v>
      </c>
      <c r="U3164" s="22">
        <v>1</v>
      </c>
      <c r="V3164" s="22">
        <v>1</v>
      </c>
      <c r="W3164" s="73">
        <f t="shared" si="219"/>
        <v>157</v>
      </c>
      <c r="X3164" s="80">
        <f t="shared" si="218"/>
        <v>17340</v>
      </c>
      <c r="Y3164" s="82" t="s">
        <v>3584</v>
      </c>
      <c r="AB3164" s="177">
        <v>43621</v>
      </c>
      <c r="AC3164" s="84" t="s">
        <v>2885</v>
      </c>
      <c r="AI3164" s="10" t="s">
        <v>2946</v>
      </c>
      <c r="AK3164" s="10" t="s">
        <v>4196</v>
      </c>
    </row>
    <row r="3165" spans="1:37" ht="15.45" customHeight="1" x14ac:dyDescent="0.25">
      <c r="A3165" s="29" t="s">
        <v>4894</v>
      </c>
      <c r="C3165" s="37" t="s">
        <v>2115</v>
      </c>
      <c r="E3165" s="37" t="s">
        <v>2926</v>
      </c>
      <c r="F3165" s="24" t="s">
        <v>2679</v>
      </c>
      <c r="H3165" s="38" t="s">
        <v>4906</v>
      </c>
      <c r="J3165" s="215" t="s">
        <v>4902</v>
      </c>
      <c r="S3165" s="10" t="s">
        <v>3412</v>
      </c>
      <c r="U3165" s="22">
        <v>1</v>
      </c>
      <c r="V3165" s="22">
        <v>1</v>
      </c>
      <c r="W3165" s="73">
        <f t="shared" si="219"/>
        <v>158</v>
      </c>
      <c r="X3165" s="80">
        <f t="shared" si="218"/>
        <v>17341</v>
      </c>
      <c r="Y3165" s="82" t="s">
        <v>3584</v>
      </c>
      <c r="AB3165" s="177">
        <v>43621</v>
      </c>
      <c r="AC3165" s="84" t="s">
        <v>2885</v>
      </c>
      <c r="AI3165" s="10" t="s">
        <v>2946</v>
      </c>
      <c r="AK3165" s="10" t="s">
        <v>4196</v>
      </c>
    </row>
    <row r="3166" spans="1:37" ht="15.45" customHeight="1" x14ac:dyDescent="0.25">
      <c r="A3166" s="29" t="s">
        <v>5780</v>
      </c>
      <c r="C3166" s="37" t="s">
        <v>2115</v>
      </c>
      <c r="E3166" s="37" t="s">
        <v>2926</v>
      </c>
      <c r="F3166" s="24" t="s">
        <v>2679</v>
      </c>
      <c r="H3166" s="38" t="s">
        <v>4905</v>
      </c>
      <c r="J3166" s="215" t="s">
        <v>4903</v>
      </c>
      <c r="S3166" s="10" t="s">
        <v>3412</v>
      </c>
      <c r="U3166" s="22">
        <v>1</v>
      </c>
      <c r="V3166" s="22">
        <v>1</v>
      </c>
      <c r="W3166" s="73">
        <f t="shared" si="219"/>
        <v>159</v>
      </c>
      <c r="X3166" s="80">
        <f t="shared" si="218"/>
        <v>17342</v>
      </c>
      <c r="Y3166" s="82" t="s">
        <v>3584</v>
      </c>
      <c r="AB3166" s="177">
        <v>43621</v>
      </c>
      <c r="AC3166" s="84" t="s">
        <v>2885</v>
      </c>
      <c r="AI3166" s="10" t="s">
        <v>2946</v>
      </c>
      <c r="AK3166" s="10" t="s">
        <v>4196</v>
      </c>
    </row>
    <row r="3167" spans="1:37" ht="15.45" customHeight="1" x14ac:dyDescent="0.25">
      <c r="A3167" s="29" t="s">
        <v>2627</v>
      </c>
      <c r="C3167" s="37" t="s">
        <v>2115</v>
      </c>
      <c r="E3167" s="37" t="s">
        <v>2927</v>
      </c>
      <c r="F3167" s="24" t="s">
        <v>2250</v>
      </c>
      <c r="H3167" s="38" t="s">
        <v>3621</v>
      </c>
      <c r="S3167" s="10" t="s">
        <v>3412</v>
      </c>
      <c r="U3167" s="22">
        <v>1</v>
      </c>
      <c r="V3167" s="22">
        <v>1</v>
      </c>
      <c r="W3167" s="73">
        <f t="shared" si="219"/>
        <v>160</v>
      </c>
      <c r="X3167" s="80">
        <f t="shared" si="218"/>
        <v>17343</v>
      </c>
      <c r="Y3167" s="82" t="s">
        <v>3584</v>
      </c>
      <c r="AB3167" s="177">
        <v>42037</v>
      </c>
      <c r="AC3167" s="84" t="s">
        <v>2885</v>
      </c>
    </row>
    <row r="3168" spans="1:37" ht="15.45" customHeight="1" x14ac:dyDescent="0.25">
      <c r="A3168" s="29" t="s">
        <v>4331</v>
      </c>
      <c r="C3168" s="37" t="s">
        <v>2115</v>
      </c>
      <c r="E3168" s="37" t="s">
        <v>2927</v>
      </c>
      <c r="F3168" s="24" t="s">
        <v>2250</v>
      </c>
      <c r="H3168" s="38" t="s">
        <v>4332</v>
      </c>
      <c r="J3168" s="214" t="s">
        <v>3669</v>
      </c>
      <c r="S3168" s="10" t="s">
        <v>3412</v>
      </c>
      <c r="U3168" s="22">
        <v>1</v>
      </c>
      <c r="V3168" s="22">
        <v>1</v>
      </c>
      <c r="W3168" s="73">
        <f t="shared" ref="W3168" si="220">W3167+V3168</f>
        <v>161</v>
      </c>
      <c r="X3168" s="80">
        <f t="shared" si="218"/>
        <v>17344</v>
      </c>
      <c r="Y3168" s="82" t="s">
        <v>3587</v>
      </c>
      <c r="AB3168" s="177">
        <v>43403</v>
      </c>
      <c r="AC3168" s="84" t="s">
        <v>2885</v>
      </c>
    </row>
    <row r="3169" spans="1:38" ht="15.45" customHeight="1" x14ac:dyDescent="0.25">
      <c r="A3169" s="29" t="s">
        <v>4317</v>
      </c>
      <c r="C3169" s="37" t="s">
        <v>4334</v>
      </c>
      <c r="E3169" s="37" t="s">
        <v>2926</v>
      </c>
      <c r="F3169" s="24" t="s">
        <v>2093</v>
      </c>
      <c r="H3169" s="38" t="s">
        <v>6401</v>
      </c>
      <c r="I3169" s="111" t="s">
        <v>4318</v>
      </c>
      <c r="J3169" s="214" t="s">
        <v>4336</v>
      </c>
      <c r="S3169" s="10" t="s">
        <v>3412</v>
      </c>
      <c r="U3169" s="22">
        <v>1</v>
      </c>
      <c r="V3169" s="22">
        <v>1</v>
      </c>
      <c r="W3169" s="73">
        <f t="shared" ref="W3169:W3172" si="221">W3168+V3169</f>
        <v>162</v>
      </c>
      <c r="X3169" s="80">
        <f t="shared" si="218"/>
        <v>17345</v>
      </c>
      <c r="Y3169" s="82" t="s">
        <v>3584</v>
      </c>
      <c r="AB3169" s="177">
        <v>43403</v>
      </c>
      <c r="AC3169" s="84" t="s">
        <v>2885</v>
      </c>
    </row>
    <row r="3170" spans="1:38" ht="17.100000000000001" customHeight="1" x14ac:dyDescent="0.25">
      <c r="A3170" s="31" t="s">
        <v>4976</v>
      </c>
      <c r="B3170" s="25"/>
      <c r="C3170" s="37" t="s">
        <v>2292</v>
      </c>
      <c r="E3170" s="37" t="s">
        <v>2832</v>
      </c>
      <c r="F3170" s="231" t="s">
        <v>2681</v>
      </c>
      <c r="G3170" s="35"/>
      <c r="H3170" s="38" t="s">
        <v>6039</v>
      </c>
      <c r="J3170" s="214" t="s">
        <v>5312</v>
      </c>
      <c r="L3170" s="103"/>
      <c r="M3170" s="103"/>
      <c r="S3170" s="10" t="s">
        <v>3412</v>
      </c>
      <c r="T3170" s="11"/>
      <c r="U3170" s="21">
        <v>1</v>
      </c>
      <c r="V3170" s="21">
        <v>1</v>
      </c>
      <c r="W3170" s="73">
        <f t="shared" si="221"/>
        <v>163</v>
      </c>
      <c r="X3170" s="80">
        <f t="shared" si="218"/>
        <v>17346</v>
      </c>
      <c r="Y3170" s="82" t="s">
        <v>3591</v>
      </c>
      <c r="Z3170" s="24" t="s">
        <v>2885</v>
      </c>
      <c r="AB3170" s="177">
        <v>43132</v>
      </c>
      <c r="AC3170" s="84" t="s">
        <v>2885</v>
      </c>
      <c r="AF3170" s="11"/>
      <c r="AG3170" s="11"/>
      <c r="AH3170" s="11"/>
      <c r="AI3170" s="11"/>
      <c r="AJ3170" s="11"/>
      <c r="AK3170" s="11"/>
    </row>
    <row r="3171" spans="1:38" s="6" customFormat="1" ht="18" customHeight="1" x14ac:dyDescent="0.3">
      <c r="A3171" s="29" t="s">
        <v>7306</v>
      </c>
      <c r="B3171" s="24"/>
      <c r="C3171" s="37" t="s">
        <v>2292</v>
      </c>
      <c r="D3171" s="37"/>
      <c r="E3171" s="37" t="s">
        <v>2831</v>
      </c>
      <c r="F3171" s="24" t="s">
        <v>2108</v>
      </c>
      <c r="G3171" s="24"/>
      <c r="H3171" s="38" t="s">
        <v>5738</v>
      </c>
      <c r="I3171" s="111"/>
      <c r="J3171" s="214"/>
      <c r="K3171" s="10"/>
      <c r="L3171" s="102"/>
      <c r="M3171" s="102"/>
      <c r="N3171" s="37"/>
      <c r="O3171" s="37"/>
      <c r="P3171" s="37"/>
      <c r="Q3171" s="37"/>
      <c r="R3171" s="37"/>
      <c r="S3171" s="10" t="s">
        <v>3436</v>
      </c>
      <c r="T3171" s="10"/>
      <c r="U3171" s="21">
        <v>1</v>
      </c>
      <c r="V3171" s="21">
        <v>1</v>
      </c>
      <c r="W3171" s="73">
        <f t="shared" si="221"/>
        <v>164</v>
      </c>
      <c r="X3171" s="80">
        <f t="shared" si="218"/>
        <v>17347</v>
      </c>
      <c r="Y3171" s="82" t="s">
        <v>5748</v>
      </c>
      <c r="Z3171" s="24" t="s">
        <v>2885</v>
      </c>
      <c r="AA3171" s="175"/>
      <c r="AB3171" s="175">
        <v>42156</v>
      </c>
      <c r="AC3171" s="84" t="s">
        <v>2885</v>
      </c>
      <c r="AD3171" s="84"/>
      <c r="AE3171" s="29"/>
      <c r="AF3171" s="10"/>
      <c r="AG3171" s="10"/>
      <c r="AH3171" s="10"/>
      <c r="AI3171" s="10" t="s">
        <v>2810</v>
      </c>
      <c r="AJ3171" s="10"/>
      <c r="AK3171" s="10"/>
      <c r="AL3171" s="7"/>
    </row>
    <row r="3172" spans="1:38" s="6" customFormat="1" ht="18" customHeight="1" x14ac:dyDescent="0.3">
      <c r="A3172" s="29" t="s">
        <v>2862</v>
      </c>
      <c r="B3172" s="24"/>
      <c r="C3172" s="37" t="s">
        <v>2278</v>
      </c>
      <c r="D3172" s="37"/>
      <c r="E3172" s="37" t="s">
        <v>2827</v>
      </c>
      <c r="F3172" s="24" t="s">
        <v>1951</v>
      </c>
      <c r="G3172" s="24"/>
      <c r="H3172" s="38" t="s">
        <v>2863</v>
      </c>
      <c r="I3172" s="111"/>
      <c r="J3172" s="214"/>
      <c r="K3172" s="10"/>
      <c r="L3172" s="102"/>
      <c r="M3172" s="102"/>
      <c r="N3172" s="37"/>
      <c r="O3172" s="37"/>
      <c r="P3172" s="37"/>
      <c r="Q3172" s="37"/>
      <c r="R3172" s="37"/>
      <c r="S3172" s="10" t="s">
        <v>2433</v>
      </c>
      <c r="T3172" s="10"/>
      <c r="U3172" s="21">
        <v>18</v>
      </c>
      <c r="V3172" s="21">
        <v>18</v>
      </c>
      <c r="W3172" s="73">
        <f t="shared" si="221"/>
        <v>182</v>
      </c>
      <c r="X3172" s="80">
        <f t="shared" si="218"/>
        <v>17365</v>
      </c>
      <c r="Y3172" s="82" t="s">
        <v>3584</v>
      </c>
      <c r="Z3172" s="24"/>
      <c r="AA3172" s="175"/>
      <c r="AB3172" s="175">
        <v>42156</v>
      </c>
      <c r="AC3172" s="84" t="s">
        <v>2885</v>
      </c>
      <c r="AD3172" s="84"/>
      <c r="AE3172" s="29"/>
      <c r="AF3172" s="10"/>
      <c r="AG3172" s="10"/>
      <c r="AH3172" s="10"/>
      <c r="AI3172" s="10"/>
      <c r="AJ3172" s="10"/>
      <c r="AK3172" s="10"/>
      <c r="AL3172" s="7"/>
    </row>
    <row r="3173" spans="1:38" s="6" customFormat="1" ht="18" customHeight="1" x14ac:dyDescent="0.3">
      <c r="A3173" s="29" t="s">
        <v>2862</v>
      </c>
      <c r="B3173" s="24"/>
      <c r="C3173" s="37" t="s">
        <v>2278</v>
      </c>
      <c r="D3173" s="37"/>
      <c r="E3173" s="37" t="s">
        <v>2827</v>
      </c>
      <c r="F3173" s="24" t="s">
        <v>1951</v>
      </c>
      <c r="G3173" s="24"/>
      <c r="H3173" s="38" t="s">
        <v>2864</v>
      </c>
      <c r="I3173" s="111"/>
      <c r="J3173" s="214"/>
      <c r="K3173" s="10"/>
      <c r="L3173" s="102"/>
      <c r="M3173" s="102"/>
      <c r="N3173" s="37"/>
      <c r="O3173" s="37"/>
      <c r="P3173" s="37"/>
      <c r="Q3173" s="37"/>
      <c r="R3173" s="37"/>
      <c r="S3173" s="10" t="s">
        <v>2433</v>
      </c>
      <c r="T3173" s="10"/>
      <c r="U3173" s="21">
        <v>3</v>
      </c>
      <c r="V3173" s="21">
        <v>3</v>
      </c>
      <c r="W3173" s="73">
        <f>W3172+V3173</f>
        <v>185</v>
      </c>
      <c r="X3173" s="80">
        <f t="shared" si="218"/>
        <v>17368</v>
      </c>
      <c r="Y3173" s="82" t="s">
        <v>3584</v>
      </c>
      <c r="Z3173" s="24"/>
      <c r="AA3173" s="175"/>
      <c r="AB3173" s="175">
        <v>42156</v>
      </c>
      <c r="AC3173" s="84" t="s">
        <v>2885</v>
      </c>
      <c r="AD3173" s="84"/>
      <c r="AE3173" s="29"/>
      <c r="AF3173" s="10"/>
      <c r="AG3173" s="10"/>
      <c r="AH3173" s="10"/>
      <c r="AI3173" s="10"/>
      <c r="AJ3173" s="10"/>
      <c r="AK3173" s="10"/>
      <c r="AL3173" s="7"/>
    </row>
    <row r="3174" spans="1:38" s="6" customFormat="1" ht="18" customHeight="1" x14ac:dyDescent="0.3">
      <c r="A3174" s="29" t="s">
        <v>2865</v>
      </c>
      <c r="B3174" s="24"/>
      <c r="C3174" s="37" t="s">
        <v>2278</v>
      </c>
      <c r="D3174" s="37"/>
      <c r="E3174" s="37" t="s">
        <v>2827</v>
      </c>
      <c r="F3174" s="24" t="s">
        <v>5031</v>
      </c>
      <c r="G3174" s="24"/>
      <c r="H3174" s="38" t="s">
        <v>2866</v>
      </c>
      <c r="I3174" s="111"/>
      <c r="J3174" s="214"/>
      <c r="K3174" s="10"/>
      <c r="L3174" s="102"/>
      <c r="M3174" s="102"/>
      <c r="N3174" s="37"/>
      <c r="O3174" s="37"/>
      <c r="P3174" s="37"/>
      <c r="Q3174" s="37"/>
      <c r="R3174" s="37"/>
      <c r="S3174" s="10" t="s">
        <v>2390</v>
      </c>
      <c r="T3174" s="10"/>
      <c r="U3174" s="21">
        <v>1</v>
      </c>
      <c r="V3174" s="21">
        <v>1</v>
      </c>
      <c r="W3174" s="73">
        <f>W3173+V3174</f>
        <v>186</v>
      </c>
      <c r="X3174" s="80">
        <f t="shared" si="218"/>
        <v>17369</v>
      </c>
      <c r="Y3174" s="82" t="s">
        <v>3584</v>
      </c>
      <c r="Z3174" s="24"/>
      <c r="AA3174" s="175"/>
      <c r="AB3174" s="175">
        <v>42156</v>
      </c>
      <c r="AC3174" s="84" t="s">
        <v>2885</v>
      </c>
      <c r="AD3174" s="84"/>
      <c r="AE3174" s="29"/>
      <c r="AF3174" s="10"/>
      <c r="AG3174" s="10"/>
      <c r="AH3174" s="10"/>
      <c r="AI3174" s="10" t="s">
        <v>2810</v>
      </c>
      <c r="AJ3174" s="10"/>
      <c r="AK3174" s="10"/>
      <c r="AL3174" s="7"/>
    </row>
    <row r="3175" spans="1:38" s="6" customFormat="1" ht="18" customHeight="1" x14ac:dyDescent="0.3">
      <c r="A3175" s="29" t="s">
        <v>5035</v>
      </c>
      <c r="B3175" s="24"/>
      <c r="C3175" s="37" t="s">
        <v>2115</v>
      </c>
      <c r="D3175" s="37"/>
      <c r="E3175" s="37" t="s">
        <v>2827</v>
      </c>
      <c r="F3175" s="24"/>
      <c r="G3175" s="24"/>
      <c r="H3175" s="38" t="s">
        <v>6042</v>
      </c>
      <c r="I3175" s="111"/>
      <c r="J3175" s="215">
        <v>1998</v>
      </c>
      <c r="K3175" s="10" t="s">
        <v>5030</v>
      </c>
      <c r="L3175" s="102"/>
      <c r="M3175" s="102"/>
      <c r="N3175" s="37"/>
      <c r="O3175" s="37"/>
      <c r="P3175" s="37"/>
      <c r="Q3175" s="37"/>
      <c r="R3175" s="37"/>
      <c r="S3175" s="10" t="s">
        <v>2983</v>
      </c>
      <c r="T3175" s="10" t="s">
        <v>5033</v>
      </c>
      <c r="U3175" s="21">
        <v>1</v>
      </c>
      <c r="V3175" s="21">
        <v>1</v>
      </c>
      <c r="W3175" s="73">
        <f t="shared" ref="W3175:W3178" si="222">W3174+V3175</f>
        <v>187</v>
      </c>
      <c r="X3175" s="80">
        <f t="shared" si="218"/>
        <v>17370</v>
      </c>
      <c r="Y3175" s="82" t="s">
        <v>3591</v>
      </c>
      <c r="Z3175" s="24" t="s">
        <v>5032</v>
      </c>
      <c r="AA3175" s="175"/>
      <c r="AB3175" s="175">
        <v>43851</v>
      </c>
      <c r="AC3175" s="84" t="s">
        <v>2885</v>
      </c>
      <c r="AD3175" s="84"/>
      <c r="AE3175" s="29"/>
      <c r="AF3175" s="10"/>
      <c r="AG3175" s="10"/>
      <c r="AH3175" s="10"/>
      <c r="AI3175" s="10"/>
      <c r="AJ3175" s="10"/>
      <c r="AK3175" s="10"/>
      <c r="AL3175" s="7"/>
    </row>
    <row r="3176" spans="1:38" s="6" customFormat="1" ht="18" customHeight="1" x14ac:dyDescent="0.3">
      <c r="A3176" s="29" t="s">
        <v>5034</v>
      </c>
      <c r="B3176" s="24"/>
      <c r="C3176" s="37" t="s">
        <v>2115</v>
      </c>
      <c r="D3176" s="37"/>
      <c r="E3176" s="37" t="s">
        <v>2928</v>
      </c>
      <c r="F3176" s="24" t="s">
        <v>5036</v>
      </c>
      <c r="G3176" s="24"/>
      <c r="H3176" s="38" t="s">
        <v>6040</v>
      </c>
      <c r="I3176" s="111"/>
      <c r="J3176" s="214" t="s">
        <v>5029</v>
      </c>
      <c r="K3176" s="10" t="s">
        <v>5030</v>
      </c>
      <c r="L3176" s="102"/>
      <c r="M3176" s="102"/>
      <c r="N3176" s="37"/>
      <c r="O3176" s="37"/>
      <c r="P3176" s="37"/>
      <c r="Q3176" s="37"/>
      <c r="R3176" s="37"/>
      <c r="S3176" s="10" t="s">
        <v>3412</v>
      </c>
      <c r="T3176" s="10"/>
      <c r="U3176" s="21">
        <v>1</v>
      </c>
      <c r="V3176" s="21">
        <v>1</v>
      </c>
      <c r="W3176" s="73">
        <f t="shared" si="222"/>
        <v>188</v>
      </c>
      <c r="X3176" s="80">
        <f t="shared" si="218"/>
        <v>17371</v>
      </c>
      <c r="Y3176" s="82" t="s">
        <v>3591</v>
      </c>
      <c r="Z3176" s="24" t="s">
        <v>5032</v>
      </c>
      <c r="AA3176" s="175"/>
      <c r="AB3176" s="175">
        <v>43851</v>
      </c>
      <c r="AC3176" s="84" t="s">
        <v>2885</v>
      </c>
      <c r="AD3176" s="84"/>
      <c r="AE3176" s="29"/>
      <c r="AF3176" s="10"/>
      <c r="AG3176" s="10"/>
      <c r="AH3176" s="10"/>
      <c r="AI3176" s="10"/>
      <c r="AJ3176" s="10"/>
      <c r="AK3176" s="10"/>
      <c r="AL3176" s="7"/>
    </row>
    <row r="3177" spans="1:38" s="6" customFormat="1" ht="18" customHeight="1" x14ac:dyDescent="0.3">
      <c r="A3177" s="29" t="s">
        <v>5034</v>
      </c>
      <c r="B3177" s="24"/>
      <c r="C3177" s="37" t="s">
        <v>2115</v>
      </c>
      <c r="D3177" s="37"/>
      <c r="E3177" s="37" t="s">
        <v>2928</v>
      </c>
      <c r="F3177" s="24" t="s">
        <v>5037</v>
      </c>
      <c r="G3177" s="24"/>
      <c r="H3177" s="38" t="s">
        <v>6041</v>
      </c>
      <c r="I3177" s="111"/>
      <c r="J3177" s="214" t="s">
        <v>5029</v>
      </c>
      <c r="K3177" s="10" t="s">
        <v>5030</v>
      </c>
      <c r="L3177" s="102"/>
      <c r="M3177" s="102"/>
      <c r="N3177" s="37"/>
      <c r="O3177" s="37"/>
      <c r="P3177" s="37"/>
      <c r="Q3177" s="37"/>
      <c r="R3177" s="37"/>
      <c r="S3177" s="10" t="s">
        <v>3412</v>
      </c>
      <c r="T3177" s="10"/>
      <c r="U3177" s="21">
        <v>1</v>
      </c>
      <c r="V3177" s="21">
        <v>1</v>
      </c>
      <c r="W3177" s="73">
        <f t="shared" si="222"/>
        <v>189</v>
      </c>
      <c r="X3177" s="80">
        <f t="shared" si="218"/>
        <v>17372</v>
      </c>
      <c r="Y3177" s="82" t="s">
        <v>3591</v>
      </c>
      <c r="Z3177" s="24" t="s">
        <v>5032</v>
      </c>
      <c r="AA3177" s="175"/>
      <c r="AB3177" s="175">
        <v>43851</v>
      </c>
      <c r="AC3177" s="84" t="s">
        <v>2885</v>
      </c>
      <c r="AD3177" s="84"/>
      <c r="AE3177" s="29"/>
      <c r="AF3177" s="10"/>
      <c r="AG3177" s="10"/>
      <c r="AH3177" s="10"/>
      <c r="AI3177" s="10"/>
      <c r="AJ3177" s="10"/>
      <c r="AK3177" s="10"/>
      <c r="AL3177" s="7"/>
    </row>
    <row r="3178" spans="1:38" s="6" customFormat="1" ht="18" customHeight="1" x14ac:dyDescent="0.3">
      <c r="A3178" s="29" t="s">
        <v>2867</v>
      </c>
      <c r="B3178" s="24"/>
      <c r="C3178" s="37" t="s">
        <v>2278</v>
      </c>
      <c r="D3178" s="37"/>
      <c r="E3178" s="37" t="s">
        <v>2827</v>
      </c>
      <c r="F3178" s="24" t="s">
        <v>1951</v>
      </c>
      <c r="G3178" s="24"/>
      <c r="H3178" s="38" t="s">
        <v>2868</v>
      </c>
      <c r="I3178" s="111"/>
      <c r="J3178" s="214"/>
      <c r="K3178" s="10"/>
      <c r="L3178" s="102"/>
      <c r="M3178" s="102"/>
      <c r="N3178" s="37"/>
      <c r="O3178" s="37"/>
      <c r="P3178" s="37"/>
      <c r="Q3178" s="37"/>
      <c r="R3178" s="37"/>
      <c r="S3178" s="10" t="s">
        <v>2873</v>
      </c>
      <c r="T3178" s="10"/>
      <c r="U3178" s="21">
        <v>1</v>
      </c>
      <c r="V3178" s="21">
        <v>1</v>
      </c>
      <c r="W3178" s="73">
        <f t="shared" si="222"/>
        <v>190</v>
      </c>
      <c r="X3178" s="80">
        <f t="shared" si="218"/>
        <v>17373</v>
      </c>
      <c r="Y3178" s="82" t="s">
        <v>3584</v>
      </c>
      <c r="Z3178" s="24"/>
      <c r="AA3178" s="175"/>
      <c r="AB3178" s="175">
        <v>42156</v>
      </c>
      <c r="AC3178" s="84" t="s">
        <v>2885</v>
      </c>
      <c r="AD3178" s="84"/>
      <c r="AE3178" s="29"/>
      <c r="AF3178" s="10"/>
      <c r="AG3178" s="10"/>
      <c r="AH3178" s="10"/>
      <c r="AI3178" s="10"/>
      <c r="AJ3178" s="10"/>
      <c r="AK3178" s="10"/>
      <c r="AL3178" s="7"/>
    </row>
    <row r="3179" spans="1:38" s="69" customFormat="1" ht="15.45" customHeight="1" x14ac:dyDescent="0.25">
      <c r="A3179" s="45" t="s">
        <v>4861</v>
      </c>
      <c r="B3179" s="90"/>
      <c r="C3179" s="49"/>
      <c r="D3179" s="49"/>
      <c r="E3179" s="49"/>
      <c r="F3179" s="50"/>
      <c r="G3179" s="50"/>
      <c r="H3179" s="46"/>
      <c r="I3179" s="109"/>
      <c r="J3179" s="213"/>
      <c r="K3179" s="129"/>
      <c r="L3179" s="101"/>
      <c r="M3179" s="101"/>
      <c r="N3179" s="49"/>
      <c r="O3179" s="49"/>
      <c r="P3179" s="49"/>
      <c r="Q3179" s="49"/>
      <c r="R3179" s="49"/>
      <c r="S3179" s="47"/>
      <c r="T3179" s="47"/>
      <c r="U3179" s="48"/>
      <c r="V3179" s="48"/>
      <c r="W3179" s="74"/>
      <c r="X3179" s="81"/>
      <c r="Y3179" s="92"/>
      <c r="Z3179" s="90"/>
      <c r="AA3179" s="188"/>
      <c r="AB3179" s="188"/>
      <c r="AC3179" s="91"/>
      <c r="AD3179" s="91"/>
      <c r="AE3179" s="90"/>
      <c r="AF3179" s="47"/>
      <c r="AG3179" s="47"/>
      <c r="AH3179" s="47"/>
      <c r="AI3179" s="47"/>
      <c r="AJ3179" s="47"/>
      <c r="AK3179" s="47"/>
    </row>
    <row r="3180" spans="1:38" ht="17.100000000000001" customHeight="1" x14ac:dyDescent="0.25">
      <c r="A3180" s="29" t="s">
        <v>6043</v>
      </c>
      <c r="C3180" s="37" t="s">
        <v>2292</v>
      </c>
      <c r="E3180" s="37" t="s">
        <v>2832</v>
      </c>
      <c r="F3180" s="24" t="s">
        <v>2681</v>
      </c>
      <c r="H3180" s="38" t="s">
        <v>2812</v>
      </c>
      <c r="J3180" s="219" t="s">
        <v>5319</v>
      </c>
      <c r="N3180" s="151"/>
      <c r="O3180" s="151"/>
      <c r="S3180" s="10" t="s">
        <v>2873</v>
      </c>
      <c r="U3180" s="22">
        <v>1</v>
      </c>
      <c r="V3180" s="22">
        <v>1</v>
      </c>
      <c r="W3180" s="73">
        <v>1</v>
      </c>
      <c r="X3180" s="80">
        <f>V3180+X3178</f>
        <v>17374</v>
      </c>
      <c r="Y3180" s="82" t="s">
        <v>3591</v>
      </c>
      <c r="Z3180" s="24" t="s">
        <v>2885</v>
      </c>
      <c r="AA3180" s="183"/>
      <c r="AB3180" s="183">
        <v>43132</v>
      </c>
      <c r="AC3180" s="84" t="s">
        <v>2885</v>
      </c>
      <c r="AD3180" s="88"/>
      <c r="AI3180" s="10" t="s">
        <v>2811</v>
      </c>
    </row>
    <row r="3181" spans="1:38" ht="15.45" customHeight="1" x14ac:dyDescent="0.25">
      <c r="A3181" s="29" t="s">
        <v>2813</v>
      </c>
      <c r="C3181" s="37" t="s">
        <v>2292</v>
      </c>
      <c r="E3181" s="37" t="s">
        <v>2832</v>
      </c>
      <c r="F3181" s="24" t="s">
        <v>2681</v>
      </c>
      <c r="H3181" s="38" t="s">
        <v>6044</v>
      </c>
      <c r="S3181" s="10" t="s">
        <v>2873</v>
      </c>
      <c r="U3181" s="22">
        <v>1</v>
      </c>
      <c r="V3181" s="22">
        <v>1</v>
      </c>
      <c r="W3181" s="73">
        <f>W3180+V3181</f>
        <v>2</v>
      </c>
      <c r="X3181" s="80">
        <f t="shared" si="218"/>
        <v>17375</v>
      </c>
      <c r="Y3181" s="82" t="s">
        <v>3591</v>
      </c>
      <c r="Z3181" s="24" t="s">
        <v>2885</v>
      </c>
      <c r="AB3181" s="177">
        <v>43160</v>
      </c>
      <c r="AC3181" s="84" t="s">
        <v>2885</v>
      </c>
      <c r="AI3181" s="10" t="s">
        <v>2814</v>
      </c>
    </row>
    <row r="3182" spans="1:38" ht="15.45" customHeight="1" x14ac:dyDescent="0.25">
      <c r="A3182" s="29" t="s">
        <v>4924</v>
      </c>
      <c r="C3182" s="37" t="s">
        <v>2198</v>
      </c>
      <c r="E3182" s="37" t="s">
        <v>2831</v>
      </c>
      <c r="F3182" s="24" t="s">
        <v>2146</v>
      </c>
      <c r="H3182" s="38" t="s">
        <v>2472</v>
      </c>
      <c r="S3182" s="10" t="s">
        <v>3412</v>
      </c>
      <c r="U3182" s="21">
        <v>1</v>
      </c>
      <c r="V3182" s="21">
        <v>1</v>
      </c>
      <c r="W3182" s="73">
        <f t="shared" ref="W3182:W3191" si="223">W3181+V3182</f>
        <v>3</v>
      </c>
      <c r="X3182" s="80">
        <f t="shared" si="218"/>
        <v>17376</v>
      </c>
      <c r="Y3182" s="82" t="s">
        <v>3584</v>
      </c>
      <c r="AC3182" s="84" t="s">
        <v>2885</v>
      </c>
    </row>
    <row r="3183" spans="1:38" ht="15.45" customHeight="1" x14ac:dyDescent="0.25">
      <c r="A3183" s="29" t="s">
        <v>4925</v>
      </c>
      <c r="C3183" s="37" t="s">
        <v>2198</v>
      </c>
      <c r="E3183" s="37" t="s">
        <v>2830</v>
      </c>
      <c r="F3183" s="24" t="s">
        <v>2252</v>
      </c>
      <c r="H3183" s="38" t="s">
        <v>2471</v>
      </c>
      <c r="S3183" s="10" t="s">
        <v>3412</v>
      </c>
      <c r="U3183" s="21">
        <v>1</v>
      </c>
      <c r="V3183" s="21">
        <v>1</v>
      </c>
      <c r="W3183" s="73">
        <f t="shared" si="223"/>
        <v>4</v>
      </c>
      <c r="X3183" s="80">
        <f t="shared" si="218"/>
        <v>17377</v>
      </c>
      <c r="Y3183" s="82" t="s">
        <v>3584</v>
      </c>
      <c r="AC3183" s="84" t="s">
        <v>2885</v>
      </c>
      <c r="AI3183" s="10" t="s">
        <v>2249</v>
      </c>
    </row>
    <row r="3184" spans="1:38" ht="15.45" customHeight="1" x14ac:dyDescent="0.25">
      <c r="A3184" s="29" t="s">
        <v>4925</v>
      </c>
      <c r="C3184" s="37" t="s">
        <v>2198</v>
      </c>
      <c r="E3184" s="37" t="s">
        <v>2830</v>
      </c>
      <c r="F3184" s="24" t="s">
        <v>2252</v>
      </c>
      <c r="H3184" s="38" t="s">
        <v>2617</v>
      </c>
      <c r="S3184" s="10" t="s">
        <v>3412</v>
      </c>
      <c r="U3184" s="21">
        <v>1</v>
      </c>
      <c r="V3184" s="21">
        <v>1</v>
      </c>
      <c r="W3184" s="73">
        <f t="shared" si="223"/>
        <v>5</v>
      </c>
      <c r="X3184" s="80">
        <f t="shared" si="218"/>
        <v>17378</v>
      </c>
      <c r="Y3184" s="82" t="s">
        <v>3584</v>
      </c>
      <c r="AC3184" s="84" t="s">
        <v>2885</v>
      </c>
      <c r="AI3184" s="10" t="s">
        <v>2249</v>
      </c>
    </row>
    <row r="3185" spans="1:38" ht="15.45" customHeight="1" x14ac:dyDescent="0.25">
      <c r="A3185" s="29" t="s">
        <v>4925</v>
      </c>
      <c r="C3185" s="37" t="s">
        <v>2251</v>
      </c>
      <c r="E3185" s="37" t="s">
        <v>2830</v>
      </c>
      <c r="F3185" s="24" t="s">
        <v>2252</v>
      </c>
      <c r="H3185" s="38" t="s">
        <v>2470</v>
      </c>
      <c r="S3185" s="10" t="s">
        <v>3412</v>
      </c>
      <c r="U3185" s="21">
        <v>1</v>
      </c>
      <c r="V3185" s="21">
        <v>1</v>
      </c>
      <c r="W3185" s="73">
        <f t="shared" si="223"/>
        <v>6</v>
      </c>
      <c r="X3185" s="80">
        <f t="shared" ref="X3185:X3191" si="224">V3185+X3184</f>
        <v>17379</v>
      </c>
      <c r="Y3185" s="82" t="s">
        <v>3584</v>
      </c>
      <c r="AC3185" s="84" t="s">
        <v>2885</v>
      </c>
      <c r="AI3185" s="10" t="s">
        <v>2249</v>
      </c>
    </row>
    <row r="3186" spans="1:38" ht="15.45" customHeight="1" x14ac:dyDescent="0.25">
      <c r="A3186" s="29" t="s">
        <v>4923</v>
      </c>
      <c r="C3186" s="37" t="s">
        <v>2198</v>
      </c>
      <c r="E3186" s="37" t="s">
        <v>2831</v>
      </c>
      <c r="F3186" s="24" t="s">
        <v>2250</v>
      </c>
      <c r="H3186" s="38" t="s">
        <v>2469</v>
      </c>
      <c r="S3186" s="10" t="s">
        <v>3412</v>
      </c>
      <c r="U3186" s="21">
        <v>1</v>
      </c>
      <c r="V3186" s="21">
        <v>1</v>
      </c>
      <c r="W3186" s="73">
        <f t="shared" si="223"/>
        <v>7</v>
      </c>
      <c r="X3186" s="80">
        <f t="shared" si="224"/>
        <v>17380</v>
      </c>
      <c r="Y3186" s="82" t="s">
        <v>3584</v>
      </c>
      <c r="AB3186" s="177">
        <v>42614</v>
      </c>
      <c r="AC3186" s="84" t="s">
        <v>2885</v>
      </c>
      <c r="AI3186" s="10" t="s">
        <v>2249</v>
      </c>
    </row>
    <row r="3187" spans="1:38" ht="15.45" customHeight="1" x14ac:dyDescent="0.25">
      <c r="A3187" s="29" t="s">
        <v>4926</v>
      </c>
      <c r="C3187" s="37" t="s">
        <v>2198</v>
      </c>
      <c r="E3187" s="37" t="s">
        <v>2831</v>
      </c>
      <c r="F3187" s="24" t="s">
        <v>2250</v>
      </c>
      <c r="H3187" s="38" t="s">
        <v>2618</v>
      </c>
      <c r="S3187" s="10" t="s">
        <v>2983</v>
      </c>
      <c r="U3187" s="21">
        <v>1</v>
      </c>
      <c r="V3187" s="21">
        <v>1</v>
      </c>
      <c r="W3187" s="73">
        <f t="shared" si="223"/>
        <v>8</v>
      </c>
      <c r="X3187" s="80">
        <f t="shared" si="224"/>
        <v>17381</v>
      </c>
      <c r="Y3187" s="82" t="s">
        <v>3591</v>
      </c>
      <c r="Z3187" s="24" t="s">
        <v>2885</v>
      </c>
      <c r="AA3187" s="178"/>
      <c r="AB3187" s="178">
        <v>42736</v>
      </c>
      <c r="AC3187" s="84" t="s">
        <v>2885</v>
      </c>
    </row>
    <row r="3188" spans="1:38" ht="15.45" customHeight="1" x14ac:dyDescent="0.25">
      <c r="A3188" s="29" t="s">
        <v>4926</v>
      </c>
      <c r="C3188" s="37" t="s">
        <v>2198</v>
      </c>
      <c r="E3188" s="37" t="s">
        <v>2831</v>
      </c>
      <c r="F3188" s="24" t="s">
        <v>2141</v>
      </c>
      <c r="H3188" s="38" t="s">
        <v>2618</v>
      </c>
      <c r="S3188" s="10" t="s">
        <v>2983</v>
      </c>
      <c r="U3188" s="21">
        <v>1</v>
      </c>
      <c r="V3188" s="21">
        <v>1</v>
      </c>
      <c r="W3188" s="73">
        <f t="shared" si="223"/>
        <v>9</v>
      </c>
      <c r="X3188" s="80">
        <f t="shared" si="224"/>
        <v>17382</v>
      </c>
      <c r="Y3188" s="82" t="s">
        <v>3591</v>
      </c>
      <c r="Z3188" s="24" t="s">
        <v>2885</v>
      </c>
      <c r="AA3188" s="178"/>
      <c r="AB3188" s="178">
        <v>42736</v>
      </c>
      <c r="AC3188" s="84" t="s">
        <v>2885</v>
      </c>
    </row>
    <row r="3189" spans="1:38" ht="15.45" customHeight="1" x14ac:dyDescent="0.25">
      <c r="A3189" s="29" t="s">
        <v>5734</v>
      </c>
      <c r="C3189" s="37" t="s">
        <v>2198</v>
      </c>
      <c r="E3189" s="37" t="s">
        <v>2831</v>
      </c>
      <c r="F3189" s="24" t="s">
        <v>2145</v>
      </c>
      <c r="H3189" s="38" t="s">
        <v>5735</v>
      </c>
      <c r="S3189" s="10" t="s">
        <v>2980</v>
      </c>
      <c r="T3189" s="10" t="s">
        <v>2371</v>
      </c>
      <c r="U3189" s="21">
        <v>1</v>
      </c>
      <c r="V3189" s="21">
        <v>1</v>
      </c>
      <c r="W3189" s="73">
        <f t="shared" si="223"/>
        <v>10</v>
      </c>
      <c r="X3189" s="80">
        <f t="shared" si="224"/>
        <v>17383</v>
      </c>
      <c r="Y3189" s="82" t="s">
        <v>3584</v>
      </c>
      <c r="AA3189" s="178"/>
      <c r="AB3189" s="178">
        <v>42736</v>
      </c>
      <c r="AC3189" s="84" t="s">
        <v>2885</v>
      </c>
      <c r="AI3189" s="10" t="s">
        <v>2475</v>
      </c>
    </row>
    <row r="3190" spans="1:38" ht="15.45" customHeight="1" x14ac:dyDescent="0.25">
      <c r="A3190" s="29" t="s">
        <v>5736</v>
      </c>
      <c r="C3190" s="37" t="s">
        <v>2292</v>
      </c>
      <c r="E3190" s="37" t="s">
        <v>2928</v>
      </c>
      <c r="F3190" s="24" t="s">
        <v>5028</v>
      </c>
      <c r="H3190" s="38" t="s">
        <v>5737</v>
      </c>
      <c r="J3190" s="214" t="s">
        <v>5029</v>
      </c>
      <c r="K3190" s="10" t="s">
        <v>5030</v>
      </c>
      <c r="S3190" s="10" t="s">
        <v>3412</v>
      </c>
      <c r="U3190" s="21">
        <v>1</v>
      </c>
      <c r="V3190" s="21">
        <v>1</v>
      </c>
      <c r="W3190" s="73">
        <f t="shared" si="223"/>
        <v>11</v>
      </c>
      <c r="X3190" s="80">
        <f t="shared" si="224"/>
        <v>17384</v>
      </c>
      <c r="Y3190" s="82" t="s">
        <v>3591</v>
      </c>
      <c r="Z3190" s="24" t="s">
        <v>2885</v>
      </c>
      <c r="AB3190" s="177">
        <v>43851</v>
      </c>
      <c r="AC3190" s="84" t="s">
        <v>2885</v>
      </c>
    </row>
    <row r="3191" spans="1:38" ht="15.45" customHeight="1" x14ac:dyDescent="0.25">
      <c r="A3191" s="29" t="s">
        <v>5733</v>
      </c>
      <c r="C3191" s="37" t="s">
        <v>2198</v>
      </c>
      <c r="E3191" s="37" t="s">
        <v>2831</v>
      </c>
      <c r="H3191" s="38" t="s">
        <v>2616</v>
      </c>
      <c r="S3191" s="10" t="s">
        <v>3412</v>
      </c>
      <c r="U3191" s="21">
        <v>2</v>
      </c>
      <c r="V3191" s="21">
        <v>2</v>
      </c>
      <c r="W3191" s="73">
        <f t="shared" si="223"/>
        <v>13</v>
      </c>
      <c r="X3191" s="80">
        <f t="shared" si="224"/>
        <v>17386</v>
      </c>
      <c r="Y3191" s="82" t="s">
        <v>3591</v>
      </c>
      <c r="Z3191" s="24" t="s">
        <v>2885</v>
      </c>
      <c r="AB3191" s="177">
        <v>42795</v>
      </c>
      <c r="AC3191" s="84" t="s">
        <v>2885</v>
      </c>
    </row>
    <row r="3192" spans="1:38" s="51" customFormat="1" ht="15.45" customHeight="1" x14ac:dyDescent="0.25">
      <c r="A3192" s="45" t="s">
        <v>6907</v>
      </c>
      <c r="B3192" s="50"/>
      <c r="C3192" s="49"/>
      <c r="D3192" s="49"/>
      <c r="E3192" s="49"/>
      <c r="F3192" s="50"/>
      <c r="G3192" s="50"/>
      <c r="H3192" s="55"/>
      <c r="I3192" s="110"/>
      <c r="J3192" s="212"/>
      <c r="K3192" s="56"/>
      <c r="L3192" s="100"/>
      <c r="M3192" s="100"/>
      <c r="N3192" s="49"/>
      <c r="O3192" s="49"/>
      <c r="P3192" s="49"/>
      <c r="Q3192" s="49"/>
      <c r="R3192" s="49"/>
      <c r="S3192" s="56"/>
      <c r="T3192" s="56"/>
      <c r="U3192" s="48"/>
      <c r="V3192" s="48"/>
      <c r="W3192" s="74"/>
      <c r="X3192" s="81"/>
      <c r="Y3192" s="132"/>
      <c r="Z3192" s="50"/>
      <c r="AA3192" s="173"/>
      <c r="AB3192" s="173"/>
      <c r="AC3192" s="137"/>
      <c r="AD3192" s="137"/>
      <c r="AE3192" s="83"/>
      <c r="AF3192" s="56"/>
      <c r="AG3192" s="56"/>
      <c r="AH3192" s="56"/>
      <c r="AI3192" s="56"/>
      <c r="AJ3192" s="56"/>
      <c r="AK3192" s="56"/>
    </row>
    <row r="3193" spans="1:38" s="6" customFormat="1" ht="18" customHeight="1" x14ac:dyDescent="0.3">
      <c r="A3193" s="29" t="s">
        <v>3416</v>
      </c>
      <c r="B3193" s="24"/>
      <c r="C3193" s="37" t="s">
        <v>4847</v>
      </c>
      <c r="D3193" s="37"/>
      <c r="E3193" s="37" t="s">
        <v>2831</v>
      </c>
      <c r="F3193" s="24" t="s">
        <v>2108</v>
      </c>
      <c r="G3193" s="24"/>
      <c r="H3193" s="38" t="s">
        <v>3415</v>
      </c>
      <c r="I3193" s="111"/>
      <c r="J3193" s="214"/>
      <c r="K3193" s="10"/>
      <c r="L3193" s="102">
        <v>2</v>
      </c>
      <c r="M3193" s="102"/>
      <c r="N3193" s="37"/>
      <c r="O3193" s="37"/>
      <c r="P3193" s="37"/>
      <c r="Q3193" s="37"/>
      <c r="R3193" s="37"/>
      <c r="S3193" s="10" t="s">
        <v>2983</v>
      </c>
      <c r="T3193" s="10"/>
      <c r="U3193" s="21">
        <v>1</v>
      </c>
      <c r="V3193" s="21">
        <v>1</v>
      </c>
      <c r="W3193" s="76">
        <v>1</v>
      </c>
      <c r="X3193" s="80">
        <f>V3193+X3191</f>
        <v>17387</v>
      </c>
      <c r="Y3193" s="82" t="s">
        <v>3584</v>
      </c>
      <c r="Z3193" s="24"/>
      <c r="AA3193" s="175"/>
      <c r="AB3193" s="175"/>
      <c r="AC3193" s="84" t="s">
        <v>2885</v>
      </c>
      <c r="AD3193" s="84"/>
      <c r="AE3193" s="29"/>
      <c r="AF3193" s="10"/>
      <c r="AG3193" s="10"/>
      <c r="AH3193" s="10"/>
      <c r="AI3193" s="10"/>
      <c r="AJ3193" s="10"/>
      <c r="AK3193" s="10"/>
      <c r="AL3193" s="7"/>
    </row>
    <row r="3194" spans="1:38" s="6" customFormat="1" ht="18" customHeight="1" x14ac:dyDescent="0.3">
      <c r="A3194" s="29" t="s">
        <v>2601</v>
      </c>
      <c r="B3194" s="24"/>
      <c r="C3194" s="37" t="s">
        <v>4847</v>
      </c>
      <c r="D3194" s="37"/>
      <c r="E3194" s="37" t="s">
        <v>2831</v>
      </c>
      <c r="F3194" s="24" t="s">
        <v>2108</v>
      </c>
      <c r="G3194" s="24"/>
      <c r="H3194" s="38" t="s">
        <v>6045</v>
      </c>
      <c r="I3194" s="111"/>
      <c r="J3194" s="214"/>
      <c r="K3194" s="10"/>
      <c r="L3194" s="102"/>
      <c r="M3194" s="102"/>
      <c r="N3194" s="37"/>
      <c r="O3194" s="37"/>
      <c r="P3194" s="37"/>
      <c r="Q3194" s="37"/>
      <c r="R3194" s="37"/>
      <c r="S3194" s="10" t="s">
        <v>3412</v>
      </c>
      <c r="T3194" s="10"/>
      <c r="U3194" s="21">
        <v>1</v>
      </c>
      <c r="V3194" s="21">
        <v>1</v>
      </c>
      <c r="W3194" s="76">
        <f>W3193+V3194</f>
        <v>2</v>
      </c>
      <c r="X3194" s="80">
        <f>V3194+X3193</f>
        <v>17388</v>
      </c>
      <c r="Y3194" s="82" t="s">
        <v>3591</v>
      </c>
      <c r="Z3194" s="24" t="s">
        <v>2885</v>
      </c>
      <c r="AA3194" s="175"/>
      <c r="AB3194" s="177">
        <v>42705</v>
      </c>
      <c r="AC3194" s="84" t="s">
        <v>2885</v>
      </c>
      <c r="AD3194" s="84"/>
      <c r="AE3194" s="29"/>
      <c r="AF3194" s="10"/>
      <c r="AG3194" s="10"/>
      <c r="AH3194" s="10"/>
      <c r="AI3194" s="10"/>
      <c r="AJ3194" s="10"/>
      <c r="AK3194" s="10"/>
      <c r="AL3194" s="7"/>
    </row>
    <row r="3195" spans="1:38" s="6" customFormat="1" ht="18" customHeight="1" x14ac:dyDescent="0.3">
      <c r="A3195" s="29" t="s">
        <v>5253</v>
      </c>
      <c r="B3195" s="24"/>
      <c r="C3195" s="37" t="s">
        <v>4847</v>
      </c>
      <c r="D3195" s="24"/>
      <c r="E3195" s="24"/>
      <c r="F3195" s="24"/>
      <c r="G3195" s="24"/>
      <c r="H3195" s="24"/>
      <c r="I3195" s="24"/>
      <c r="J3195" s="228"/>
      <c r="K3195" s="24"/>
      <c r="L3195" s="24"/>
      <c r="M3195" s="24"/>
      <c r="N3195" s="24"/>
      <c r="O3195" s="10"/>
      <c r="P3195" s="10"/>
      <c r="Q3195" s="37"/>
      <c r="R3195" s="37"/>
      <c r="S3195" s="10" t="s">
        <v>2983</v>
      </c>
      <c r="T3195" s="10"/>
      <c r="U3195" s="21"/>
      <c r="V3195" s="21"/>
      <c r="W3195" s="76"/>
      <c r="X3195" s="80">
        <f t="shared" ref="X3195:X3199" si="225">V3195+X3194</f>
        <v>17388</v>
      </c>
      <c r="Y3195" s="82" t="s">
        <v>3584</v>
      </c>
      <c r="Z3195" s="24"/>
      <c r="AA3195" s="175"/>
      <c r="AB3195" s="177">
        <v>44299</v>
      </c>
      <c r="AC3195" s="84" t="s">
        <v>2885</v>
      </c>
      <c r="AD3195" s="84"/>
      <c r="AE3195" s="29"/>
      <c r="AF3195" s="10"/>
      <c r="AG3195" s="10"/>
      <c r="AH3195" s="10"/>
      <c r="AI3195" s="10"/>
      <c r="AJ3195" s="10"/>
      <c r="AK3195" s="10"/>
      <c r="AL3195" s="7"/>
    </row>
    <row r="3196" spans="1:38" s="6" customFormat="1" ht="18" customHeight="1" x14ac:dyDescent="0.3">
      <c r="A3196" s="29" t="s">
        <v>5255</v>
      </c>
      <c r="B3196" s="24"/>
      <c r="C3196" s="37" t="s">
        <v>4847</v>
      </c>
      <c r="D3196" s="37"/>
      <c r="E3196" s="37"/>
      <c r="F3196" s="24"/>
      <c r="G3196" s="24"/>
      <c r="H3196" s="38"/>
      <c r="I3196" s="111"/>
      <c r="J3196" s="214"/>
      <c r="K3196" s="10"/>
      <c r="L3196" s="102"/>
      <c r="M3196" s="102"/>
      <c r="N3196" s="37"/>
      <c r="O3196" s="37"/>
      <c r="P3196" s="37"/>
      <c r="Q3196" s="37"/>
      <c r="R3196" s="37"/>
      <c r="S3196" s="10" t="s">
        <v>2983</v>
      </c>
      <c r="T3196" s="10"/>
      <c r="U3196" s="21"/>
      <c r="V3196" s="21"/>
      <c r="W3196" s="76"/>
      <c r="X3196" s="80">
        <f t="shared" si="225"/>
        <v>17388</v>
      </c>
      <c r="Y3196" s="82" t="s">
        <v>3584</v>
      </c>
      <c r="Z3196" s="24"/>
      <c r="AA3196" s="175"/>
      <c r="AB3196" s="177">
        <v>44299</v>
      </c>
      <c r="AC3196" s="84" t="s">
        <v>2885</v>
      </c>
      <c r="AD3196" s="84"/>
      <c r="AE3196" s="29"/>
      <c r="AF3196" s="10"/>
      <c r="AG3196" s="10"/>
      <c r="AH3196" s="10"/>
      <c r="AI3196" s="10"/>
      <c r="AJ3196" s="10"/>
      <c r="AK3196" s="10"/>
      <c r="AL3196" s="7"/>
    </row>
    <row r="3197" spans="1:38" s="6" customFormat="1" ht="18" customHeight="1" x14ac:dyDescent="0.3">
      <c r="A3197" s="29" t="s">
        <v>5254</v>
      </c>
      <c r="B3197" s="24"/>
      <c r="C3197" s="37" t="s">
        <v>4847</v>
      </c>
      <c r="D3197" s="37"/>
      <c r="E3197" s="37"/>
      <c r="F3197" s="24"/>
      <c r="G3197" s="24"/>
      <c r="H3197" s="38"/>
      <c r="I3197" s="111"/>
      <c r="J3197" s="214"/>
      <c r="K3197" s="10"/>
      <c r="L3197" s="102"/>
      <c r="M3197" s="102"/>
      <c r="N3197" s="37"/>
      <c r="O3197" s="37"/>
      <c r="P3197" s="37"/>
      <c r="Q3197" s="37"/>
      <c r="R3197" s="37"/>
      <c r="S3197" s="10" t="s">
        <v>2983</v>
      </c>
      <c r="T3197" s="10"/>
      <c r="U3197" s="21"/>
      <c r="V3197" s="21"/>
      <c r="W3197" s="76"/>
      <c r="X3197" s="80">
        <f t="shared" si="225"/>
        <v>17388</v>
      </c>
      <c r="Y3197" s="82" t="s">
        <v>3584</v>
      </c>
      <c r="Z3197" s="24"/>
      <c r="AA3197" s="175"/>
      <c r="AB3197" s="177">
        <v>44299</v>
      </c>
      <c r="AC3197" s="84" t="s">
        <v>2885</v>
      </c>
      <c r="AD3197" s="84"/>
      <c r="AE3197" s="29"/>
      <c r="AF3197" s="10"/>
      <c r="AG3197" s="10"/>
      <c r="AH3197" s="10"/>
      <c r="AI3197" s="10"/>
      <c r="AJ3197" s="10"/>
      <c r="AK3197" s="10"/>
      <c r="AL3197" s="7"/>
    </row>
    <row r="3198" spans="1:38" s="6" customFormat="1" ht="18" customHeight="1" x14ac:dyDescent="0.3">
      <c r="A3198" s="29" t="s">
        <v>6068</v>
      </c>
      <c r="B3198" s="24"/>
      <c r="C3198" s="37" t="s">
        <v>4847</v>
      </c>
      <c r="D3198" s="37"/>
      <c r="E3198" s="37" t="s">
        <v>5301</v>
      </c>
      <c r="F3198" s="24" t="s">
        <v>6062</v>
      </c>
      <c r="G3198" s="24"/>
      <c r="H3198" s="38" t="s">
        <v>6069</v>
      </c>
      <c r="I3198" s="111"/>
      <c r="J3198" s="214" t="s">
        <v>6064</v>
      </c>
      <c r="K3198" s="10"/>
      <c r="L3198" s="102"/>
      <c r="M3198" s="102"/>
      <c r="N3198" s="37" t="s">
        <v>6065</v>
      </c>
      <c r="O3198" s="37" t="s">
        <v>6066</v>
      </c>
      <c r="P3198" s="37" t="s">
        <v>6067</v>
      </c>
      <c r="Q3198" s="37" t="s">
        <v>3506</v>
      </c>
      <c r="R3198" s="37" t="s">
        <v>1792</v>
      </c>
      <c r="S3198" s="10" t="s">
        <v>2980</v>
      </c>
      <c r="T3198" s="10" t="s">
        <v>6063</v>
      </c>
      <c r="U3198" s="21">
        <v>1</v>
      </c>
      <c r="V3198" s="21">
        <v>2</v>
      </c>
      <c r="W3198" s="76"/>
      <c r="X3198" s="80">
        <f t="shared" si="225"/>
        <v>17390</v>
      </c>
      <c r="Y3198" s="82" t="s">
        <v>2986</v>
      </c>
      <c r="Z3198" s="24"/>
      <c r="AA3198" s="175"/>
      <c r="AB3198" s="177">
        <v>44456</v>
      </c>
      <c r="AC3198" s="84" t="s">
        <v>2885</v>
      </c>
      <c r="AD3198" s="84"/>
      <c r="AE3198" s="29"/>
      <c r="AF3198" s="10"/>
      <c r="AG3198" s="10"/>
      <c r="AH3198" s="10"/>
      <c r="AI3198" s="10"/>
      <c r="AJ3198" s="10"/>
      <c r="AK3198" s="10"/>
      <c r="AL3198" s="7"/>
    </row>
    <row r="3199" spans="1:38" ht="15.45" customHeight="1" x14ac:dyDescent="0.25">
      <c r="A3199" s="29" t="s">
        <v>4950</v>
      </c>
      <c r="C3199" s="37" t="s">
        <v>4847</v>
      </c>
      <c r="E3199" s="37" t="s">
        <v>2928</v>
      </c>
      <c r="F3199" s="24" t="s">
        <v>4909</v>
      </c>
      <c r="H3199" s="38" t="s">
        <v>4857</v>
      </c>
      <c r="J3199" s="215" t="s">
        <v>4629</v>
      </c>
      <c r="P3199" s="37" t="s">
        <v>1463</v>
      </c>
      <c r="Q3199" s="37" t="s">
        <v>3506</v>
      </c>
      <c r="S3199" s="10" t="s">
        <v>3436</v>
      </c>
      <c r="U3199" s="22">
        <v>1</v>
      </c>
      <c r="V3199" s="22">
        <v>1</v>
      </c>
      <c r="W3199" s="73">
        <f>SUM(W3194+V3199)</f>
        <v>3</v>
      </c>
      <c r="X3199" s="80">
        <f t="shared" si="225"/>
        <v>17391</v>
      </c>
      <c r="Y3199" s="82" t="s">
        <v>3592</v>
      </c>
      <c r="Z3199" s="24" t="s">
        <v>2884</v>
      </c>
      <c r="AB3199" s="177">
        <v>43174</v>
      </c>
      <c r="AC3199" s="84" t="s">
        <v>2885</v>
      </c>
    </row>
    <row r="3200" spans="1:38" s="51" customFormat="1" ht="15.45" customHeight="1" x14ac:dyDescent="0.25">
      <c r="A3200" s="45" t="s">
        <v>5986</v>
      </c>
      <c r="B3200" s="50"/>
      <c r="C3200" s="49"/>
      <c r="D3200" s="49"/>
      <c r="E3200" s="49"/>
      <c r="F3200" s="50"/>
      <c r="G3200" s="50"/>
      <c r="H3200" s="55"/>
      <c r="I3200" s="110"/>
      <c r="J3200" s="212"/>
      <c r="K3200" s="56"/>
      <c r="L3200" s="100"/>
      <c r="M3200" s="100"/>
      <c r="N3200" s="49"/>
      <c r="O3200" s="49"/>
      <c r="P3200" s="49"/>
      <c r="Q3200" s="49"/>
      <c r="R3200" s="49"/>
      <c r="S3200" s="56"/>
      <c r="T3200" s="56"/>
      <c r="U3200" s="48"/>
      <c r="V3200" s="48"/>
      <c r="W3200" s="74"/>
      <c r="X3200" s="81"/>
      <c r="Y3200" s="132"/>
      <c r="Z3200" s="50"/>
      <c r="AA3200" s="173"/>
      <c r="AB3200" s="173"/>
      <c r="AC3200" s="137"/>
      <c r="AD3200" s="137"/>
      <c r="AE3200" s="83"/>
      <c r="AF3200" s="56"/>
      <c r="AG3200" s="56"/>
      <c r="AH3200" s="56"/>
      <c r="AI3200" s="56"/>
      <c r="AJ3200" s="56"/>
      <c r="AK3200" s="56"/>
    </row>
    <row r="3201" spans="1:37" ht="15.45" customHeight="1" x14ac:dyDescent="0.25">
      <c r="A3201" s="29" t="s">
        <v>5288</v>
      </c>
      <c r="C3201" s="37" t="s">
        <v>3624</v>
      </c>
      <c r="E3201" s="37" t="s">
        <v>2926</v>
      </c>
      <c r="F3201" s="24" t="s">
        <v>2093</v>
      </c>
      <c r="H3201" s="38" t="s">
        <v>5289</v>
      </c>
      <c r="J3201" s="215">
        <v>2016</v>
      </c>
      <c r="P3201" s="37" t="s">
        <v>1463</v>
      </c>
      <c r="S3201" s="10" t="s">
        <v>3412</v>
      </c>
      <c r="U3201" s="22">
        <v>1</v>
      </c>
      <c r="V3201" s="22">
        <v>1</v>
      </c>
      <c r="W3201" s="73">
        <v>1</v>
      </c>
      <c r="X3201" s="80">
        <f>V3201+X3199</f>
        <v>17392</v>
      </c>
      <c r="Y3201" s="82" t="s">
        <v>2907</v>
      </c>
      <c r="Z3201" s="24" t="s">
        <v>2885</v>
      </c>
      <c r="AB3201" s="177">
        <v>42644</v>
      </c>
      <c r="AC3201" s="84" t="s">
        <v>2885</v>
      </c>
      <c r="AI3201" s="10" t="s">
        <v>2683</v>
      </c>
    </row>
    <row r="3202" spans="1:37" ht="15.45" customHeight="1" x14ac:dyDescent="0.25">
      <c r="A3202" s="29" t="s">
        <v>5290</v>
      </c>
      <c r="C3202" s="37" t="s">
        <v>3624</v>
      </c>
      <c r="E3202" s="37" t="s">
        <v>2928</v>
      </c>
      <c r="F3202" s="24" t="s">
        <v>5040</v>
      </c>
      <c r="H3202" s="38" t="s">
        <v>5281</v>
      </c>
      <c r="J3202" s="214" t="s">
        <v>4336</v>
      </c>
      <c r="P3202" s="37" t="s">
        <v>1463</v>
      </c>
      <c r="S3202" s="10" t="s">
        <v>3412</v>
      </c>
      <c r="U3202" s="22">
        <v>5</v>
      </c>
      <c r="V3202" s="22">
        <v>5</v>
      </c>
      <c r="W3202" s="73">
        <f>W3201+V3202</f>
        <v>6</v>
      </c>
      <c r="X3202" s="80">
        <f>V3202+X3201</f>
        <v>17397</v>
      </c>
      <c r="Y3202" s="82" t="s">
        <v>5304</v>
      </c>
      <c r="Z3202" s="24" t="s">
        <v>2894</v>
      </c>
      <c r="AB3202" s="177">
        <v>42019</v>
      </c>
      <c r="AC3202" s="84" t="s">
        <v>2885</v>
      </c>
    </row>
    <row r="3203" spans="1:37" ht="15.45" customHeight="1" x14ac:dyDescent="0.25">
      <c r="A3203" s="29" t="s">
        <v>4333</v>
      </c>
      <c r="C3203" s="37" t="s">
        <v>3624</v>
      </c>
      <c r="E3203" s="37" t="s">
        <v>2930</v>
      </c>
      <c r="F3203" s="24" t="s">
        <v>4281</v>
      </c>
      <c r="H3203" s="38" t="s">
        <v>5276</v>
      </c>
      <c r="J3203" s="214" t="s">
        <v>5279</v>
      </c>
      <c r="K3203" s="10" t="s">
        <v>5280</v>
      </c>
      <c r="P3203" s="37" t="s">
        <v>1463</v>
      </c>
      <c r="S3203" s="10" t="s">
        <v>3412</v>
      </c>
      <c r="U3203" s="22">
        <v>3</v>
      </c>
      <c r="V3203" s="22">
        <v>3</v>
      </c>
      <c r="W3203" s="73">
        <f t="shared" ref="W3203:W3204" si="226">W3202+V3203</f>
        <v>9</v>
      </c>
      <c r="X3203" s="80">
        <f t="shared" ref="X3203:X3204" si="227">V3203+X3202</f>
        <v>17400</v>
      </c>
      <c r="Y3203" s="82" t="s">
        <v>5304</v>
      </c>
      <c r="AB3203" s="177">
        <v>44145</v>
      </c>
      <c r="AC3203" s="84" t="s">
        <v>2885</v>
      </c>
    </row>
    <row r="3204" spans="1:37" ht="15.45" customHeight="1" x14ac:dyDescent="0.25">
      <c r="A3204" s="29" t="s">
        <v>4333</v>
      </c>
      <c r="C3204" s="37" t="s">
        <v>3624</v>
      </c>
      <c r="E3204" s="37" t="s">
        <v>2928</v>
      </c>
      <c r="F3204" s="24" t="s">
        <v>5040</v>
      </c>
      <c r="H3204" s="38" t="s">
        <v>5276</v>
      </c>
      <c r="J3204" s="215">
        <v>2020</v>
      </c>
      <c r="K3204" s="10" t="s">
        <v>5278</v>
      </c>
      <c r="P3204" s="37" t="s">
        <v>1463</v>
      </c>
      <c r="S3204" s="10" t="s">
        <v>3412</v>
      </c>
      <c r="U3204" s="22">
        <v>3</v>
      </c>
      <c r="V3204" s="22">
        <v>3</v>
      </c>
      <c r="W3204" s="73">
        <f t="shared" si="226"/>
        <v>12</v>
      </c>
      <c r="X3204" s="80">
        <f t="shared" si="227"/>
        <v>17403</v>
      </c>
      <c r="Y3204" s="82" t="s">
        <v>5303</v>
      </c>
      <c r="Z3204" s="24" t="s">
        <v>5299</v>
      </c>
      <c r="AB3204" s="177">
        <v>44145</v>
      </c>
      <c r="AC3204" s="84" t="s">
        <v>2885</v>
      </c>
    </row>
    <row r="3205" spans="1:37" ht="15.45" customHeight="1" x14ac:dyDescent="0.25">
      <c r="A3205" s="29" t="s">
        <v>4333</v>
      </c>
      <c r="C3205" s="37" t="s">
        <v>3624</v>
      </c>
      <c r="E3205" s="37" t="s">
        <v>2928</v>
      </c>
      <c r="F3205" s="24" t="s">
        <v>5040</v>
      </c>
      <c r="H3205" s="38" t="s">
        <v>5277</v>
      </c>
      <c r="J3205" s="215">
        <v>2020</v>
      </c>
      <c r="K3205" s="10" t="s">
        <v>5278</v>
      </c>
      <c r="P3205" s="37" t="s">
        <v>1463</v>
      </c>
      <c r="S3205" s="10" t="s">
        <v>3412</v>
      </c>
      <c r="U3205" s="22">
        <v>2</v>
      </c>
      <c r="V3205" s="22">
        <v>2</v>
      </c>
      <c r="W3205" s="73">
        <f t="shared" ref="W3205:W3206" si="228">W3204+V3205</f>
        <v>14</v>
      </c>
      <c r="X3205" s="80">
        <f t="shared" ref="X3205:X3206" si="229">V3205+X3204</f>
        <v>17405</v>
      </c>
      <c r="Y3205" s="82" t="s">
        <v>5303</v>
      </c>
      <c r="Z3205" s="24" t="s">
        <v>5299</v>
      </c>
      <c r="AB3205" s="177">
        <v>44145</v>
      </c>
      <c r="AC3205" s="84" t="s">
        <v>2885</v>
      </c>
    </row>
    <row r="3206" spans="1:37" ht="15.45" customHeight="1" x14ac:dyDescent="0.25">
      <c r="A3206" s="29" t="s">
        <v>4333</v>
      </c>
      <c r="C3206" s="37" t="s">
        <v>4334</v>
      </c>
      <c r="E3206" s="37" t="s">
        <v>2926</v>
      </c>
      <c r="F3206" s="24" t="s">
        <v>2093</v>
      </c>
      <c r="H3206" s="38" t="s">
        <v>4999</v>
      </c>
      <c r="J3206" s="214" t="s">
        <v>4336</v>
      </c>
      <c r="P3206" s="37" t="s">
        <v>4695</v>
      </c>
      <c r="S3206" s="10" t="s">
        <v>3412</v>
      </c>
      <c r="U3206" s="22">
        <v>1</v>
      </c>
      <c r="V3206" s="22">
        <v>1</v>
      </c>
      <c r="W3206" s="73">
        <f t="shared" si="228"/>
        <v>15</v>
      </c>
      <c r="X3206" s="80">
        <f t="shared" si="229"/>
        <v>17406</v>
      </c>
      <c r="Y3206" s="82" t="s">
        <v>3588</v>
      </c>
      <c r="AB3206" s="177">
        <v>43403</v>
      </c>
      <c r="AC3206" s="84" t="s">
        <v>2885</v>
      </c>
    </row>
    <row r="3207" spans="1:37" ht="15.45" customHeight="1" x14ac:dyDescent="0.25">
      <c r="A3207" s="29" t="s">
        <v>4333</v>
      </c>
      <c r="C3207" s="37" t="s">
        <v>4334</v>
      </c>
      <c r="E3207" s="37" t="s">
        <v>2928</v>
      </c>
      <c r="F3207" s="24" t="s">
        <v>5040</v>
      </c>
      <c r="H3207" s="38" t="s">
        <v>4998</v>
      </c>
      <c r="J3207" s="214" t="s">
        <v>4336</v>
      </c>
      <c r="P3207" s="37" t="s">
        <v>4696</v>
      </c>
      <c r="S3207" s="10" t="s">
        <v>3412</v>
      </c>
      <c r="U3207" s="22">
        <v>1</v>
      </c>
      <c r="V3207" s="22">
        <v>1</v>
      </c>
      <c r="W3207" s="73">
        <f t="shared" ref="W3207:W3222" si="230">W3206+V3207</f>
        <v>16</v>
      </c>
      <c r="X3207" s="80">
        <f t="shared" ref="X3207:X3222" si="231">V3207+X3206</f>
        <v>17407</v>
      </c>
      <c r="Y3207" s="82" t="s">
        <v>3587</v>
      </c>
      <c r="AB3207" s="177">
        <v>43768</v>
      </c>
      <c r="AC3207" s="84" t="s">
        <v>2885</v>
      </c>
    </row>
    <row r="3208" spans="1:37" ht="15.45" customHeight="1" x14ac:dyDescent="0.25">
      <c r="A3208" s="29" t="s">
        <v>4333</v>
      </c>
      <c r="C3208" s="37" t="s">
        <v>4334</v>
      </c>
      <c r="E3208" s="37" t="s">
        <v>2926</v>
      </c>
      <c r="F3208" s="24" t="s">
        <v>2093</v>
      </c>
      <c r="H3208" s="38" t="s">
        <v>4335</v>
      </c>
      <c r="J3208" s="214" t="s">
        <v>4336</v>
      </c>
      <c r="P3208" s="37" t="s">
        <v>4972</v>
      </c>
      <c r="S3208" s="10" t="s">
        <v>3412</v>
      </c>
      <c r="U3208" s="22">
        <v>1</v>
      </c>
      <c r="V3208" s="22">
        <v>1</v>
      </c>
      <c r="W3208" s="73">
        <f t="shared" si="230"/>
        <v>17</v>
      </c>
      <c r="X3208" s="80">
        <f t="shared" si="231"/>
        <v>17408</v>
      </c>
      <c r="Y3208" s="82" t="s">
        <v>3583</v>
      </c>
      <c r="AB3208" s="177">
        <v>42012</v>
      </c>
      <c r="AC3208" s="84" t="s">
        <v>2885</v>
      </c>
    </row>
    <row r="3209" spans="1:37" ht="15.45" customHeight="1" x14ac:dyDescent="0.25">
      <c r="A3209" s="29" t="s">
        <v>4333</v>
      </c>
      <c r="C3209" s="37" t="s">
        <v>4334</v>
      </c>
      <c r="E3209" s="37" t="s">
        <v>2927</v>
      </c>
      <c r="F3209" s="24" t="s">
        <v>2250</v>
      </c>
      <c r="H3209" s="38" t="s">
        <v>5039</v>
      </c>
      <c r="J3209" s="214" t="s">
        <v>4627</v>
      </c>
      <c r="P3209" s="37" t="s">
        <v>5007</v>
      </c>
      <c r="S3209" s="10" t="s">
        <v>2983</v>
      </c>
      <c r="T3209" s="10" t="s">
        <v>5284</v>
      </c>
      <c r="U3209" s="22">
        <v>1</v>
      </c>
      <c r="V3209" s="22">
        <v>6</v>
      </c>
      <c r="W3209" s="73">
        <f t="shared" si="230"/>
        <v>23</v>
      </c>
      <c r="X3209" s="80">
        <f t="shared" si="231"/>
        <v>17414</v>
      </c>
      <c r="Y3209" s="82" t="s">
        <v>3583</v>
      </c>
      <c r="AB3209" s="177">
        <v>43737</v>
      </c>
      <c r="AC3209" s="84" t="s">
        <v>2885</v>
      </c>
    </row>
    <row r="3210" spans="1:37" ht="15.45" customHeight="1" x14ac:dyDescent="0.25">
      <c r="A3210" s="29" t="s">
        <v>4333</v>
      </c>
      <c r="C3210" s="37" t="s">
        <v>4334</v>
      </c>
      <c r="E3210" s="37" t="s">
        <v>2925</v>
      </c>
      <c r="F3210" s="24" t="s">
        <v>2252</v>
      </c>
      <c r="H3210" s="38" t="s">
        <v>5043</v>
      </c>
      <c r="J3210" s="214" t="s">
        <v>4627</v>
      </c>
      <c r="P3210" s="37" t="s">
        <v>5041</v>
      </c>
      <c r="S3210" s="10" t="s">
        <v>2983</v>
      </c>
      <c r="T3210" s="10" t="s">
        <v>5042</v>
      </c>
      <c r="U3210" s="22">
        <v>1</v>
      </c>
      <c r="V3210" s="22">
        <v>1</v>
      </c>
      <c r="W3210" s="73">
        <f t="shared" si="230"/>
        <v>24</v>
      </c>
      <c r="X3210" s="80">
        <f t="shared" si="231"/>
        <v>17415</v>
      </c>
      <c r="Y3210" s="82" t="s">
        <v>3583</v>
      </c>
      <c r="AB3210" s="177">
        <v>43851</v>
      </c>
      <c r="AC3210" s="84" t="s">
        <v>2885</v>
      </c>
    </row>
    <row r="3211" spans="1:37" ht="15.45" customHeight="1" x14ac:dyDescent="0.25">
      <c r="A3211" s="29" t="s">
        <v>5287</v>
      </c>
      <c r="C3211" s="37" t="s">
        <v>4334</v>
      </c>
      <c r="E3211" s="37" t="s">
        <v>2925</v>
      </c>
      <c r="F3211" s="24" t="s">
        <v>2252</v>
      </c>
      <c r="H3211" s="38" t="s">
        <v>6432</v>
      </c>
      <c r="J3211" s="214" t="s">
        <v>4336</v>
      </c>
      <c r="P3211" s="37" t="s">
        <v>5012</v>
      </c>
      <c r="S3211" s="10" t="s">
        <v>2983</v>
      </c>
      <c r="T3211" s="10" t="s">
        <v>6433</v>
      </c>
      <c r="U3211" s="22">
        <v>2</v>
      </c>
      <c r="V3211" s="22">
        <v>2</v>
      </c>
      <c r="W3211" s="73">
        <f t="shared" si="230"/>
        <v>26</v>
      </c>
      <c r="X3211" s="80">
        <f t="shared" si="231"/>
        <v>17417</v>
      </c>
      <c r="Y3211" s="82" t="s">
        <v>3591</v>
      </c>
      <c r="Z3211" s="24" t="s">
        <v>5012</v>
      </c>
      <c r="AB3211" s="177">
        <v>43861</v>
      </c>
      <c r="AC3211" s="84" t="s">
        <v>2885</v>
      </c>
    </row>
    <row r="3212" spans="1:37" ht="15.45" customHeight="1" x14ac:dyDescent="0.25">
      <c r="A3212" s="29" t="s">
        <v>6435</v>
      </c>
      <c r="C3212" s="37" t="s">
        <v>4334</v>
      </c>
      <c r="E3212" s="37" t="s">
        <v>2928</v>
      </c>
      <c r="F3212" s="24" t="s">
        <v>6434</v>
      </c>
      <c r="H3212" s="38" t="s">
        <v>6439</v>
      </c>
      <c r="I3212" s="111" t="s">
        <v>6437</v>
      </c>
      <c r="J3212" s="214" t="s">
        <v>4627</v>
      </c>
      <c r="P3212" s="37" t="s">
        <v>5012</v>
      </c>
      <c r="S3212" s="10" t="s">
        <v>3412</v>
      </c>
      <c r="U3212" s="22">
        <v>2</v>
      </c>
      <c r="V3212" s="22">
        <v>2</v>
      </c>
      <c r="W3212" s="73">
        <f t="shared" si="230"/>
        <v>28</v>
      </c>
      <c r="X3212" s="80">
        <f t="shared" si="231"/>
        <v>17419</v>
      </c>
      <c r="Y3212" s="82" t="s">
        <v>3591</v>
      </c>
      <c r="Z3212" s="24" t="s">
        <v>5012</v>
      </c>
      <c r="AB3212" s="177">
        <v>44548</v>
      </c>
      <c r="AC3212" s="84" t="s">
        <v>2885</v>
      </c>
    </row>
    <row r="3213" spans="1:37" ht="15.45" customHeight="1" x14ac:dyDescent="0.25">
      <c r="A3213" s="29" t="s">
        <v>6438</v>
      </c>
      <c r="C3213" s="37" t="s">
        <v>4334</v>
      </c>
      <c r="E3213" s="37" t="s">
        <v>2928</v>
      </c>
      <c r="F3213" s="24" t="s">
        <v>6434</v>
      </c>
      <c r="H3213" s="38" t="s">
        <v>6436</v>
      </c>
      <c r="P3213" s="37" t="s">
        <v>5012</v>
      </c>
      <c r="S3213" s="10" t="s">
        <v>3412</v>
      </c>
      <c r="U3213" s="22">
        <v>1</v>
      </c>
      <c r="V3213" s="22">
        <v>1</v>
      </c>
      <c r="W3213" s="73">
        <f t="shared" si="230"/>
        <v>29</v>
      </c>
      <c r="X3213" s="80">
        <f t="shared" si="231"/>
        <v>17420</v>
      </c>
      <c r="Y3213" s="82" t="s">
        <v>3591</v>
      </c>
      <c r="Z3213" s="24" t="s">
        <v>5012</v>
      </c>
      <c r="AB3213" s="177">
        <v>44548</v>
      </c>
      <c r="AC3213" s="84" t="s">
        <v>2885</v>
      </c>
    </row>
    <row r="3214" spans="1:37" ht="15.45" customHeight="1" x14ac:dyDescent="0.25">
      <c r="A3214" s="29" t="s">
        <v>5008</v>
      </c>
      <c r="C3214" s="37" t="s">
        <v>4334</v>
      </c>
      <c r="E3214" s="37" t="s">
        <v>2926</v>
      </c>
      <c r="F3214" s="24" t="s">
        <v>4401</v>
      </c>
      <c r="H3214" s="38" t="s">
        <v>5011</v>
      </c>
      <c r="P3214" s="37" t="s">
        <v>5010</v>
      </c>
      <c r="S3214" s="10" t="s">
        <v>3412</v>
      </c>
      <c r="U3214" s="22">
        <v>1</v>
      </c>
      <c r="V3214" s="22">
        <v>7</v>
      </c>
      <c r="W3214" s="73">
        <f t="shared" si="230"/>
        <v>36</v>
      </c>
      <c r="X3214" s="80">
        <f t="shared" si="231"/>
        <v>17427</v>
      </c>
      <c r="Y3214" s="82" t="s">
        <v>3591</v>
      </c>
      <c r="Z3214" s="24" t="s">
        <v>5012</v>
      </c>
      <c r="AB3214" s="177">
        <v>43737</v>
      </c>
      <c r="AC3214" s="84" t="s">
        <v>2885</v>
      </c>
    </row>
    <row r="3215" spans="1:37" ht="15.45" customHeight="1" x14ac:dyDescent="0.25">
      <c r="A3215" s="29" t="s">
        <v>5008</v>
      </c>
      <c r="C3215" s="37" t="s">
        <v>4334</v>
      </c>
      <c r="E3215" s="37" t="s">
        <v>2926</v>
      </c>
      <c r="F3215" s="24" t="s">
        <v>5009</v>
      </c>
      <c r="H3215" s="38" t="s">
        <v>7167</v>
      </c>
      <c r="P3215" s="37" t="s">
        <v>5010</v>
      </c>
      <c r="S3215" s="10" t="s">
        <v>3412</v>
      </c>
      <c r="U3215" s="22">
        <v>1</v>
      </c>
      <c r="V3215" s="22">
        <v>3</v>
      </c>
      <c r="W3215" s="73">
        <f t="shared" si="230"/>
        <v>39</v>
      </c>
      <c r="X3215" s="80">
        <f t="shared" si="231"/>
        <v>17430</v>
      </c>
      <c r="Y3215" s="82" t="s">
        <v>3591</v>
      </c>
      <c r="Z3215" s="24" t="s">
        <v>5012</v>
      </c>
      <c r="AB3215" s="177">
        <v>43851</v>
      </c>
      <c r="AC3215" s="84" t="s">
        <v>2885</v>
      </c>
    </row>
    <row r="3216" spans="1:37" ht="15.45" customHeight="1" x14ac:dyDescent="0.25">
      <c r="A3216" s="29" t="s">
        <v>5008</v>
      </c>
      <c r="C3216" s="37" t="s">
        <v>4334</v>
      </c>
      <c r="E3216" s="37" t="s">
        <v>2925</v>
      </c>
      <c r="H3216" s="38" t="s">
        <v>5013</v>
      </c>
      <c r="P3216" s="37" t="s">
        <v>5010</v>
      </c>
      <c r="S3216" s="10" t="s">
        <v>2983</v>
      </c>
      <c r="T3216" s="10" t="s">
        <v>5014</v>
      </c>
      <c r="U3216" s="22">
        <v>1</v>
      </c>
      <c r="V3216" s="22">
        <v>2</v>
      </c>
      <c r="W3216" s="73">
        <f t="shared" si="230"/>
        <v>41</v>
      </c>
      <c r="X3216" s="80">
        <f t="shared" si="231"/>
        <v>17432</v>
      </c>
      <c r="Y3216" s="82" t="s">
        <v>3591</v>
      </c>
      <c r="Z3216" s="24" t="s">
        <v>5012</v>
      </c>
      <c r="AB3216" s="177">
        <v>43737</v>
      </c>
      <c r="AC3216" s="84" t="s">
        <v>2885</v>
      </c>
      <c r="AI3216" s="10" t="s">
        <v>2947</v>
      </c>
      <c r="AJ3216" s="161">
        <v>43739</v>
      </c>
      <c r="AK3216" s="10" t="s">
        <v>4196</v>
      </c>
    </row>
    <row r="3217" spans="1:35" ht="15.45" customHeight="1" x14ac:dyDescent="0.25">
      <c r="A3217" s="29" t="s">
        <v>5001</v>
      </c>
      <c r="C3217" s="37" t="s">
        <v>4334</v>
      </c>
      <c r="E3217" s="37" t="s">
        <v>2926</v>
      </c>
      <c r="F3217" s="24" t="s">
        <v>2093</v>
      </c>
      <c r="H3217" s="38" t="s">
        <v>5282</v>
      </c>
      <c r="P3217" s="37" t="s">
        <v>5000</v>
      </c>
      <c r="S3217" s="10" t="s">
        <v>3412</v>
      </c>
      <c r="T3217" s="10" t="s">
        <v>5982</v>
      </c>
      <c r="U3217" s="22">
        <v>2</v>
      </c>
      <c r="V3217" s="22">
        <v>2</v>
      </c>
      <c r="W3217" s="73">
        <f t="shared" si="230"/>
        <v>43</v>
      </c>
      <c r="X3217" s="80">
        <f t="shared" si="231"/>
        <v>17434</v>
      </c>
      <c r="Y3217" s="82" t="s">
        <v>3584</v>
      </c>
      <c r="AB3217" s="177">
        <v>43728</v>
      </c>
      <c r="AC3217" s="84" t="s">
        <v>2885</v>
      </c>
    </row>
    <row r="3218" spans="1:35" ht="15.45" customHeight="1" x14ac:dyDescent="0.25">
      <c r="A3218" s="29" t="s">
        <v>7168</v>
      </c>
      <c r="C3218" s="37" t="s">
        <v>4334</v>
      </c>
      <c r="E3218" s="37" t="s">
        <v>2930</v>
      </c>
      <c r="F3218" s="24" t="s">
        <v>2093</v>
      </c>
      <c r="H3218" s="38" t="s">
        <v>7169</v>
      </c>
      <c r="S3218" s="10" t="s">
        <v>2983</v>
      </c>
      <c r="T3218" s="10" t="s">
        <v>7170</v>
      </c>
      <c r="U3218" s="22">
        <v>1</v>
      </c>
      <c r="V3218" s="22">
        <v>1</v>
      </c>
      <c r="W3218" s="73">
        <f t="shared" si="230"/>
        <v>44</v>
      </c>
      <c r="X3218" s="80">
        <f t="shared" si="231"/>
        <v>17435</v>
      </c>
      <c r="Y3218" s="82" t="s">
        <v>3591</v>
      </c>
      <c r="Z3218" s="24" t="s">
        <v>2885</v>
      </c>
      <c r="AB3218" s="177">
        <v>45057</v>
      </c>
      <c r="AC3218" s="84" t="s">
        <v>2885</v>
      </c>
      <c r="AF3218" s="10" t="s">
        <v>2945</v>
      </c>
      <c r="AI3218" s="10" t="s">
        <v>2626</v>
      </c>
    </row>
    <row r="3219" spans="1:35" ht="15.45" customHeight="1" x14ac:dyDescent="0.25">
      <c r="A3219" s="29" t="s">
        <v>5002</v>
      </c>
      <c r="C3219" s="37" t="s">
        <v>4334</v>
      </c>
      <c r="E3219" s="37" t="s">
        <v>2926</v>
      </c>
      <c r="F3219" s="24" t="s">
        <v>2250</v>
      </c>
      <c r="H3219" s="38" t="s">
        <v>5003</v>
      </c>
      <c r="P3219" s="37" t="s">
        <v>5004</v>
      </c>
      <c r="S3219" s="10" t="s">
        <v>3412</v>
      </c>
      <c r="T3219" s="10" t="s">
        <v>5982</v>
      </c>
      <c r="U3219" s="22">
        <v>12</v>
      </c>
      <c r="V3219" s="22">
        <v>12</v>
      </c>
      <c r="W3219" s="73">
        <f t="shared" si="230"/>
        <v>56</v>
      </c>
      <c r="X3219" s="80">
        <f t="shared" si="231"/>
        <v>17447</v>
      </c>
      <c r="Y3219" s="82" t="s">
        <v>3583</v>
      </c>
      <c r="AB3219" s="177">
        <v>43728</v>
      </c>
      <c r="AC3219" s="84" t="s">
        <v>2885</v>
      </c>
    </row>
    <row r="3220" spans="1:35" ht="15.45" customHeight="1" x14ac:dyDescent="0.25">
      <c r="A3220" s="29" t="s">
        <v>2337</v>
      </c>
      <c r="C3220" s="37" t="s">
        <v>3624</v>
      </c>
      <c r="E3220" s="37" t="s">
        <v>2831</v>
      </c>
      <c r="F3220" s="24" t="s">
        <v>2250</v>
      </c>
      <c r="H3220" s="38" t="s">
        <v>4772</v>
      </c>
      <c r="S3220" s="10" t="s">
        <v>3412</v>
      </c>
      <c r="T3220" s="10" t="s">
        <v>5982</v>
      </c>
      <c r="U3220" s="22">
        <v>5</v>
      </c>
      <c r="V3220" s="22">
        <v>5</v>
      </c>
      <c r="W3220" s="73">
        <f t="shared" si="230"/>
        <v>61</v>
      </c>
      <c r="X3220" s="80">
        <f t="shared" si="231"/>
        <v>17452</v>
      </c>
      <c r="Y3220" s="82" t="s">
        <v>3591</v>
      </c>
      <c r="Z3220" s="24" t="s">
        <v>2885</v>
      </c>
      <c r="AB3220" s="177">
        <v>43059</v>
      </c>
      <c r="AC3220" s="84" t="s">
        <v>2885</v>
      </c>
      <c r="AI3220" s="10" t="s">
        <v>2626</v>
      </c>
    </row>
    <row r="3221" spans="1:35" ht="15.45" customHeight="1" x14ac:dyDescent="0.25">
      <c r="A3221" s="29" t="s">
        <v>5005</v>
      </c>
      <c r="C3221" s="37" t="s">
        <v>3624</v>
      </c>
      <c r="E3221" s="37" t="s">
        <v>2926</v>
      </c>
      <c r="F3221" s="24" t="s">
        <v>2093</v>
      </c>
      <c r="H3221" s="38" t="s">
        <v>5006</v>
      </c>
      <c r="S3221" s="10" t="s">
        <v>2983</v>
      </c>
      <c r="T3221" s="10" t="s">
        <v>5982</v>
      </c>
      <c r="U3221" s="22">
        <v>2</v>
      </c>
      <c r="V3221" s="22">
        <v>2</v>
      </c>
      <c r="W3221" s="73">
        <f t="shared" si="230"/>
        <v>63</v>
      </c>
      <c r="X3221" s="80">
        <f t="shared" si="231"/>
        <v>17454</v>
      </c>
      <c r="Y3221" s="82" t="s">
        <v>3591</v>
      </c>
      <c r="Z3221" s="24" t="s">
        <v>2885</v>
      </c>
      <c r="AB3221" s="177">
        <v>43737</v>
      </c>
      <c r="AC3221" s="84" t="s">
        <v>2885</v>
      </c>
    </row>
    <row r="3222" spans="1:35" ht="15.45" customHeight="1" x14ac:dyDescent="0.25">
      <c r="A3222" s="29" t="s">
        <v>3377</v>
      </c>
      <c r="C3222" s="37" t="s">
        <v>3624</v>
      </c>
      <c r="E3222" s="37" t="s">
        <v>2832</v>
      </c>
      <c r="F3222" s="24" t="s">
        <v>2093</v>
      </c>
      <c r="H3222" s="38" t="s">
        <v>5779</v>
      </c>
      <c r="S3222" s="10" t="s">
        <v>3412</v>
      </c>
      <c r="T3222" s="10" t="s">
        <v>5982</v>
      </c>
      <c r="U3222" s="22">
        <v>2</v>
      </c>
      <c r="V3222" s="22">
        <v>2</v>
      </c>
      <c r="W3222" s="73">
        <f t="shared" si="230"/>
        <v>65</v>
      </c>
      <c r="X3222" s="80">
        <f t="shared" si="231"/>
        <v>17456</v>
      </c>
      <c r="Y3222" s="82" t="s">
        <v>3591</v>
      </c>
      <c r="Z3222" s="24" t="s">
        <v>2885</v>
      </c>
      <c r="AB3222" s="177">
        <v>42705</v>
      </c>
      <c r="AC3222" s="84" t="s">
        <v>2885</v>
      </c>
    </row>
    <row r="3223" spans="1:35" ht="15.45" customHeight="1" x14ac:dyDescent="0.25">
      <c r="A3223" s="29" t="s">
        <v>4973</v>
      </c>
      <c r="C3223" s="37" t="s">
        <v>3624</v>
      </c>
      <c r="E3223" s="37" t="s">
        <v>2831</v>
      </c>
      <c r="F3223" s="24" t="s">
        <v>2250</v>
      </c>
      <c r="H3223" s="38" t="s">
        <v>4773</v>
      </c>
      <c r="S3223" s="10" t="s">
        <v>2983</v>
      </c>
      <c r="T3223" s="10" t="s">
        <v>5982</v>
      </c>
      <c r="U3223" s="22">
        <v>1</v>
      </c>
      <c r="V3223" s="22">
        <v>1</v>
      </c>
      <c r="W3223" s="73">
        <f t="shared" ref="W3223:W3237" si="232">W3222+V3223</f>
        <v>66</v>
      </c>
      <c r="X3223" s="80">
        <f t="shared" ref="X3223:X3237" si="233">V3223+X3222</f>
        <v>17457</v>
      </c>
      <c r="Y3223" s="82" t="s">
        <v>3583</v>
      </c>
      <c r="Z3223" s="9"/>
      <c r="AC3223" s="84" t="s">
        <v>2885</v>
      </c>
      <c r="AI3223" s="10" t="s">
        <v>2626</v>
      </c>
    </row>
    <row r="3224" spans="1:35" ht="15.45" customHeight="1" x14ac:dyDescent="0.25">
      <c r="A3224" s="29" t="s">
        <v>5283</v>
      </c>
      <c r="C3224" s="37" t="s">
        <v>3624</v>
      </c>
      <c r="E3224" s="37" t="s">
        <v>2925</v>
      </c>
      <c r="H3224" s="38" t="s">
        <v>5285</v>
      </c>
      <c r="J3224" s="214" t="s">
        <v>5286</v>
      </c>
      <c r="S3224" s="10" t="s">
        <v>2983</v>
      </c>
      <c r="T3224" s="10" t="s">
        <v>5982</v>
      </c>
      <c r="U3224" s="22">
        <v>1</v>
      </c>
      <c r="V3224" s="22">
        <v>1</v>
      </c>
      <c r="W3224" s="73">
        <f t="shared" si="232"/>
        <v>67</v>
      </c>
      <c r="X3224" s="80">
        <f t="shared" si="233"/>
        <v>17458</v>
      </c>
      <c r="Y3224" s="82" t="s">
        <v>3591</v>
      </c>
      <c r="Z3224" s="24" t="s">
        <v>2885</v>
      </c>
      <c r="AB3224" s="177">
        <v>43861</v>
      </c>
      <c r="AC3224" s="84" t="s">
        <v>2885</v>
      </c>
    </row>
    <row r="3225" spans="1:35" ht="15.45" customHeight="1" x14ac:dyDescent="0.25">
      <c r="A3225" s="29" t="s">
        <v>2656</v>
      </c>
      <c r="C3225" s="37" t="s">
        <v>3624</v>
      </c>
      <c r="E3225" s="37" t="s">
        <v>2832</v>
      </c>
      <c r="F3225" s="24" t="s">
        <v>2093</v>
      </c>
      <c r="H3225" s="38" t="s">
        <v>3622</v>
      </c>
      <c r="S3225" s="10" t="s">
        <v>3412</v>
      </c>
      <c r="U3225" s="22">
        <v>1</v>
      </c>
      <c r="V3225" s="22">
        <v>1</v>
      </c>
      <c r="W3225" s="73">
        <f t="shared" si="232"/>
        <v>68</v>
      </c>
      <c r="X3225" s="80">
        <f t="shared" si="233"/>
        <v>17459</v>
      </c>
      <c r="Y3225" s="82" t="s">
        <v>2883</v>
      </c>
      <c r="AB3225" s="177">
        <v>42840</v>
      </c>
      <c r="AC3225" s="84" t="s">
        <v>2885</v>
      </c>
      <c r="AI3225" s="10" t="s">
        <v>2774</v>
      </c>
    </row>
    <row r="3226" spans="1:35" ht="15.45" customHeight="1" x14ac:dyDescent="0.25">
      <c r="A3226" s="29" t="s">
        <v>2485</v>
      </c>
      <c r="C3226" s="37" t="s">
        <v>3624</v>
      </c>
      <c r="E3226" s="37" t="s">
        <v>2831</v>
      </c>
      <c r="F3226" s="24" t="s">
        <v>2250</v>
      </c>
      <c r="H3226" s="38" t="s">
        <v>4115</v>
      </c>
      <c r="S3226" s="10" t="s">
        <v>2983</v>
      </c>
      <c r="U3226" s="22">
        <v>1</v>
      </c>
      <c r="V3226" s="22">
        <v>1</v>
      </c>
      <c r="W3226" s="73">
        <f t="shared" si="232"/>
        <v>69</v>
      </c>
      <c r="X3226" s="80">
        <f t="shared" si="233"/>
        <v>17460</v>
      </c>
      <c r="Y3226" s="82" t="s">
        <v>3592</v>
      </c>
      <c r="Z3226" s="24" t="s">
        <v>2884</v>
      </c>
    </row>
    <row r="3227" spans="1:35" ht="15.45" customHeight="1" x14ac:dyDescent="0.25">
      <c r="A3227" s="29" t="s">
        <v>5983</v>
      </c>
      <c r="C3227" s="37" t="s">
        <v>3624</v>
      </c>
      <c r="E3227" s="37" t="s">
        <v>2930</v>
      </c>
      <c r="F3227" s="24" t="s">
        <v>4982</v>
      </c>
      <c r="H3227" s="38" t="s">
        <v>4321</v>
      </c>
      <c r="J3227" s="214" t="s">
        <v>4465</v>
      </c>
      <c r="S3227" s="10" t="s">
        <v>2983</v>
      </c>
      <c r="T3227" s="10" t="s">
        <v>5982</v>
      </c>
      <c r="U3227" s="22">
        <v>1</v>
      </c>
      <c r="V3227" s="22">
        <v>1</v>
      </c>
      <c r="W3227" s="73">
        <f t="shared" si="232"/>
        <v>70</v>
      </c>
      <c r="X3227" s="80">
        <f t="shared" si="233"/>
        <v>17461</v>
      </c>
      <c r="Y3227" s="82" t="s">
        <v>3591</v>
      </c>
      <c r="Z3227" s="24" t="s">
        <v>2602</v>
      </c>
      <c r="AB3227" s="177">
        <v>42500</v>
      </c>
      <c r="AC3227" s="84" t="s">
        <v>2885</v>
      </c>
    </row>
    <row r="3228" spans="1:35" ht="15.45" customHeight="1" x14ac:dyDescent="0.25">
      <c r="A3228" s="29" t="s">
        <v>5983</v>
      </c>
      <c r="C3228" s="37" t="s">
        <v>3624</v>
      </c>
      <c r="E3228" s="37" t="s">
        <v>2930</v>
      </c>
      <c r="F3228" s="24" t="s">
        <v>4983</v>
      </c>
      <c r="H3228" s="38" t="s">
        <v>4321</v>
      </c>
      <c r="J3228" s="214" t="s">
        <v>4465</v>
      </c>
      <c r="S3228" s="10" t="s">
        <v>2983</v>
      </c>
      <c r="T3228" s="10" t="s">
        <v>5982</v>
      </c>
      <c r="U3228" s="22">
        <v>1</v>
      </c>
      <c r="V3228" s="22">
        <v>1</v>
      </c>
      <c r="W3228" s="73">
        <f t="shared" si="232"/>
        <v>71</v>
      </c>
      <c r="X3228" s="80">
        <f t="shared" si="233"/>
        <v>17462</v>
      </c>
      <c r="Y3228" s="82" t="s">
        <v>3583</v>
      </c>
      <c r="AB3228" s="177">
        <v>43361</v>
      </c>
      <c r="AC3228" s="84" t="s">
        <v>2885</v>
      </c>
    </row>
    <row r="3229" spans="1:35" ht="15.45" customHeight="1" x14ac:dyDescent="0.25">
      <c r="A3229" s="29" t="s">
        <v>5984</v>
      </c>
      <c r="C3229" s="37" t="s">
        <v>3624</v>
      </c>
      <c r="E3229" s="37" t="s">
        <v>2928</v>
      </c>
      <c r="F3229" s="24" t="s">
        <v>4981</v>
      </c>
      <c r="H3229" s="38" t="s">
        <v>4321</v>
      </c>
      <c r="J3229" s="214" t="s">
        <v>4465</v>
      </c>
      <c r="S3229" s="10" t="s">
        <v>2983</v>
      </c>
      <c r="T3229" s="10" t="s">
        <v>5982</v>
      </c>
      <c r="U3229" s="22">
        <v>2</v>
      </c>
      <c r="V3229" s="22">
        <v>2</v>
      </c>
      <c r="W3229" s="73">
        <f t="shared" si="232"/>
        <v>73</v>
      </c>
      <c r="X3229" s="80">
        <f t="shared" si="233"/>
        <v>17464</v>
      </c>
      <c r="Y3229" s="82" t="s">
        <v>3591</v>
      </c>
      <c r="Z3229" s="24" t="s">
        <v>2602</v>
      </c>
      <c r="AB3229" s="177">
        <v>42500</v>
      </c>
      <c r="AC3229" s="84" t="s">
        <v>2885</v>
      </c>
    </row>
    <row r="3230" spans="1:35" ht="15.45" customHeight="1" x14ac:dyDescent="0.25">
      <c r="A3230" s="29" t="s">
        <v>5985</v>
      </c>
      <c r="C3230" s="37" t="s">
        <v>3624</v>
      </c>
      <c r="E3230" s="37" t="s">
        <v>2927</v>
      </c>
      <c r="F3230" s="24" t="s">
        <v>4401</v>
      </c>
      <c r="H3230" s="38" t="s">
        <v>5332</v>
      </c>
      <c r="J3230" s="214" t="s">
        <v>4465</v>
      </c>
      <c r="S3230" s="10" t="s">
        <v>2983</v>
      </c>
      <c r="T3230" s="10" t="s">
        <v>5982</v>
      </c>
      <c r="U3230" s="22">
        <v>1</v>
      </c>
      <c r="V3230" s="22">
        <v>1</v>
      </c>
      <c r="W3230" s="73">
        <f t="shared" si="232"/>
        <v>74</v>
      </c>
      <c r="X3230" s="80">
        <f t="shared" si="233"/>
        <v>17465</v>
      </c>
      <c r="Y3230" s="82" t="s">
        <v>3591</v>
      </c>
      <c r="Z3230" s="24" t="s">
        <v>5382</v>
      </c>
      <c r="AB3230" s="177">
        <v>43040</v>
      </c>
      <c r="AC3230" s="84" t="s">
        <v>2885</v>
      </c>
      <c r="AI3230" s="10" t="s">
        <v>2624</v>
      </c>
    </row>
    <row r="3231" spans="1:35" ht="15.45" customHeight="1" x14ac:dyDescent="0.25">
      <c r="A3231" s="29" t="s">
        <v>5997</v>
      </c>
      <c r="C3231" s="37" t="s">
        <v>3624</v>
      </c>
      <c r="E3231" s="37" t="s">
        <v>2926</v>
      </c>
      <c r="F3231" s="24" t="s">
        <v>4401</v>
      </c>
      <c r="H3231" s="38" t="s">
        <v>5998</v>
      </c>
      <c r="J3231" s="214" t="s">
        <v>4465</v>
      </c>
      <c r="S3231" s="10" t="s">
        <v>2983</v>
      </c>
      <c r="T3231" s="10" t="s">
        <v>5982</v>
      </c>
      <c r="U3231" s="22">
        <v>1</v>
      </c>
      <c r="V3231" s="22">
        <v>1</v>
      </c>
      <c r="W3231" s="73">
        <f t="shared" si="232"/>
        <v>75</v>
      </c>
      <c r="X3231" s="80">
        <f t="shared" si="233"/>
        <v>17466</v>
      </c>
      <c r="Y3231" s="82" t="s">
        <v>3591</v>
      </c>
      <c r="Z3231" s="24" t="s">
        <v>2885</v>
      </c>
      <c r="AB3231" s="177">
        <v>44433</v>
      </c>
      <c r="AC3231" s="84" t="s">
        <v>2885</v>
      </c>
    </row>
    <row r="3232" spans="1:35" ht="15.45" customHeight="1" x14ac:dyDescent="0.25">
      <c r="A3232" s="29" t="s">
        <v>4699</v>
      </c>
      <c r="C3232" s="37" t="s">
        <v>3624</v>
      </c>
      <c r="E3232" s="37" t="s">
        <v>2930</v>
      </c>
      <c r="F3232" s="24" t="s">
        <v>4665</v>
      </c>
      <c r="H3232" s="38" t="s">
        <v>4666</v>
      </c>
      <c r="I3232" s="111" t="s">
        <v>4667</v>
      </c>
      <c r="J3232" s="214" t="s">
        <v>4465</v>
      </c>
      <c r="P3232" s="37" t="s">
        <v>1463</v>
      </c>
      <c r="Q3232" s="37" t="s">
        <v>3506</v>
      </c>
      <c r="S3232" s="10" t="s">
        <v>3412</v>
      </c>
      <c r="U3232" s="22">
        <v>1</v>
      </c>
      <c r="V3232" s="22">
        <v>3</v>
      </c>
      <c r="W3232" s="73">
        <f t="shared" si="232"/>
        <v>78</v>
      </c>
      <c r="X3232" s="80">
        <f t="shared" si="233"/>
        <v>17469</v>
      </c>
      <c r="Y3232" s="82" t="s">
        <v>5748</v>
      </c>
      <c r="Z3232" s="24" t="s">
        <v>2885</v>
      </c>
      <c r="AB3232" s="177">
        <v>43225</v>
      </c>
      <c r="AC3232" s="84" t="s">
        <v>2885</v>
      </c>
    </row>
    <row r="3233" spans="1:38" ht="15.45" customHeight="1" x14ac:dyDescent="0.25">
      <c r="A3233" s="29" t="s">
        <v>4951</v>
      </c>
      <c r="C3233" s="37" t="s">
        <v>3624</v>
      </c>
      <c r="E3233" s="37" t="s">
        <v>2928</v>
      </c>
      <c r="F3233" s="24" t="s">
        <v>4877</v>
      </c>
      <c r="H3233" s="38" t="s">
        <v>4876</v>
      </c>
      <c r="J3233" s="214" t="s">
        <v>4627</v>
      </c>
      <c r="Q3233" s="37" t="s">
        <v>3506</v>
      </c>
      <c r="S3233" s="10" t="s">
        <v>3412</v>
      </c>
      <c r="U3233" s="22">
        <v>1</v>
      </c>
      <c r="V3233" s="22">
        <v>1</v>
      </c>
      <c r="W3233" s="73">
        <f t="shared" si="232"/>
        <v>79</v>
      </c>
      <c r="X3233" s="80">
        <f t="shared" si="233"/>
        <v>17470</v>
      </c>
      <c r="Y3233" s="82" t="s">
        <v>3583</v>
      </c>
      <c r="AB3233" s="177">
        <v>43225</v>
      </c>
      <c r="AC3233" s="84" t="s">
        <v>2885</v>
      </c>
    </row>
    <row r="3234" spans="1:38" ht="15.45" customHeight="1" x14ac:dyDescent="0.25">
      <c r="A3234" s="29" t="s">
        <v>4315</v>
      </c>
      <c r="C3234" s="37" t="s">
        <v>3624</v>
      </c>
      <c r="E3234" s="37" t="s">
        <v>2928</v>
      </c>
      <c r="F3234" s="24" t="s">
        <v>4316</v>
      </c>
      <c r="H3234" s="38" t="s">
        <v>4319</v>
      </c>
      <c r="I3234" s="111" t="s">
        <v>7172</v>
      </c>
      <c r="S3234" s="10" t="s">
        <v>2983</v>
      </c>
      <c r="U3234" s="22">
        <v>1</v>
      </c>
      <c r="V3234" s="22">
        <v>1</v>
      </c>
      <c r="W3234" s="73">
        <f t="shared" si="232"/>
        <v>80</v>
      </c>
      <c r="X3234" s="80">
        <f t="shared" si="233"/>
        <v>17471</v>
      </c>
      <c r="Y3234" s="82" t="s">
        <v>3583</v>
      </c>
      <c r="AB3234" s="177">
        <v>43361</v>
      </c>
      <c r="AC3234" s="84" t="s">
        <v>2885</v>
      </c>
    </row>
    <row r="3235" spans="1:38" ht="15.45" customHeight="1" x14ac:dyDescent="0.25">
      <c r="A3235" s="29" t="s">
        <v>7171</v>
      </c>
      <c r="C3235" s="37" t="s">
        <v>3624</v>
      </c>
      <c r="E3235" s="37" t="s">
        <v>2928</v>
      </c>
      <c r="H3235" s="38" t="s">
        <v>7173</v>
      </c>
      <c r="I3235" s="111" t="s">
        <v>4320</v>
      </c>
      <c r="S3235" s="10" t="s">
        <v>2983</v>
      </c>
      <c r="U3235" s="22">
        <v>1</v>
      </c>
      <c r="V3235" s="22">
        <v>1</v>
      </c>
      <c r="W3235" s="73">
        <f t="shared" si="232"/>
        <v>81</v>
      </c>
      <c r="X3235" s="80">
        <f t="shared" si="233"/>
        <v>17472</v>
      </c>
      <c r="Y3235" s="82" t="s">
        <v>3583</v>
      </c>
      <c r="AA3235" s="177">
        <v>45076</v>
      </c>
      <c r="AB3235" s="177">
        <v>45084</v>
      </c>
      <c r="AC3235" s="84" t="s">
        <v>2885</v>
      </c>
    </row>
    <row r="3236" spans="1:38" ht="15.45" customHeight="1" x14ac:dyDescent="0.25">
      <c r="A3236" s="29" t="s">
        <v>4927</v>
      </c>
      <c r="C3236" s="37" t="s">
        <v>3624</v>
      </c>
      <c r="E3236" s="37" t="s">
        <v>2927</v>
      </c>
      <c r="F3236" s="24" t="s">
        <v>4401</v>
      </c>
      <c r="H3236" s="38" t="s">
        <v>5257</v>
      </c>
      <c r="J3236" s="214" t="s">
        <v>4627</v>
      </c>
      <c r="S3236" s="10" t="s">
        <v>2983</v>
      </c>
      <c r="U3236" s="22">
        <v>1</v>
      </c>
      <c r="V3236" s="22">
        <v>1</v>
      </c>
      <c r="W3236" s="73">
        <f t="shared" si="232"/>
        <v>82</v>
      </c>
      <c r="X3236" s="80">
        <f t="shared" si="233"/>
        <v>17473</v>
      </c>
      <c r="Y3236" s="82" t="s">
        <v>3583</v>
      </c>
      <c r="AB3236" s="177">
        <v>43626</v>
      </c>
      <c r="AC3236" s="84" t="s">
        <v>2885</v>
      </c>
    </row>
    <row r="3237" spans="1:38" ht="15.45" customHeight="1" x14ac:dyDescent="0.25">
      <c r="A3237" s="29" t="s">
        <v>7235</v>
      </c>
      <c r="C3237" s="37" t="s">
        <v>3624</v>
      </c>
      <c r="E3237" s="37" t="s">
        <v>2928</v>
      </c>
      <c r="F3237" s="24" t="s">
        <v>1951</v>
      </c>
      <c r="H3237" s="38" t="s">
        <v>7085</v>
      </c>
      <c r="J3237" s="215" t="s">
        <v>5256</v>
      </c>
      <c r="K3237" s="10" t="s">
        <v>5331</v>
      </c>
      <c r="S3237" s="10" t="s">
        <v>2983</v>
      </c>
      <c r="U3237" s="22">
        <v>1</v>
      </c>
      <c r="V3237" s="22">
        <v>34</v>
      </c>
      <c r="W3237" s="73">
        <f t="shared" si="232"/>
        <v>116</v>
      </c>
      <c r="X3237" s="80">
        <f t="shared" si="233"/>
        <v>17507</v>
      </c>
      <c r="Y3237" s="82" t="s">
        <v>3583</v>
      </c>
      <c r="AB3237" s="177">
        <v>2017</v>
      </c>
      <c r="AC3237" s="84" t="s">
        <v>2885</v>
      </c>
      <c r="AI3237" s="10" t="s">
        <v>2625</v>
      </c>
      <c r="AL3237" s="10"/>
    </row>
    <row r="3238" spans="1:38" ht="15.45" customHeight="1" x14ac:dyDescent="0.25">
      <c r="U3238" s="121">
        <f>SUM(U1:U3237)</f>
        <v>6858</v>
      </c>
      <c r="V3238" s="121">
        <f>SUM(V1:V3237)</f>
        <v>17507</v>
      </c>
      <c r="X3238" s="80"/>
    </row>
    <row r="3239" spans="1:38" ht="15.45" customHeight="1" x14ac:dyDescent="0.25">
      <c r="U3239" s="22"/>
      <c r="V3239" s="22"/>
      <c r="X3239" s="80"/>
    </row>
    <row r="3240" spans="1:38" s="51" customFormat="1" ht="15.45" customHeight="1" x14ac:dyDescent="0.25">
      <c r="A3240" s="45" t="s">
        <v>4878</v>
      </c>
      <c r="B3240" s="50"/>
      <c r="C3240" s="49"/>
      <c r="D3240" s="49"/>
      <c r="E3240" s="49"/>
      <c r="F3240" s="50"/>
      <c r="G3240" s="50"/>
      <c r="H3240" s="46"/>
      <c r="I3240" s="109"/>
      <c r="J3240" s="212"/>
      <c r="K3240" s="56"/>
      <c r="L3240" s="100"/>
      <c r="M3240" s="100"/>
      <c r="N3240" s="49"/>
      <c r="O3240" s="49"/>
      <c r="P3240" s="49"/>
      <c r="Q3240" s="49"/>
      <c r="R3240" s="49"/>
      <c r="S3240" s="47"/>
      <c r="T3240" s="47"/>
      <c r="U3240" s="48"/>
      <c r="V3240" s="48"/>
      <c r="W3240" s="74"/>
      <c r="X3240" s="81"/>
      <c r="Y3240" s="132"/>
      <c r="Z3240" s="50"/>
      <c r="AA3240" s="173"/>
      <c r="AB3240" s="173"/>
      <c r="AC3240" s="137"/>
      <c r="AD3240" s="137"/>
      <c r="AE3240" s="83"/>
      <c r="AF3240" s="47"/>
      <c r="AG3240" s="47"/>
      <c r="AH3240" s="47"/>
      <c r="AI3240" s="47"/>
      <c r="AJ3240" s="47"/>
      <c r="AK3240" s="47"/>
    </row>
    <row r="3241" spans="1:38" ht="15.45" customHeight="1" x14ac:dyDescent="0.25">
      <c r="A3241" s="29" t="s">
        <v>6604</v>
      </c>
      <c r="C3241" s="37" t="s">
        <v>3623</v>
      </c>
      <c r="F3241" s="24" t="s">
        <v>2309</v>
      </c>
      <c r="H3241" s="38" t="s">
        <v>5320</v>
      </c>
      <c r="J3241" s="215">
        <v>1995</v>
      </c>
      <c r="S3241" s="10" t="s">
        <v>3436</v>
      </c>
      <c r="U3241" s="22">
        <v>42</v>
      </c>
      <c r="V3241" s="22">
        <v>42</v>
      </c>
      <c r="W3241" s="73">
        <v>42</v>
      </c>
      <c r="X3241" s="80">
        <f>V3241+X3240</f>
        <v>42</v>
      </c>
      <c r="Y3241" s="82" t="s">
        <v>3591</v>
      </c>
      <c r="Z3241" s="24" t="s">
        <v>4793</v>
      </c>
      <c r="AB3241" s="177">
        <v>42633</v>
      </c>
      <c r="AC3241" s="84" t="s">
        <v>2885</v>
      </c>
    </row>
    <row r="3242" spans="1:38" ht="15.45" customHeight="1" x14ac:dyDescent="0.25">
      <c r="A3242" s="29" t="s">
        <v>6605</v>
      </c>
      <c r="C3242" s="37" t="s">
        <v>3623</v>
      </c>
      <c r="E3242" s="37" t="s">
        <v>5301</v>
      </c>
      <c r="H3242" s="38" t="s">
        <v>5725</v>
      </c>
      <c r="J3242" s="215" t="s">
        <v>5724</v>
      </c>
      <c r="S3242" s="10" t="s">
        <v>3412</v>
      </c>
      <c r="U3242" s="22">
        <v>16</v>
      </c>
      <c r="V3242" s="22">
        <v>16</v>
      </c>
      <c r="W3242" s="73">
        <f>W3241+V3242</f>
        <v>58</v>
      </c>
      <c r="X3242" s="80">
        <f t="shared" ref="X3242:X3271" si="234">V3242+X3241</f>
        <v>58</v>
      </c>
      <c r="Y3242" s="82" t="s">
        <v>3591</v>
      </c>
      <c r="Z3242" s="24" t="s">
        <v>4793</v>
      </c>
      <c r="AB3242" s="177">
        <v>42633</v>
      </c>
      <c r="AC3242" s="84" t="s">
        <v>2885</v>
      </c>
    </row>
    <row r="3243" spans="1:38" ht="15.45" customHeight="1" x14ac:dyDescent="0.25">
      <c r="A3243" s="80" t="s">
        <v>2308</v>
      </c>
      <c r="C3243" s="37" t="s">
        <v>3623</v>
      </c>
      <c r="E3243" s="37" t="s">
        <v>2932</v>
      </c>
      <c r="F3243" s="24" t="s">
        <v>2309</v>
      </c>
      <c r="H3243" s="38" t="s">
        <v>5728</v>
      </c>
      <c r="J3243" s="215">
        <v>1995</v>
      </c>
      <c r="S3243" s="10" t="s">
        <v>2983</v>
      </c>
      <c r="U3243" s="22">
        <v>8</v>
      </c>
      <c r="V3243" s="22">
        <v>8</v>
      </c>
      <c r="W3243" s="73">
        <f t="shared" ref="W3243:W3271" si="235">W3242+V3243</f>
        <v>66</v>
      </c>
      <c r="X3243" s="80">
        <f t="shared" si="234"/>
        <v>66</v>
      </c>
      <c r="Y3243" s="82" t="s">
        <v>3591</v>
      </c>
      <c r="Z3243" s="24" t="s">
        <v>4793</v>
      </c>
      <c r="AB3243" s="177">
        <v>42633</v>
      </c>
      <c r="AC3243" s="84" t="s">
        <v>2885</v>
      </c>
    </row>
    <row r="3244" spans="1:38" ht="15.45" customHeight="1" x14ac:dyDescent="0.25">
      <c r="A3244" s="29" t="s">
        <v>5726</v>
      </c>
      <c r="C3244" s="37" t="s">
        <v>3623</v>
      </c>
      <c r="E3244" s="37" t="s">
        <v>5301</v>
      </c>
      <c r="H3244" s="38" t="s">
        <v>5727</v>
      </c>
      <c r="J3244" s="215">
        <v>2020</v>
      </c>
      <c r="K3244" s="10" t="s">
        <v>5278</v>
      </c>
      <c r="S3244" s="10" t="s">
        <v>3436</v>
      </c>
      <c r="U3244" s="22">
        <v>16</v>
      </c>
      <c r="V3244" s="22">
        <v>16</v>
      </c>
      <c r="W3244" s="73">
        <f t="shared" si="235"/>
        <v>82</v>
      </c>
      <c r="X3244" s="80">
        <f t="shared" si="234"/>
        <v>82</v>
      </c>
      <c r="Y3244" s="82" t="s">
        <v>3591</v>
      </c>
      <c r="Z3244" s="24" t="s">
        <v>5299</v>
      </c>
      <c r="AB3244" s="177">
        <v>44150</v>
      </c>
      <c r="AC3244" s="84" t="s">
        <v>2885</v>
      </c>
    </row>
    <row r="3245" spans="1:38" ht="15.45" customHeight="1" x14ac:dyDescent="0.25">
      <c r="A3245" s="29" t="s">
        <v>5313</v>
      </c>
      <c r="C3245" s="37" t="s">
        <v>3623</v>
      </c>
      <c r="E3245" s="37" t="s">
        <v>2926</v>
      </c>
      <c r="F3245" s="24" t="s">
        <v>2093</v>
      </c>
      <c r="H3245" s="38" t="s">
        <v>3622</v>
      </c>
      <c r="J3245" s="215" t="s">
        <v>5319</v>
      </c>
      <c r="S3245" s="10" t="s">
        <v>3436</v>
      </c>
      <c r="U3245" s="22">
        <v>1</v>
      </c>
      <c r="V3245" s="22">
        <v>2</v>
      </c>
      <c r="W3245" s="73">
        <f t="shared" si="235"/>
        <v>84</v>
      </c>
      <c r="X3245" s="80">
        <f t="shared" si="234"/>
        <v>84</v>
      </c>
      <c r="Y3245" s="82" t="s">
        <v>2907</v>
      </c>
      <c r="AB3245" s="177">
        <v>42837</v>
      </c>
      <c r="AC3245" s="84" t="s">
        <v>2885</v>
      </c>
    </row>
    <row r="3246" spans="1:38" ht="15.45" customHeight="1" x14ac:dyDescent="0.25">
      <c r="A3246" s="29" t="s">
        <v>5315</v>
      </c>
      <c r="C3246" s="37" t="s">
        <v>3623</v>
      </c>
      <c r="E3246" s="37" t="s">
        <v>2926</v>
      </c>
      <c r="F3246" s="24" t="s">
        <v>2093</v>
      </c>
      <c r="H3246" s="38" t="s">
        <v>5314</v>
      </c>
      <c r="J3246" s="215" t="s">
        <v>5275</v>
      </c>
      <c r="K3246" s="10" t="s">
        <v>5278</v>
      </c>
      <c r="S3246" s="10" t="s">
        <v>3436</v>
      </c>
      <c r="U3246" s="22">
        <v>3</v>
      </c>
      <c r="V3246" s="22">
        <v>3</v>
      </c>
      <c r="W3246" s="73">
        <f t="shared" si="235"/>
        <v>87</v>
      </c>
      <c r="X3246" s="80">
        <f t="shared" si="234"/>
        <v>87</v>
      </c>
      <c r="Y3246" s="82" t="s">
        <v>3591</v>
      </c>
      <c r="Z3246" s="24" t="s">
        <v>5299</v>
      </c>
      <c r="AB3246" s="177">
        <v>44156</v>
      </c>
      <c r="AC3246" s="84" t="s">
        <v>5308</v>
      </c>
    </row>
    <row r="3247" spans="1:38" ht="15.45" customHeight="1" x14ac:dyDescent="0.25">
      <c r="A3247" s="29" t="s">
        <v>5316</v>
      </c>
      <c r="C3247" s="37" t="s">
        <v>3623</v>
      </c>
      <c r="E3247" s="37" t="s">
        <v>5301</v>
      </c>
      <c r="F3247" s="24" t="s">
        <v>2252</v>
      </c>
      <c r="H3247" s="38" t="s">
        <v>5317</v>
      </c>
      <c r="J3247" s="215" t="s">
        <v>5275</v>
      </c>
      <c r="S3247" s="10" t="s">
        <v>3436</v>
      </c>
      <c r="U3247" s="22">
        <v>3</v>
      </c>
      <c r="V3247" s="22">
        <v>3</v>
      </c>
      <c r="W3247" s="73">
        <f t="shared" si="235"/>
        <v>90</v>
      </c>
      <c r="X3247" s="80">
        <f t="shared" si="234"/>
        <v>90</v>
      </c>
      <c r="Y3247" s="82" t="s">
        <v>3591</v>
      </c>
      <c r="Z3247" s="24" t="s">
        <v>5299</v>
      </c>
      <c r="AB3247" s="177">
        <v>44156</v>
      </c>
      <c r="AC3247" s="84" t="s">
        <v>5308</v>
      </c>
    </row>
    <row r="3248" spans="1:38" ht="15.45" customHeight="1" x14ac:dyDescent="0.25">
      <c r="A3248" s="29" t="s">
        <v>4694</v>
      </c>
      <c r="C3248" s="37" t="s">
        <v>3623</v>
      </c>
      <c r="E3248" s="37" t="s">
        <v>2928</v>
      </c>
      <c r="F3248" s="24" t="s">
        <v>1951</v>
      </c>
      <c r="H3248" s="38" t="s">
        <v>4697</v>
      </c>
      <c r="J3248" s="215" t="s">
        <v>5279</v>
      </c>
      <c r="N3248" s="37" t="s">
        <v>4698</v>
      </c>
      <c r="P3248" s="37" t="s">
        <v>1463</v>
      </c>
      <c r="S3248" s="10" t="s">
        <v>3436</v>
      </c>
      <c r="U3248" s="22">
        <v>1</v>
      </c>
      <c r="V3248" s="22">
        <v>1</v>
      </c>
      <c r="W3248" s="73">
        <f t="shared" si="235"/>
        <v>91</v>
      </c>
      <c r="X3248" s="80">
        <f t="shared" si="234"/>
        <v>91</v>
      </c>
      <c r="Y3248" s="82" t="s">
        <v>4114</v>
      </c>
      <c r="AB3248" s="177">
        <v>43290</v>
      </c>
      <c r="AC3248" s="84" t="s">
        <v>2885</v>
      </c>
    </row>
    <row r="3249" spans="1:36" ht="15.45" customHeight="1" x14ac:dyDescent="0.25">
      <c r="A3249" s="29" t="s">
        <v>5766</v>
      </c>
      <c r="C3249" s="37" t="s">
        <v>3623</v>
      </c>
      <c r="E3249" s="37" t="s">
        <v>5301</v>
      </c>
      <c r="H3249" s="38" t="s">
        <v>5720</v>
      </c>
      <c r="J3249" s="215">
        <v>2015</v>
      </c>
      <c r="S3249" s="10" t="s">
        <v>3412</v>
      </c>
      <c r="U3249" s="22">
        <v>1</v>
      </c>
      <c r="V3249" s="22">
        <v>1</v>
      </c>
      <c r="W3249" s="73">
        <f t="shared" si="235"/>
        <v>92</v>
      </c>
      <c r="X3249" s="80">
        <f t="shared" si="234"/>
        <v>92</v>
      </c>
      <c r="Y3249" s="82" t="s">
        <v>2907</v>
      </c>
      <c r="Z3249" s="24" t="s">
        <v>2885</v>
      </c>
      <c r="AB3249" s="177">
        <v>42170</v>
      </c>
      <c r="AC3249" s="84" t="s">
        <v>5308</v>
      </c>
    </row>
    <row r="3250" spans="1:36" ht="15.45" customHeight="1" x14ac:dyDescent="0.25">
      <c r="A3250" s="29" t="s">
        <v>6450</v>
      </c>
      <c r="C3250" s="37" t="s">
        <v>3623</v>
      </c>
      <c r="E3250" s="37" t="s">
        <v>2926</v>
      </c>
      <c r="F3250" s="24" t="s">
        <v>5722</v>
      </c>
      <c r="H3250" s="38" t="s">
        <v>6602</v>
      </c>
      <c r="J3250" s="215" t="s">
        <v>5723</v>
      </c>
      <c r="O3250" s="37" t="s">
        <v>1463</v>
      </c>
      <c r="S3250" s="10" t="s">
        <v>2983</v>
      </c>
      <c r="U3250" s="22">
        <v>6</v>
      </c>
      <c r="V3250" s="22">
        <v>6</v>
      </c>
      <c r="W3250" s="73">
        <f t="shared" si="235"/>
        <v>98</v>
      </c>
      <c r="X3250" s="80">
        <f t="shared" si="234"/>
        <v>98</v>
      </c>
      <c r="Y3250" s="82" t="s">
        <v>2907</v>
      </c>
      <c r="AB3250" s="177">
        <v>44334</v>
      </c>
      <c r="AC3250" s="84" t="s">
        <v>5308</v>
      </c>
    </row>
    <row r="3251" spans="1:36" ht="15.45" customHeight="1" x14ac:dyDescent="0.25">
      <c r="A3251" s="29" t="s">
        <v>6449</v>
      </c>
      <c r="C3251" s="37" t="s">
        <v>3623</v>
      </c>
      <c r="E3251" s="37" t="s">
        <v>2926</v>
      </c>
      <c r="H3251" s="38" t="s">
        <v>6451</v>
      </c>
      <c r="J3251" s="215">
        <v>1921</v>
      </c>
      <c r="O3251" s="37" t="s">
        <v>1463</v>
      </c>
      <c r="S3251" s="10" t="s">
        <v>3436</v>
      </c>
      <c r="U3251" s="22">
        <v>6</v>
      </c>
      <c r="V3251" s="22">
        <v>6</v>
      </c>
      <c r="W3251" s="73">
        <f t="shared" si="235"/>
        <v>104</v>
      </c>
      <c r="X3251" s="80">
        <f t="shared" si="234"/>
        <v>104</v>
      </c>
      <c r="Y3251" s="82" t="s">
        <v>5748</v>
      </c>
      <c r="AB3251" s="177">
        <v>44335</v>
      </c>
      <c r="AC3251" s="84" t="s">
        <v>5308</v>
      </c>
    </row>
    <row r="3252" spans="1:36" ht="15.45" customHeight="1" x14ac:dyDescent="0.25">
      <c r="A3252" s="29" t="s">
        <v>5329</v>
      </c>
      <c r="C3252" s="37" t="s">
        <v>3623</v>
      </c>
      <c r="E3252" s="37" t="s">
        <v>5301</v>
      </c>
      <c r="H3252" s="38" t="s">
        <v>5721</v>
      </c>
      <c r="J3252" s="215" t="s">
        <v>3406</v>
      </c>
      <c r="S3252" s="10" t="s">
        <v>3412</v>
      </c>
      <c r="U3252" s="22">
        <v>16</v>
      </c>
      <c r="V3252" s="22">
        <v>16</v>
      </c>
      <c r="W3252" s="73">
        <f t="shared" si="235"/>
        <v>120</v>
      </c>
      <c r="X3252" s="80">
        <f t="shared" si="234"/>
        <v>120</v>
      </c>
      <c r="Y3252" s="82" t="s">
        <v>4059</v>
      </c>
      <c r="AB3252" s="177">
        <v>44312</v>
      </c>
      <c r="AC3252" s="84" t="s">
        <v>5308</v>
      </c>
    </row>
    <row r="3253" spans="1:36" ht="15.45" customHeight="1" x14ac:dyDescent="0.25">
      <c r="A3253" s="29" t="s">
        <v>5329</v>
      </c>
      <c r="C3253" s="37" t="s">
        <v>3623</v>
      </c>
      <c r="E3253" s="37" t="s">
        <v>2927</v>
      </c>
      <c r="H3253" s="38" t="s">
        <v>5330</v>
      </c>
      <c r="J3253" s="215" t="s">
        <v>3406</v>
      </c>
      <c r="S3253" s="10" t="s">
        <v>3412</v>
      </c>
      <c r="U3253" s="22">
        <v>5</v>
      </c>
      <c r="V3253" s="22">
        <v>5</v>
      </c>
      <c r="W3253" s="73">
        <f t="shared" si="235"/>
        <v>125</v>
      </c>
      <c r="X3253" s="80">
        <f t="shared" si="234"/>
        <v>125</v>
      </c>
      <c r="Y3253" s="82" t="s">
        <v>4059</v>
      </c>
      <c r="AB3253" s="177">
        <v>44312</v>
      </c>
      <c r="AC3253" s="84" t="s">
        <v>5308</v>
      </c>
      <c r="AI3253" s="10" t="s">
        <v>2946</v>
      </c>
      <c r="AJ3253" s="10" t="s">
        <v>4196</v>
      </c>
    </row>
    <row r="3254" spans="1:36" ht="15.45" customHeight="1" x14ac:dyDescent="0.25">
      <c r="A3254" s="29" t="s">
        <v>5329</v>
      </c>
      <c r="C3254" s="37" t="s">
        <v>3623</v>
      </c>
      <c r="E3254" s="37" t="s">
        <v>5302</v>
      </c>
      <c r="H3254" s="38" t="s">
        <v>5330</v>
      </c>
      <c r="J3254" s="215" t="s">
        <v>3406</v>
      </c>
      <c r="S3254" s="10" t="s">
        <v>3412</v>
      </c>
      <c r="U3254" s="22">
        <v>16</v>
      </c>
      <c r="V3254" s="22">
        <v>16</v>
      </c>
      <c r="W3254" s="73">
        <f t="shared" si="235"/>
        <v>141</v>
      </c>
      <c r="X3254" s="80">
        <f t="shared" si="234"/>
        <v>141</v>
      </c>
      <c r="Y3254" s="82" t="s">
        <v>4059</v>
      </c>
      <c r="AB3254" s="177">
        <v>44312</v>
      </c>
      <c r="AC3254" s="84" t="s">
        <v>5308</v>
      </c>
    </row>
    <row r="3255" spans="1:36" ht="15.45" customHeight="1" x14ac:dyDescent="0.25">
      <c r="A3255" s="29" t="s">
        <v>6447</v>
      </c>
      <c r="C3255" s="37" t="s">
        <v>3623</v>
      </c>
      <c r="E3255" s="37" t="s">
        <v>5301</v>
      </c>
      <c r="F3255" s="24" t="s">
        <v>1951</v>
      </c>
      <c r="H3255" s="38" t="s">
        <v>6448</v>
      </c>
      <c r="I3255" s="111" t="s">
        <v>4700</v>
      </c>
      <c r="J3255" s="215">
        <v>2017</v>
      </c>
      <c r="S3255" s="10" t="s">
        <v>3412</v>
      </c>
      <c r="U3255" s="22">
        <v>1</v>
      </c>
      <c r="V3255" s="22">
        <v>1</v>
      </c>
      <c r="W3255" s="73">
        <f t="shared" si="235"/>
        <v>142</v>
      </c>
      <c r="X3255" s="80">
        <f t="shared" si="234"/>
        <v>142</v>
      </c>
      <c r="Y3255" s="82" t="s">
        <v>3591</v>
      </c>
      <c r="Z3255" s="24" t="s">
        <v>2885</v>
      </c>
      <c r="AB3255" s="177">
        <v>43602</v>
      </c>
      <c r="AC3255" s="84" t="s">
        <v>2885</v>
      </c>
    </row>
    <row r="3256" spans="1:36" ht="15.45" customHeight="1" x14ac:dyDescent="0.25">
      <c r="A3256" s="29" t="s">
        <v>4875</v>
      </c>
      <c r="C3256" s="37" t="s">
        <v>3623</v>
      </c>
      <c r="E3256" s="37" t="s">
        <v>2928</v>
      </c>
      <c r="F3256" s="24" t="s">
        <v>1951</v>
      </c>
      <c r="H3256" s="38" t="s">
        <v>4874</v>
      </c>
      <c r="S3256" s="10" t="s">
        <v>3436</v>
      </c>
      <c r="U3256" s="22">
        <v>3</v>
      </c>
      <c r="V3256" s="22">
        <v>3</v>
      </c>
      <c r="W3256" s="73">
        <f t="shared" si="235"/>
        <v>145</v>
      </c>
      <c r="X3256" s="80">
        <f t="shared" si="234"/>
        <v>145</v>
      </c>
      <c r="Y3256" s="82" t="s">
        <v>4059</v>
      </c>
      <c r="AB3256" s="177">
        <v>43621</v>
      </c>
      <c r="AC3256" s="84" t="s">
        <v>2885</v>
      </c>
    </row>
    <row r="3257" spans="1:36" ht="15.45" customHeight="1" x14ac:dyDescent="0.3">
      <c r="A3257" s="29" t="s">
        <v>7156</v>
      </c>
      <c r="C3257" s="37" t="s">
        <v>7155</v>
      </c>
      <c r="H3257" s="201" t="s">
        <v>7154</v>
      </c>
      <c r="J3257" s="214" t="s">
        <v>5334</v>
      </c>
      <c r="P3257" s="37" t="s">
        <v>1463</v>
      </c>
      <c r="S3257" s="10" t="s">
        <v>3412</v>
      </c>
      <c r="U3257" s="22">
        <v>2</v>
      </c>
      <c r="V3257" s="22">
        <v>2</v>
      </c>
      <c r="X3257" s="80"/>
      <c r="Y3257" s="82" t="s">
        <v>3591</v>
      </c>
      <c r="Z3257" s="24" t="s">
        <v>2885</v>
      </c>
      <c r="AB3257" s="177">
        <v>44912</v>
      </c>
      <c r="AC3257" s="84" t="s">
        <v>2885</v>
      </c>
    </row>
    <row r="3258" spans="1:36" ht="15.45" customHeight="1" x14ac:dyDescent="0.25">
      <c r="A3258" s="29" t="s">
        <v>7156</v>
      </c>
      <c r="C3258" s="37" t="s">
        <v>7155</v>
      </c>
      <c r="H3258" s="201" t="s">
        <v>7157</v>
      </c>
      <c r="J3258" s="214" t="s">
        <v>5334</v>
      </c>
      <c r="P3258" s="37" t="s">
        <v>1463</v>
      </c>
      <c r="S3258" s="10" t="s">
        <v>3412</v>
      </c>
      <c r="U3258" s="22">
        <v>2</v>
      </c>
      <c r="V3258" s="22">
        <v>2</v>
      </c>
      <c r="X3258" s="80"/>
      <c r="Y3258" s="82" t="s">
        <v>3591</v>
      </c>
      <c r="Z3258" s="24" t="s">
        <v>2885</v>
      </c>
      <c r="AB3258" s="177">
        <v>44912</v>
      </c>
      <c r="AC3258" s="84" t="s">
        <v>2885</v>
      </c>
    </row>
    <row r="3259" spans="1:36" ht="15.45" customHeight="1" x14ac:dyDescent="0.25">
      <c r="A3259" s="29" t="s">
        <v>4693</v>
      </c>
      <c r="C3259" s="37" t="s">
        <v>3623</v>
      </c>
      <c r="F3259" s="24" t="s">
        <v>2309</v>
      </c>
      <c r="H3259" s="38" t="s">
        <v>4780</v>
      </c>
      <c r="J3259" s="215">
        <v>2014</v>
      </c>
      <c r="S3259" s="10" t="s">
        <v>3436</v>
      </c>
      <c r="U3259" s="22">
        <v>4</v>
      </c>
      <c r="V3259" s="22">
        <v>4</v>
      </c>
      <c r="W3259" s="73">
        <f>W3256+V3259</f>
        <v>149</v>
      </c>
      <c r="X3259" s="80">
        <f>V3259+X3256</f>
        <v>149</v>
      </c>
      <c r="Y3259" s="82" t="s">
        <v>3591</v>
      </c>
      <c r="Z3259" s="24" t="s">
        <v>2885</v>
      </c>
      <c r="AB3259" s="177">
        <v>43567</v>
      </c>
      <c r="AC3259" s="84" t="s">
        <v>2885</v>
      </c>
    </row>
    <row r="3260" spans="1:36" ht="15.45" customHeight="1" x14ac:dyDescent="0.25">
      <c r="A3260" s="29" t="s">
        <v>4664</v>
      </c>
      <c r="C3260" s="37" t="s">
        <v>3623</v>
      </c>
      <c r="F3260" s="24" t="s">
        <v>1951</v>
      </c>
      <c r="H3260" s="38" t="s">
        <v>6603</v>
      </c>
      <c r="J3260" s="215" t="s">
        <v>5312</v>
      </c>
      <c r="S3260" s="10" t="s">
        <v>3436</v>
      </c>
      <c r="U3260" s="22">
        <v>12</v>
      </c>
      <c r="V3260" s="22">
        <v>12</v>
      </c>
      <c r="W3260" s="73">
        <f t="shared" si="235"/>
        <v>161</v>
      </c>
      <c r="X3260" s="80">
        <f t="shared" si="234"/>
        <v>161</v>
      </c>
      <c r="Y3260" s="82" t="s">
        <v>4114</v>
      </c>
      <c r="AB3260" s="177">
        <v>42633</v>
      </c>
      <c r="AC3260" s="84" t="s">
        <v>2885</v>
      </c>
    </row>
    <row r="3261" spans="1:36" ht="15.45" customHeight="1" x14ac:dyDescent="0.25">
      <c r="A3261" s="29" t="s">
        <v>5760</v>
      </c>
      <c r="C3261" s="37" t="s">
        <v>3623</v>
      </c>
      <c r="E3261" s="37" t="s">
        <v>2928</v>
      </c>
      <c r="F3261" s="24" t="s">
        <v>1951</v>
      </c>
      <c r="H3261" s="38" t="s">
        <v>5762</v>
      </c>
      <c r="J3261" s="215">
        <v>1990</v>
      </c>
      <c r="K3261" s="10" t="s">
        <v>5764</v>
      </c>
      <c r="O3261" s="10" t="s">
        <v>5765</v>
      </c>
      <c r="P3261" s="37" t="s">
        <v>1463</v>
      </c>
      <c r="S3261" s="10" t="s">
        <v>2983</v>
      </c>
      <c r="T3261" s="10" t="s">
        <v>5763</v>
      </c>
      <c r="U3261" s="22">
        <v>3</v>
      </c>
      <c r="V3261" s="22">
        <v>3</v>
      </c>
      <c r="W3261" s="73">
        <f t="shared" si="235"/>
        <v>164</v>
      </c>
      <c r="X3261" s="80">
        <f t="shared" si="234"/>
        <v>164</v>
      </c>
      <c r="Y3261" s="82" t="s">
        <v>3591</v>
      </c>
      <c r="Z3261" s="24" t="s">
        <v>2885</v>
      </c>
      <c r="AB3261" s="177">
        <v>44369</v>
      </c>
      <c r="AC3261" s="84" t="s">
        <v>2885</v>
      </c>
    </row>
    <row r="3262" spans="1:36" ht="15.45" customHeight="1" x14ac:dyDescent="0.25">
      <c r="A3262" s="29" t="s">
        <v>5760</v>
      </c>
      <c r="C3262" s="37" t="s">
        <v>3623</v>
      </c>
      <c r="E3262" s="37" t="s">
        <v>2928</v>
      </c>
      <c r="F3262" s="24" t="s">
        <v>1951</v>
      </c>
      <c r="H3262" s="38" t="s">
        <v>5761</v>
      </c>
      <c r="J3262" s="215">
        <v>1990</v>
      </c>
      <c r="K3262" s="10" t="s">
        <v>5764</v>
      </c>
      <c r="O3262" s="10" t="s">
        <v>5765</v>
      </c>
      <c r="P3262" s="37" t="s">
        <v>1463</v>
      </c>
      <c r="S3262" s="10" t="s">
        <v>2983</v>
      </c>
      <c r="T3262" s="10" t="s">
        <v>5763</v>
      </c>
      <c r="U3262" s="22">
        <v>2</v>
      </c>
      <c r="V3262" s="22">
        <v>2</v>
      </c>
      <c r="W3262" s="73">
        <f t="shared" si="235"/>
        <v>166</v>
      </c>
      <c r="X3262" s="80">
        <f t="shared" si="234"/>
        <v>166</v>
      </c>
      <c r="Y3262" s="82" t="s">
        <v>3591</v>
      </c>
      <c r="Z3262" s="24" t="s">
        <v>2885</v>
      </c>
      <c r="AB3262" s="177">
        <v>44369</v>
      </c>
      <c r="AC3262" s="84" t="s">
        <v>2885</v>
      </c>
    </row>
    <row r="3263" spans="1:36" ht="15.45" customHeight="1" x14ac:dyDescent="0.25">
      <c r="A3263" s="29" t="s">
        <v>5732</v>
      </c>
      <c r="C3263" s="37" t="s">
        <v>3623</v>
      </c>
      <c r="E3263" s="37" t="s">
        <v>2931</v>
      </c>
      <c r="H3263" s="38" t="s">
        <v>5294</v>
      </c>
      <c r="J3263" s="215" t="s">
        <v>5275</v>
      </c>
      <c r="K3263" s="10" t="s">
        <v>5278</v>
      </c>
      <c r="S3263" s="10" t="s">
        <v>3436</v>
      </c>
      <c r="U3263" s="22">
        <v>10</v>
      </c>
      <c r="V3263" s="21">
        <v>10</v>
      </c>
      <c r="W3263" s="73">
        <f t="shared" si="235"/>
        <v>176</v>
      </c>
      <c r="X3263" s="80">
        <f t="shared" si="234"/>
        <v>176</v>
      </c>
      <c r="Y3263" s="82" t="s">
        <v>3591</v>
      </c>
      <c r="Z3263" s="24" t="s">
        <v>5299</v>
      </c>
      <c r="AB3263" s="177">
        <v>44155</v>
      </c>
      <c r="AC3263" s="84" t="s">
        <v>2885</v>
      </c>
    </row>
    <row r="3264" spans="1:36" ht="15.45" customHeight="1" x14ac:dyDescent="0.25">
      <c r="A3264" s="29" t="s">
        <v>6445</v>
      </c>
      <c r="H3264" s="38" t="s">
        <v>6446</v>
      </c>
      <c r="J3264" s="215">
        <v>2022</v>
      </c>
      <c r="K3264" s="10" t="s">
        <v>6599</v>
      </c>
      <c r="S3264" s="10" t="s">
        <v>3436</v>
      </c>
      <c r="U3264" s="22">
        <v>1</v>
      </c>
      <c r="V3264" s="21">
        <v>1</v>
      </c>
      <c r="W3264" s="73">
        <f t="shared" si="235"/>
        <v>177</v>
      </c>
      <c r="X3264" s="80">
        <f t="shared" si="234"/>
        <v>177</v>
      </c>
      <c r="Y3264" s="82" t="s">
        <v>3591</v>
      </c>
      <c r="Z3264" s="24" t="s">
        <v>5299</v>
      </c>
      <c r="AB3264" s="177">
        <v>44550</v>
      </c>
      <c r="AC3264" s="84" t="s">
        <v>5308</v>
      </c>
    </row>
    <row r="3265" spans="1:37" ht="15.45" customHeight="1" x14ac:dyDescent="0.25">
      <c r="A3265" s="29" t="s">
        <v>5729</v>
      </c>
      <c r="C3265" s="37" t="s">
        <v>3623</v>
      </c>
      <c r="E3265" s="37" t="s">
        <v>2926</v>
      </c>
      <c r="H3265" s="38" t="s">
        <v>5295</v>
      </c>
      <c r="J3265" s="215" t="s">
        <v>5275</v>
      </c>
      <c r="K3265" s="10" t="s">
        <v>6600</v>
      </c>
      <c r="S3265" s="10" t="s">
        <v>3436</v>
      </c>
      <c r="U3265" s="22">
        <v>1</v>
      </c>
      <c r="V3265" s="22">
        <v>1</v>
      </c>
      <c r="W3265" s="73">
        <f t="shared" si="235"/>
        <v>178</v>
      </c>
      <c r="X3265" s="80">
        <f t="shared" si="234"/>
        <v>178</v>
      </c>
      <c r="Y3265" s="82" t="s">
        <v>3591</v>
      </c>
      <c r="Z3265" s="24" t="s">
        <v>5299</v>
      </c>
      <c r="AB3265" s="177">
        <v>44155</v>
      </c>
      <c r="AC3265" s="84" t="s">
        <v>2885</v>
      </c>
    </row>
    <row r="3266" spans="1:37" ht="15.45" customHeight="1" x14ac:dyDescent="0.25">
      <c r="A3266" s="29" t="s">
        <v>5731</v>
      </c>
      <c r="C3266" s="37" t="s">
        <v>3623</v>
      </c>
      <c r="E3266" s="37" t="s">
        <v>2926</v>
      </c>
      <c r="H3266" s="38" t="s">
        <v>5295</v>
      </c>
      <c r="J3266" s="215" t="s">
        <v>5275</v>
      </c>
      <c r="K3266" s="10" t="s">
        <v>6601</v>
      </c>
      <c r="S3266" s="10" t="s">
        <v>3436</v>
      </c>
      <c r="U3266" s="22">
        <v>1</v>
      </c>
      <c r="V3266" s="22">
        <v>1</v>
      </c>
      <c r="W3266" s="73">
        <f t="shared" si="235"/>
        <v>179</v>
      </c>
      <c r="X3266" s="80">
        <f t="shared" si="234"/>
        <v>179</v>
      </c>
      <c r="Y3266" s="82" t="s">
        <v>3591</v>
      </c>
      <c r="Z3266" s="24" t="s">
        <v>5299</v>
      </c>
      <c r="AB3266" s="177">
        <v>44155</v>
      </c>
      <c r="AC3266" s="84" t="s">
        <v>2885</v>
      </c>
    </row>
    <row r="3267" spans="1:37" ht="15.45" customHeight="1" x14ac:dyDescent="0.25">
      <c r="A3267" s="29" t="s">
        <v>5730</v>
      </c>
      <c r="C3267" s="37" t="s">
        <v>3623</v>
      </c>
      <c r="E3267" s="37" t="s">
        <v>2925</v>
      </c>
      <c r="H3267" s="38" t="s">
        <v>5295</v>
      </c>
      <c r="J3267" s="215" t="s">
        <v>5275</v>
      </c>
      <c r="K3267" s="10" t="s">
        <v>6600</v>
      </c>
      <c r="S3267" s="10" t="s">
        <v>3436</v>
      </c>
      <c r="U3267" s="22">
        <v>1</v>
      </c>
      <c r="V3267" s="22">
        <v>1</v>
      </c>
      <c r="W3267" s="73">
        <f t="shared" si="235"/>
        <v>180</v>
      </c>
      <c r="X3267" s="80">
        <f t="shared" si="234"/>
        <v>180</v>
      </c>
      <c r="Y3267" s="82" t="s">
        <v>3591</v>
      </c>
      <c r="Z3267" s="24" t="s">
        <v>5299</v>
      </c>
      <c r="AB3267" s="177">
        <v>44155</v>
      </c>
      <c r="AC3267" s="84" t="s">
        <v>2885</v>
      </c>
    </row>
    <row r="3268" spans="1:37" ht="15.45" customHeight="1" x14ac:dyDescent="0.25">
      <c r="A3268" s="29" t="s">
        <v>5291</v>
      </c>
      <c r="C3268" s="37" t="s">
        <v>3623</v>
      </c>
      <c r="E3268" s="37" t="s">
        <v>2931</v>
      </c>
      <c r="H3268" s="38" t="s">
        <v>5297</v>
      </c>
      <c r="J3268" s="215" t="s">
        <v>5275</v>
      </c>
      <c r="K3268" s="10" t="s">
        <v>5278</v>
      </c>
      <c r="S3268" s="10" t="s">
        <v>3436</v>
      </c>
      <c r="U3268" s="22">
        <v>1</v>
      </c>
      <c r="V3268" s="22">
        <v>1</v>
      </c>
      <c r="W3268" s="73">
        <f t="shared" si="235"/>
        <v>181</v>
      </c>
      <c r="X3268" s="80">
        <f t="shared" si="234"/>
        <v>181</v>
      </c>
      <c r="Y3268" s="82" t="s">
        <v>3591</v>
      </c>
      <c r="Z3268" s="24" t="s">
        <v>5299</v>
      </c>
      <c r="AB3268" s="177">
        <v>44155</v>
      </c>
      <c r="AC3268" s="84" t="s">
        <v>2885</v>
      </c>
    </row>
    <row r="3269" spans="1:37" ht="15.45" customHeight="1" x14ac:dyDescent="0.25">
      <c r="A3269" s="29" t="s">
        <v>5292</v>
      </c>
      <c r="C3269" s="37" t="s">
        <v>3623</v>
      </c>
      <c r="E3269" s="37" t="s">
        <v>2930</v>
      </c>
      <c r="H3269" s="38" t="s">
        <v>5296</v>
      </c>
      <c r="J3269" s="215" t="s">
        <v>5275</v>
      </c>
      <c r="K3269" s="10" t="s">
        <v>5278</v>
      </c>
      <c r="S3269" s="10" t="s">
        <v>3436</v>
      </c>
      <c r="U3269" s="22">
        <v>1</v>
      </c>
      <c r="V3269" s="22">
        <v>1</v>
      </c>
      <c r="W3269" s="73">
        <f t="shared" si="235"/>
        <v>182</v>
      </c>
      <c r="X3269" s="80">
        <f t="shared" si="234"/>
        <v>182</v>
      </c>
      <c r="Y3269" s="82" t="s">
        <v>3591</v>
      </c>
      <c r="Z3269" s="24" t="s">
        <v>5299</v>
      </c>
      <c r="AB3269" s="177">
        <v>44155</v>
      </c>
      <c r="AC3269" s="84" t="s">
        <v>2885</v>
      </c>
    </row>
    <row r="3270" spans="1:37" ht="15.45" customHeight="1" x14ac:dyDescent="0.25">
      <c r="A3270" s="29" t="s">
        <v>5293</v>
      </c>
      <c r="C3270" s="37" t="s">
        <v>3623</v>
      </c>
      <c r="E3270" s="37" t="s">
        <v>2931</v>
      </c>
      <c r="H3270" s="38" t="s">
        <v>5298</v>
      </c>
      <c r="J3270" s="215" t="s">
        <v>5275</v>
      </c>
      <c r="K3270" s="10" t="s">
        <v>5278</v>
      </c>
      <c r="S3270" s="10" t="s">
        <v>3436</v>
      </c>
      <c r="U3270" s="22">
        <v>1</v>
      </c>
      <c r="V3270" s="22">
        <v>1</v>
      </c>
      <c r="W3270" s="73">
        <f t="shared" si="235"/>
        <v>183</v>
      </c>
      <c r="X3270" s="80">
        <f t="shared" si="234"/>
        <v>183</v>
      </c>
      <c r="Y3270" s="82" t="s">
        <v>3591</v>
      </c>
      <c r="Z3270" s="24" t="s">
        <v>5299</v>
      </c>
      <c r="AB3270" s="177">
        <v>44155</v>
      </c>
      <c r="AC3270" s="84" t="s">
        <v>2885</v>
      </c>
    </row>
    <row r="3271" spans="1:37" ht="15.45" customHeight="1" x14ac:dyDescent="0.25">
      <c r="A3271" s="29" t="s">
        <v>5318</v>
      </c>
      <c r="C3271" s="37" t="s">
        <v>3623</v>
      </c>
      <c r="E3271" s="37" t="s">
        <v>2925</v>
      </c>
      <c r="H3271" s="38" t="s">
        <v>5296</v>
      </c>
      <c r="J3271" s="215" t="s">
        <v>5275</v>
      </c>
      <c r="K3271" s="10" t="s">
        <v>5278</v>
      </c>
      <c r="S3271" s="10" t="s">
        <v>3436</v>
      </c>
      <c r="U3271" s="22">
        <v>1</v>
      </c>
      <c r="V3271" s="22">
        <v>1</v>
      </c>
      <c r="W3271" s="73">
        <f t="shared" si="235"/>
        <v>184</v>
      </c>
      <c r="X3271" s="80">
        <f t="shared" si="234"/>
        <v>184</v>
      </c>
      <c r="Y3271" s="82" t="s">
        <v>3591</v>
      </c>
      <c r="Z3271" s="24" t="s">
        <v>5299</v>
      </c>
      <c r="AB3271" s="177">
        <v>44155</v>
      </c>
      <c r="AC3271" s="84" t="s">
        <v>2885</v>
      </c>
    </row>
    <row r="3272" spans="1:37" ht="15.45" customHeight="1" x14ac:dyDescent="0.25">
      <c r="U3272" s="22"/>
      <c r="V3272" s="22"/>
      <c r="X3272" s="80"/>
    </row>
    <row r="3273" spans="1:37" ht="15.45" customHeight="1" x14ac:dyDescent="0.25">
      <c r="U3273" s="121">
        <f>SUM(U3241:U3271)</f>
        <v>187</v>
      </c>
      <c r="V3273" s="121">
        <f>SUM(V3241:V3271)</f>
        <v>188</v>
      </c>
      <c r="X3273" s="80"/>
    </row>
    <row r="3274" spans="1:37" ht="15.45" customHeight="1" x14ac:dyDescent="0.25">
      <c r="U3274" s="22"/>
      <c r="V3274" s="22"/>
      <c r="X3274" s="80"/>
    </row>
    <row r="3275" spans="1:37" ht="15.45" customHeight="1" x14ac:dyDescent="0.25">
      <c r="A3275"/>
      <c r="H3275" s="36"/>
      <c r="I3275" s="125"/>
      <c r="S3275" s="4"/>
      <c r="T3275" s="124"/>
      <c r="U3275" s="22"/>
      <c r="V3275" s="22"/>
      <c r="X3275" s="80"/>
      <c r="AF3275"/>
      <c r="AG3275"/>
      <c r="AH3275"/>
      <c r="AI3275"/>
      <c r="AJ3275"/>
      <c r="AK3275"/>
    </row>
    <row r="3276" spans="1:37" ht="15.45" customHeight="1" x14ac:dyDescent="0.25">
      <c r="A3276"/>
      <c r="H3276" s="36"/>
      <c r="I3276" s="125"/>
      <c r="S3276" s="4"/>
      <c r="T3276" s="124"/>
      <c r="U3276" s="22"/>
      <c r="V3276" s="22"/>
      <c r="X3276" s="80"/>
      <c r="AF3276"/>
      <c r="AG3276"/>
      <c r="AH3276"/>
      <c r="AI3276"/>
      <c r="AJ3276"/>
      <c r="AK3276"/>
    </row>
    <row r="3277" spans="1:37" ht="15.45" customHeight="1" x14ac:dyDescent="0.25">
      <c r="A3277"/>
      <c r="H3277" s="36"/>
      <c r="I3277" s="125"/>
      <c r="S3277" s="4"/>
      <c r="T3277" s="124"/>
      <c r="U3277" s="22"/>
      <c r="V3277" s="22"/>
      <c r="X3277" s="80"/>
      <c r="AF3277"/>
      <c r="AG3277"/>
      <c r="AH3277"/>
      <c r="AI3277"/>
      <c r="AJ3277"/>
      <c r="AK3277"/>
    </row>
    <row r="3278" spans="1:37" ht="15.45" customHeight="1" x14ac:dyDescent="0.25">
      <c r="A3278"/>
      <c r="H3278" s="36"/>
      <c r="I3278" s="125"/>
      <c r="S3278" s="4"/>
      <c r="T3278" s="124"/>
      <c r="U3278" s="22"/>
      <c r="V3278" s="22"/>
      <c r="X3278" s="80"/>
      <c r="AF3278"/>
      <c r="AG3278"/>
      <c r="AH3278"/>
      <c r="AI3278"/>
      <c r="AJ3278"/>
      <c r="AK3278"/>
    </row>
    <row r="3279" spans="1:37" ht="15.45" customHeight="1" x14ac:dyDescent="0.25">
      <c r="A3279"/>
      <c r="H3279" s="36"/>
      <c r="I3279" s="125"/>
      <c r="S3279" s="4"/>
      <c r="T3279" s="124"/>
      <c r="U3279" s="22"/>
      <c r="V3279" s="22"/>
      <c r="X3279" s="80"/>
      <c r="AF3279"/>
      <c r="AG3279"/>
      <c r="AH3279"/>
      <c r="AI3279"/>
      <c r="AJ3279"/>
      <c r="AK3279"/>
    </row>
    <row r="3280" spans="1:37" ht="15.45" customHeight="1" x14ac:dyDescent="0.25">
      <c r="A3280"/>
      <c r="H3280" s="36"/>
      <c r="I3280" s="125"/>
      <c r="S3280" s="4"/>
      <c r="T3280" s="124"/>
      <c r="U3280" s="22"/>
      <c r="V3280" s="22"/>
      <c r="X3280" s="80"/>
      <c r="AF3280"/>
      <c r="AG3280"/>
      <c r="AH3280"/>
      <c r="AI3280"/>
      <c r="AJ3280"/>
      <c r="AK3280"/>
    </row>
    <row r="3281" spans="1:37" ht="15.45" customHeight="1" x14ac:dyDescent="0.25">
      <c r="A3281"/>
      <c r="H3281" s="36"/>
      <c r="I3281" s="125"/>
      <c r="S3281" s="4"/>
      <c r="T3281" s="124"/>
      <c r="U3281" s="22"/>
      <c r="V3281" s="22"/>
      <c r="X3281" s="80"/>
      <c r="AF3281"/>
      <c r="AG3281"/>
      <c r="AH3281"/>
      <c r="AI3281"/>
      <c r="AJ3281"/>
      <c r="AK3281"/>
    </row>
    <row r="3282" spans="1:37" ht="15.45" customHeight="1" x14ac:dyDescent="0.25">
      <c r="A3282"/>
      <c r="H3282" s="36"/>
      <c r="I3282" s="125"/>
      <c r="S3282" s="4"/>
      <c r="T3282" s="124"/>
      <c r="U3282" s="22"/>
      <c r="V3282" s="22"/>
      <c r="X3282" s="80"/>
      <c r="AF3282"/>
      <c r="AG3282"/>
      <c r="AH3282"/>
      <c r="AI3282"/>
      <c r="AJ3282"/>
      <c r="AK3282"/>
    </row>
    <row r="3283" spans="1:37" ht="15.45" customHeight="1" x14ac:dyDescent="0.25">
      <c r="A3283"/>
      <c r="H3283" s="36"/>
      <c r="I3283" s="125"/>
      <c r="S3283" s="4"/>
      <c r="T3283" s="124"/>
      <c r="U3283" s="22"/>
      <c r="V3283" s="22"/>
      <c r="X3283" s="80"/>
      <c r="AF3283"/>
      <c r="AG3283"/>
      <c r="AH3283"/>
      <c r="AI3283"/>
      <c r="AJ3283"/>
      <c r="AK3283"/>
    </row>
    <row r="3284" spans="1:37" ht="15.45" customHeight="1" x14ac:dyDescent="0.25">
      <c r="A3284"/>
      <c r="H3284" s="36"/>
      <c r="I3284" s="125"/>
      <c r="S3284" s="4"/>
      <c r="T3284" s="124"/>
      <c r="U3284" s="22"/>
      <c r="V3284" s="22"/>
      <c r="X3284" s="80"/>
      <c r="AF3284"/>
      <c r="AG3284"/>
      <c r="AH3284"/>
      <c r="AI3284"/>
      <c r="AJ3284"/>
      <c r="AK3284"/>
    </row>
    <row r="3285" spans="1:37" ht="15.45" customHeight="1" x14ac:dyDescent="0.25">
      <c r="A3285"/>
      <c r="H3285" s="36"/>
      <c r="I3285" s="125"/>
      <c r="S3285" s="4"/>
      <c r="T3285" s="124"/>
      <c r="U3285" s="22"/>
      <c r="V3285" s="22"/>
      <c r="X3285" s="80"/>
      <c r="AF3285"/>
      <c r="AG3285"/>
      <c r="AH3285"/>
      <c r="AI3285"/>
      <c r="AJ3285"/>
      <c r="AK3285"/>
    </row>
    <row r="3286" spans="1:37" ht="15.45" customHeight="1" x14ac:dyDescent="0.25">
      <c r="A3286"/>
      <c r="H3286" s="36"/>
      <c r="I3286" s="125"/>
      <c r="S3286" s="4"/>
      <c r="T3286" s="124"/>
      <c r="U3286" s="22"/>
      <c r="V3286" s="22"/>
      <c r="X3286" s="80"/>
      <c r="AF3286"/>
      <c r="AG3286"/>
      <c r="AH3286"/>
      <c r="AI3286"/>
      <c r="AJ3286"/>
      <c r="AK3286"/>
    </row>
    <row r="3287" spans="1:37" ht="15.45" customHeight="1" x14ac:dyDescent="0.25">
      <c r="A3287"/>
      <c r="H3287" s="36"/>
      <c r="I3287" s="125"/>
      <c r="S3287" s="4"/>
      <c r="T3287" s="124"/>
      <c r="U3287" s="22"/>
      <c r="V3287" s="22"/>
      <c r="X3287" s="80"/>
      <c r="AF3287"/>
      <c r="AG3287"/>
      <c r="AH3287"/>
      <c r="AI3287"/>
      <c r="AJ3287"/>
      <c r="AK3287"/>
    </row>
    <row r="3288" spans="1:37" ht="13.05" customHeight="1" x14ac:dyDescent="0.25">
      <c r="A3288"/>
      <c r="H3288" s="36"/>
      <c r="I3288" s="125"/>
      <c r="S3288" s="4"/>
      <c r="T3288" s="124"/>
      <c r="U3288" s="22"/>
      <c r="V3288" s="22"/>
      <c r="AF3288"/>
      <c r="AG3288"/>
      <c r="AH3288"/>
      <c r="AI3288"/>
      <c r="AJ3288"/>
      <c r="AK3288"/>
    </row>
    <row r="3289" spans="1:37" ht="13.05" customHeight="1" x14ac:dyDescent="0.25">
      <c r="A3289"/>
      <c r="H3289" s="36"/>
      <c r="I3289" s="125"/>
      <c r="S3289" s="4"/>
      <c r="T3289" s="124"/>
      <c r="U3289" s="22"/>
      <c r="V3289" s="22"/>
      <c r="AF3289"/>
      <c r="AG3289"/>
      <c r="AH3289"/>
      <c r="AI3289"/>
      <c r="AJ3289"/>
      <c r="AK3289"/>
    </row>
    <row r="3290" spans="1:37" ht="13.05" customHeight="1" x14ac:dyDescent="0.25">
      <c r="A3290"/>
      <c r="H3290" s="36"/>
      <c r="I3290" s="125"/>
      <c r="S3290" s="4"/>
      <c r="T3290" s="124"/>
      <c r="U3290" s="22"/>
      <c r="V3290" s="22"/>
      <c r="AF3290"/>
      <c r="AG3290"/>
      <c r="AH3290"/>
      <c r="AI3290"/>
      <c r="AJ3290"/>
      <c r="AK3290"/>
    </row>
    <row r="3291" spans="1:37" ht="13.05" customHeight="1" x14ac:dyDescent="0.25">
      <c r="A3291"/>
      <c r="C3291" s="191"/>
      <c r="D3291" s="191"/>
      <c r="F3291"/>
      <c r="G3291"/>
      <c r="H3291" s="36"/>
      <c r="I3291" s="125"/>
      <c r="S3291" s="4"/>
      <c r="T3291" s="124"/>
      <c r="U3291" s="22"/>
      <c r="V3291" s="22"/>
      <c r="W3291" s="78"/>
      <c r="X3291" s="78"/>
      <c r="AF3291"/>
      <c r="AG3291"/>
      <c r="AH3291"/>
      <c r="AI3291"/>
      <c r="AJ3291"/>
      <c r="AK3291"/>
    </row>
    <row r="3292" spans="1:37" ht="13.05" customHeight="1" x14ac:dyDescent="0.25">
      <c r="A3292"/>
      <c r="C3292" s="191"/>
      <c r="D3292" s="191"/>
      <c r="F3292"/>
      <c r="G3292"/>
      <c r="H3292" s="36"/>
      <c r="I3292" s="125"/>
      <c r="S3292" s="4"/>
      <c r="T3292" s="124"/>
      <c r="U3292" s="22"/>
      <c r="V3292" s="22"/>
      <c r="W3292" s="78"/>
      <c r="X3292" s="78"/>
      <c r="AF3292"/>
      <c r="AG3292"/>
      <c r="AH3292"/>
      <c r="AI3292"/>
      <c r="AJ3292"/>
      <c r="AK3292"/>
    </row>
    <row r="3293" spans="1:37" ht="13.05" customHeight="1" x14ac:dyDescent="0.25">
      <c r="A3293"/>
      <c r="C3293" s="191"/>
      <c r="D3293" s="191"/>
      <c r="F3293"/>
      <c r="G3293"/>
      <c r="H3293" s="36"/>
      <c r="I3293" s="125"/>
      <c r="S3293" s="4"/>
      <c r="T3293" s="124"/>
      <c r="U3293" s="22"/>
      <c r="V3293" s="22"/>
      <c r="W3293" s="78"/>
      <c r="X3293" s="78"/>
      <c r="AF3293"/>
      <c r="AG3293"/>
      <c r="AH3293"/>
      <c r="AI3293"/>
      <c r="AJ3293"/>
      <c r="AK3293"/>
    </row>
    <row r="3294" spans="1:37" ht="13.05" customHeight="1" x14ac:dyDescent="0.25">
      <c r="A3294"/>
      <c r="C3294" s="191"/>
      <c r="D3294" s="191"/>
      <c r="F3294"/>
      <c r="G3294"/>
      <c r="H3294" s="36"/>
      <c r="I3294" s="125"/>
      <c r="S3294" s="4"/>
      <c r="T3294" s="124"/>
      <c r="U3294" s="22"/>
      <c r="V3294" s="22"/>
      <c r="W3294" s="78"/>
      <c r="X3294" s="78"/>
      <c r="AF3294"/>
      <c r="AG3294"/>
      <c r="AH3294"/>
      <c r="AI3294"/>
      <c r="AJ3294"/>
      <c r="AK3294"/>
    </row>
    <row r="3295" spans="1:37" ht="13.05" customHeight="1" x14ac:dyDescent="0.25">
      <c r="A3295"/>
      <c r="C3295" s="191"/>
      <c r="D3295" s="191"/>
      <c r="F3295"/>
      <c r="G3295"/>
      <c r="H3295" s="36"/>
      <c r="I3295" s="125"/>
      <c r="S3295" s="4"/>
      <c r="T3295" s="124"/>
      <c r="U3295" s="22"/>
      <c r="V3295" s="22"/>
      <c r="W3295" s="78"/>
      <c r="X3295" s="78"/>
      <c r="AF3295"/>
      <c r="AG3295"/>
      <c r="AH3295"/>
      <c r="AI3295"/>
      <c r="AJ3295"/>
      <c r="AK3295"/>
    </row>
    <row r="3296" spans="1:37" ht="13.05" customHeight="1" x14ac:dyDescent="0.25">
      <c r="A3296"/>
      <c r="C3296" s="191"/>
      <c r="D3296" s="191"/>
      <c r="F3296"/>
      <c r="G3296"/>
      <c r="H3296" s="36"/>
      <c r="I3296" s="125"/>
      <c r="S3296" s="4"/>
      <c r="T3296" s="124"/>
      <c r="U3296" s="22"/>
      <c r="V3296" s="22"/>
      <c r="W3296" s="78"/>
      <c r="X3296" s="78"/>
      <c r="AF3296"/>
      <c r="AG3296"/>
      <c r="AH3296"/>
      <c r="AI3296"/>
      <c r="AJ3296"/>
      <c r="AK3296"/>
    </row>
    <row r="3297" spans="1:37" ht="13.05" customHeight="1" x14ac:dyDescent="0.25">
      <c r="A3297"/>
      <c r="C3297" s="191"/>
      <c r="D3297" s="191"/>
      <c r="F3297"/>
      <c r="G3297"/>
      <c r="H3297" s="36"/>
      <c r="I3297" s="125"/>
      <c r="S3297" s="4"/>
      <c r="T3297" s="124"/>
      <c r="U3297" s="22"/>
      <c r="V3297" s="22"/>
      <c r="W3297" s="78"/>
      <c r="X3297" s="78"/>
      <c r="AF3297"/>
      <c r="AG3297"/>
      <c r="AH3297"/>
      <c r="AI3297"/>
      <c r="AJ3297"/>
      <c r="AK3297"/>
    </row>
    <row r="3298" spans="1:37" ht="13.05" customHeight="1" x14ac:dyDescent="0.25">
      <c r="A3298"/>
      <c r="C3298" s="191"/>
      <c r="D3298" s="191"/>
      <c r="F3298"/>
      <c r="G3298"/>
      <c r="H3298" s="36"/>
      <c r="I3298" s="125"/>
      <c r="S3298" s="4"/>
      <c r="T3298" s="124"/>
      <c r="U3298" s="22"/>
      <c r="V3298" s="22"/>
      <c r="W3298" s="78"/>
      <c r="X3298" s="78"/>
      <c r="AF3298"/>
      <c r="AG3298"/>
      <c r="AH3298"/>
      <c r="AI3298"/>
      <c r="AJ3298"/>
      <c r="AK3298"/>
    </row>
    <row r="3299" spans="1:37" ht="13.05" customHeight="1" x14ac:dyDescent="0.25">
      <c r="A3299"/>
      <c r="C3299" s="191"/>
      <c r="D3299" s="191"/>
      <c r="F3299"/>
      <c r="G3299"/>
      <c r="H3299" s="36"/>
      <c r="I3299" s="125"/>
      <c r="S3299" s="4"/>
      <c r="T3299" s="124"/>
      <c r="U3299" s="22"/>
      <c r="V3299" s="22"/>
      <c r="W3299" s="78"/>
      <c r="X3299" s="78"/>
      <c r="AF3299"/>
      <c r="AG3299"/>
      <c r="AH3299"/>
      <c r="AI3299"/>
      <c r="AJ3299"/>
      <c r="AK3299"/>
    </row>
    <row r="3300" spans="1:37" ht="13.05" customHeight="1" x14ac:dyDescent="0.25">
      <c r="A3300"/>
      <c r="C3300" s="191"/>
      <c r="D3300" s="191"/>
      <c r="F3300"/>
      <c r="G3300"/>
      <c r="H3300" s="36"/>
      <c r="I3300" s="125"/>
      <c r="S3300" s="4"/>
      <c r="T3300" s="124"/>
      <c r="U3300" s="22"/>
      <c r="V3300" s="22"/>
      <c r="W3300" s="78"/>
      <c r="X3300" s="78"/>
      <c r="AF3300"/>
      <c r="AG3300"/>
      <c r="AH3300"/>
      <c r="AI3300"/>
      <c r="AJ3300"/>
      <c r="AK3300"/>
    </row>
    <row r="3301" spans="1:37" ht="13.05" customHeight="1" x14ac:dyDescent="0.25">
      <c r="A3301"/>
      <c r="C3301" s="191"/>
      <c r="D3301" s="191"/>
      <c r="F3301"/>
      <c r="G3301"/>
      <c r="H3301" s="36"/>
      <c r="I3301" s="125"/>
      <c r="S3301" s="4"/>
      <c r="T3301" s="124"/>
      <c r="U3301" s="22"/>
      <c r="V3301" s="22"/>
      <c r="W3301" s="78"/>
      <c r="X3301" s="78"/>
      <c r="AF3301"/>
      <c r="AG3301"/>
      <c r="AH3301"/>
      <c r="AI3301"/>
      <c r="AJ3301"/>
      <c r="AK3301"/>
    </row>
    <row r="3302" spans="1:37" ht="13.05" customHeight="1" x14ac:dyDescent="0.25">
      <c r="A3302"/>
      <c r="C3302" s="191"/>
      <c r="D3302" s="191"/>
      <c r="F3302"/>
      <c r="G3302"/>
      <c r="H3302" s="36"/>
      <c r="I3302" s="125"/>
      <c r="S3302" s="4"/>
      <c r="T3302" s="124"/>
      <c r="U3302" s="22"/>
      <c r="V3302" s="22"/>
      <c r="W3302" s="78"/>
      <c r="X3302" s="78"/>
      <c r="AF3302"/>
      <c r="AG3302"/>
      <c r="AH3302"/>
      <c r="AI3302"/>
      <c r="AJ3302"/>
      <c r="AK3302"/>
    </row>
    <row r="3303" spans="1:37" ht="13.05" customHeight="1" x14ac:dyDescent="0.25">
      <c r="A3303"/>
      <c r="C3303" s="191"/>
      <c r="D3303" s="191"/>
      <c r="F3303"/>
      <c r="G3303"/>
      <c r="H3303" s="36"/>
      <c r="I3303" s="125"/>
      <c r="S3303" s="4"/>
      <c r="T3303" s="124"/>
      <c r="U3303" s="22"/>
      <c r="V3303" s="22"/>
      <c r="W3303" s="78"/>
      <c r="X3303" s="78"/>
      <c r="AF3303"/>
      <c r="AG3303"/>
      <c r="AH3303"/>
      <c r="AI3303"/>
      <c r="AJ3303"/>
      <c r="AK3303"/>
    </row>
    <row r="3304" spans="1:37" ht="13.05" customHeight="1" x14ac:dyDescent="0.25">
      <c r="A3304"/>
      <c r="C3304" s="191"/>
      <c r="D3304" s="191"/>
      <c r="F3304"/>
      <c r="G3304"/>
      <c r="H3304" s="36"/>
      <c r="I3304" s="125"/>
      <c r="S3304" s="4"/>
      <c r="T3304" s="124"/>
      <c r="U3304" s="22"/>
      <c r="V3304" s="22"/>
      <c r="W3304" s="78"/>
      <c r="X3304" s="78"/>
      <c r="AF3304"/>
      <c r="AG3304"/>
      <c r="AH3304"/>
      <c r="AI3304"/>
      <c r="AJ3304"/>
      <c r="AK3304"/>
    </row>
    <row r="3305" spans="1:37" ht="13.05" customHeight="1" x14ac:dyDescent="0.25">
      <c r="A3305"/>
      <c r="C3305" s="191"/>
      <c r="D3305" s="191"/>
      <c r="F3305"/>
      <c r="G3305"/>
      <c r="H3305" s="36"/>
      <c r="I3305" s="125"/>
      <c r="S3305" s="4"/>
      <c r="T3305" s="124"/>
      <c r="U3305" s="22"/>
      <c r="V3305" s="22"/>
      <c r="W3305" s="78"/>
      <c r="X3305" s="78"/>
      <c r="AF3305"/>
      <c r="AG3305"/>
      <c r="AH3305"/>
      <c r="AI3305"/>
      <c r="AJ3305"/>
      <c r="AK3305"/>
    </row>
    <row r="3306" spans="1:37" ht="13.05" customHeight="1" x14ac:dyDescent="0.25">
      <c r="A3306"/>
      <c r="C3306" s="191"/>
      <c r="D3306" s="191"/>
      <c r="F3306"/>
      <c r="G3306"/>
      <c r="H3306" s="36"/>
      <c r="I3306" s="125"/>
      <c r="S3306" s="4"/>
      <c r="T3306" s="124"/>
      <c r="U3306" s="22"/>
      <c r="V3306" s="22"/>
      <c r="W3306" s="78"/>
      <c r="X3306" s="78"/>
      <c r="AF3306"/>
      <c r="AG3306"/>
      <c r="AH3306"/>
      <c r="AI3306"/>
      <c r="AJ3306"/>
      <c r="AK3306"/>
    </row>
    <row r="3307" spans="1:37" ht="13.05" customHeight="1" x14ac:dyDescent="0.25">
      <c r="A3307"/>
      <c r="C3307" s="191"/>
      <c r="D3307" s="191"/>
      <c r="F3307"/>
      <c r="G3307"/>
      <c r="H3307" s="36"/>
      <c r="I3307" s="125"/>
      <c r="S3307" s="4"/>
      <c r="T3307" s="124"/>
      <c r="U3307" s="22"/>
      <c r="V3307" s="22"/>
      <c r="W3307" s="78"/>
      <c r="X3307" s="78"/>
      <c r="AF3307"/>
      <c r="AG3307"/>
      <c r="AH3307"/>
      <c r="AI3307"/>
      <c r="AJ3307"/>
      <c r="AK3307"/>
    </row>
    <row r="3308" spans="1:37" ht="13.05" customHeight="1" x14ac:dyDescent="0.25">
      <c r="A3308"/>
      <c r="C3308" s="191"/>
      <c r="D3308" s="191"/>
      <c r="F3308"/>
      <c r="G3308"/>
      <c r="H3308" s="36"/>
      <c r="I3308" s="125"/>
      <c r="S3308" s="4"/>
      <c r="T3308" s="124"/>
      <c r="U3308" s="22"/>
      <c r="V3308" s="22"/>
      <c r="W3308" s="78"/>
      <c r="X3308" s="78"/>
      <c r="AF3308"/>
      <c r="AG3308"/>
      <c r="AH3308"/>
      <c r="AI3308"/>
      <c r="AJ3308"/>
      <c r="AK3308"/>
    </row>
    <row r="3309" spans="1:37" ht="13.05" customHeight="1" x14ac:dyDescent="0.25">
      <c r="A3309"/>
      <c r="C3309" s="191"/>
      <c r="D3309" s="191"/>
      <c r="F3309"/>
      <c r="G3309"/>
      <c r="H3309" s="36"/>
      <c r="I3309" s="125"/>
      <c r="S3309" s="4"/>
      <c r="T3309" s="124"/>
      <c r="U3309" s="22"/>
      <c r="V3309" s="22"/>
      <c r="W3309" s="78"/>
      <c r="X3309" s="78"/>
      <c r="AF3309"/>
      <c r="AG3309"/>
      <c r="AH3309"/>
      <c r="AI3309"/>
      <c r="AJ3309"/>
      <c r="AK3309"/>
    </row>
    <row r="3310" spans="1:37" ht="13.05" customHeight="1" x14ac:dyDescent="0.25">
      <c r="A3310"/>
      <c r="C3310" s="191"/>
      <c r="D3310" s="191"/>
      <c r="F3310"/>
      <c r="G3310"/>
      <c r="H3310" s="36"/>
      <c r="I3310" s="125"/>
      <c r="S3310" s="4"/>
      <c r="T3310" s="124"/>
      <c r="U3310" s="22"/>
      <c r="V3310" s="22"/>
      <c r="W3310" s="78"/>
      <c r="X3310" s="78"/>
      <c r="AF3310"/>
      <c r="AG3310"/>
      <c r="AH3310"/>
      <c r="AI3310"/>
      <c r="AJ3310"/>
      <c r="AK3310"/>
    </row>
    <row r="3311" spans="1:37" ht="13.05" customHeight="1" x14ac:dyDescent="0.25">
      <c r="A3311"/>
      <c r="C3311" s="191"/>
      <c r="D3311" s="191"/>
      <c r="F3311"/>
      <c r="G3311"/>
      <c r="H3311" s="36"/>
      <c r="I3311" s="125"/>
      <c r="S3311" s="4"/>
      <c r="T3311" s="124"/>
      <c r="U3311" s="22"/>
      <c r="V3311" s="22"/>
      <c r="W3311" s="78"/>
      <c r="X3311" s="78"/>
      <c r="AF3311"/>
      <c r="AG3311"/>
      <c r="AH3311"/>
      <c r="AI3311"/>
      <c r="AJ3311"/>
      <c r="AK3311"/>
    </row>
    <row r="3312" spans="1:37" ht="13.05" customHeight="1" x14ac:dyDescent="0.25">
      <c r="A3312"/>
      <c r="C3312" s="191"/>
      <c r="D3312" s="191"/>
      <c r="F3312"/>
      <c r="G3312"/>
      <c r="H3312" s="36"/>
      <c r="I3312" s="125"/>
      <c r="S3312" s="4"/>
      <c r="T3312" s="124"/>
      <c r="U3312" s="22"/>
      <c r="V3312" s="22"/>
      <c r="W3312" s="78"/>
      <c r="X3312" s="78"/>
      <c r="AF3312"/>
      <c r="AG3312"/>
      <c r="AH3312"/>
      <c r="AI3312"/>
      <c r="AJ3312"/>
      <c r="AK3312"/>
    </row>
    <row r="3313" spans="1:37" ht="13.05" customHeight="1" x14ac:dyDescent="0.25">
      <c r="A3313"/>
      <c r="C3313" s="191"/>
      <c r="D3313" s="191"/>
      <c r="F3313"/>
      <c r="G3313"/>
      <c r="H3313" s="36"/>
      <c r="I3313" s="125"/>
      <c r="S3313" s="4"/>
      <c r="T3313" s="124"/>
      <c r="U3313" s="22"/>
      <c r="V3313" s="22"/>
      <c r="W3313" s="78"/>
      <c r="X3313" s="78"/>
      <c r="AF3313"/>
      <c r="AG3313"/>
      <c r="AH3313"/>
      <c r="AI3313"/>
      <c r="AJ3313"/>
      <c r="AK3313"/>
    </row>
    <row r="3314" spans="1:37" ht="13.05" customHeight="1" x14ac:dyDescent="0.25">
      <c r="A3314"/>
      <c r="C3314" s="191"/>
      <c r="D3314" s="191"/>
      <c r="F3314"/>
      <c r="G3314"/>
      <c r="H3314" s="36"/>
      <c r="I3314" s="125"/>
      <c r="S3314" s="4"/>
      <c r="T3314" s="124"/>
      <c r="U3314" s="22"/>
      <c r="V3314" s="22"/>
      <c r="W3314" s="78"/>
      <c r="X3314" s="78"/>
      <c r="AF3314"/>
      <c r="AG3314"/>
      <c r="AH3314"/>
      <c r="AI3314"/>
      <c r="AJ3314"/>
      <c r="AK3314"/>
    </row>
    <row r="3315" spans="1:37" ht="13.05" customHeight="1" x14ac:dyDescent="0.25">
      <c r="A3315"/>
      <c r="C3315" s="191"/>
      <c r="D3315" s="191"/>
      <c r="F3315"/>
      <c r="G3315"/>
      <c r="H3315" s="36"/>
      <c r="I3315" s="125"/>
      <c r="S3315" s="4"/>
      <c r="T3315" s="124"/>
      <c r="U3315" s="22"/>
      <c r="V3315" s="22"/>
      <c r="W3315" s="78"/>
      <c r="X3315" s="78"/>
      <c r="AF3315"/>
      <c r="AG3315"/>
      <c r="AH3315"/>
      <c r="AI3315"/>
      <c r="AJ3315"/>
      <c r="AK3315"/>
    </row>
    <row r="3316" spans="1:37" ht="13.05" customHeight="1" x14ac:dyDescent="0.25">
      <c r="A3316"/>
      <c r="C3316" s="191"/>
      <c r="D3316" s="191"/>
      <c r="F3316"/>
      <c r="G3316"/>
      <c r="H3316" s="36"/>
      <c r="I3316" s="125"/>
      <c r="S3316" s="4"/>
      <c r="T3316" s="124"/>
      <c r="U3316" s="22"/>
      <c r="V3316" s="22"/>
      <c r="W3316" s="78"/>
      <c r="X3316" s="78"/>
      <c r="AF3316"/>
      <c r="AG3316"/>
      <c r="AH3316"/>
      <c r="AI3316"/>
      <c r="AJ3316"/>
      <c r="AK3316"/>
    </row>
    <row r="3317" spans="1:37" ht="13.05" customHeight="1" x14ac:dyDescent="0.25">
      <c r="A3317"/>
      <c r="C3317" s="191"/>
      <c r="D3317" s="191"/>
      <c r="F3317"/>
      <c r="G3317"/>
      <c r="H3317" s="36"/>
      <c r="I3317" s="125"/>
      <c r="S3317" s="4"/>
      <c r="T3317" s="124"/>
      <c r="U3317" s="22"/>
      <c r="V3317" s="22"/>
      <c r="W3317" s="78"/>
      <c r="X3317" s="78"/>
      <c r="AF3317"/>
      <c r="AG3317"/>
      <c r="AH3317"/>
      <c r="AI3317"/>
      <c r="AJ3317"/>
      <c r="AK3317"/>
    </row>
    <row r="3318" spans="1:37" ht="13.05" customHeight="1" x14ac:dyDescent="0.25">
      <c r="A3318"/>
      <c r="C3318" s="191"/>
      <c r="D3318" s="191"/>
      <c r="F3318"/>
      <c r="G3318"/>
      <c r="H3318" s="36"/>
      <c r="I3318" s="125"/>
      <c r="S3318" s="4"/>
      <c r="T3318" s="124"/>
      <c r="U3318" s="22"/>
      <c r="V3318" s="22"/>
      <c r="W3318" s="78"/>
      <c r="X3318" s="78"/>
      <c r="AF3318"/>
      <c r="AG3318"/>
      <c r="AH3318"/>
      <c r="AI3318"/>
      <c r="AJ3318"/>
      <c r="AK3318"/>
    </row>
    <row r="3319" spans="1:37" ht="13.05" customHeight="1" x14ac:dyDescent="0.25">
      <c r="A3319"/>
      <c r="C3319" s="191"/>
      <c r="D3319" s="191"/>
      <c r="F3319"/>
      <c r="G3319"/>
      <c r="H3319" s="36"/>
      <c r="I3319" s="125"/>
      <c r="S3319" s="4"/>
      <c r="T3319" s="124"/>
      <c r="U3319" s="22"/>
      <c r="V3319" s="22"/>
      <c r="W3319" s="78"/>
      <c r="X3319" s="78"/>
      <c r="AF3319"/>
      <c r="AG3319"/>
      <c r="AH3319"/>
      <c r="AI3319"/>
      <c r="AJ3319"/>
      <c r="AK3319"/>
    </row>
    <row r="3320" spans="1:37" ht="13.05" customHeight="1" x14ac:dyDescent="0.25">
      <c r="A3320"/>
      <c r="C3320" s="191"/>
      <c r="D3320" s="191"/>
      <c r="F3320"/>
      <c r="G3320"/>
      <c r="H3320" s="36"/>
      <c r="I3320" s="125"/>
      <c r="S3320" s="4"/>
      <c r="T3320" s="124"/>
      <c r="U3320" s="22"/>
      <c r="V3320" s="22"/>
      <c r="W3320" s="78"/>
      <c r="X3320" s="78"/>
      <c r="AF3320"/>
      <c r="AG3320"/>
      <c r="AH3320"/>
      <c r="AI3320"/>
      <c r="AJ3320"/>
      <c r="AK3320"/>
    </row>
    <row r="3321" spans="1:37" ht="13.05" customHeight="1" x14ac:dyDescent="0.25">
      <c r="A3321"/>
      <c r="C3321" s="191"/>
      <c r="D3321" s="191"/>
      <c r="F3321"/>
      <c r="G3321"/>
      <c r="H3321" s="36"/>
      <c r="I3321" s="125"/>
      <c r="S3321" s="4"/>
      <c r="T3321" s="124"/>
      <c r="U3321" s="22"/>
      <c r="V3321" s="22"/>
      <c r="W3321" s="78"/>
      <c r="X3321" s="78"/>
      <c r="AF3321"/>
      <c r="AG3321"/>
      <c r="AH3321"/>
      <c r="AI3321"/>
      <c r="AJ3321"/>
      <c r="AK3321"/>
    </row>
    <row r="3322" spans="1:37" ht="13.05" customHeight="1" x14ac:dyDescent="0.25">
      <c r="A3322"/>
      <c r="C3322" s="191"/>
      <c r="D3322" s="191"/>
      <c r="F3322"/>
      <c r="G3322"/>
      <c r="H3322" s="36"/>
      <c r="I3322" s="125"/>
      <c r="S3322" s="4"/>
      <c r="T3322" s="124"/>
      <c r="U3322" s="22"/>
      <c r="V3322" s="22"/>
      <c r="W3322" s="78"/>
      <c r="X3322" s="78"/>
      <c r="AF3322"/>
      <c r="AG3322"/>
      <c r="AH3322"/>
      <c r="AI3322"/>
      <c r="AJ3322"/>
      <c r="AK3322"/>
    </row>
    <row r="3323" spans="1:37" ht="13.05" customHeight="1" x14ac:dyDescent="0.25">
      <c r="A3323"/>
      <c r="C3323" s="191"/>
      <c r="D3323" s="191"/>
      <c r="F3323"/>
      <c r="G3323"/>
      <c r="H3323" s="36"/>
      <c r="I3323" s="125"/>
      <c r="S3323" s="4"/>
      <c r="T3323" s="124"/>
      <c r="U3323" s="22"/>
      <c r="V3323" s="22"/>
      <c r="W3323" s="78"/>
      <c r="X3323" s="78"/>
      <c r="AF3323"/>
      <c r="AG3323"/>
      <c r="AH3323"/>
      <c r="AI3323"/>
      <c r="AJ3323"/>
      <c r="AK3323"/>
    </row>
    <row r="3324" spans="1:37" ht="13.05" customHeight="1" x14ac:dyDescent="0.25">
      <c r="A3324"/>
      <c r="C3324" s="191"/>
      <c r="D3324" s="191"/>
      <c r="F3324"/>
      <c r="G3324"/>
      <c r="H3324" s="36"/>
      <c r="I3324" s="125"/>
      <c r="S3324" s="4"/>
      <c r="T3324" s="124"/>
      <c r="U3324" s="22"/>
      <c r="V3324" s="22"/>
      <c r="W3324" s="78"/>
      <c r="X3324" s="78"/>
      <c r="AF3324"/>
      <c r="AG3324"/>
      <c r="AH3324"/>
      <c r="AI3324"/>
      <c r="AJ3324"/>
      <c r="AK3324"/>
    </row>
    <row r="3325" spans="1:37" ht="13.05" customHeight="1" x14ac:dyDescent="0.25">
      <c r="A3325"/>
      <c r="C3325" s="191"/>
      <c r="D3325" s="191"/>
      <c r="F3325"/>
      <c r="G3325"/>
      <c r="H3325" s="36"/>
      <c r="I3325" s="125"/>
      <c r="S3325" s="4"/>
      <c r="T3325" s="124"/>
      <c r="U3325" s="22"/>
      <c r="V3325" s="22"/>
      <c r="W3325" s="78"/>
      <c r="X3325" s="78"/>
      <c r="AF3325"/>
      <c r="AG3325"/>
      <c r="AH3325"/>
      <c r="AI3325"/>
      <c r="AJ3325"/>
      <c r="AK3325"/>
    </row>
    <row r="3326" spans="1:37" ht="13.05" customHeight="1" x14ac:dyDescent="0.25">
      <c r="A3326"/>
      <c r="C3326" s="191"/>
      <c r="D3326" s="191"/>
      <c r="F3326"/>
      <c r="G3326"/>
      <c r="H3326" s="36"/>
      <c r="I3326" s="125"/>
      <c r="S3326" s="4"/>
      <c r="T3326" s="124"/>
      <c r="U3326" s="22"/>
      <c r="V3326" s="22"/>
      <c r="W3326" s="78"/>
      <c r="X3326" s="78"/>
      <c r="AF3326"/>
      <c r="AG3326"/>
      <c r="AH3326"/>
      <c r="AI3326"/>
      <c r="AJ3326"/>
      <c r="AK3326"/>
    </row>
    <row r="3327" spans="1:37" ht="13.05" customHeight="1" x14ac:dyDescent="0.25">
      <c r="A3327"/>
      <c r="C3327" s="191"/>
      <c r="D3327" s="191"/>
      <c r="F3327"/>
      <c r="G3327"/>
      <c r="H3327" s="36"/>
      <c r="I3327" s="125"/>
      <c r="S3327" s="4"/>
      <c r="T3327" s="124"/>
      <c r="U3327" s="22"/>
      <c r="V3327" s="22"/>
      <c r="W3327" s="78"/>
      <c r="X3327" s="78"/>
      <c r="AF3327"/>
      <c r="AG3327"/>
      <c r="AH3327"/>
      <c r="AI3327"/>
      <c r="AJ3327"/>
      <c r="AK3327"/>
    </row>
    <row r="3328" spans="1:37" ht="13.05" customHeight="1" x14ac:dyDescent="0.25">
      <c r="A3328"/>
      <c r="C3328" s="191"/>
      <c r="D3328" s="191"/>
      <c r="F3328"/>
      <c r="G3328"/>
      <c r="H3328" s="36"/>
      <c r="I3328" s="125"/>
      <c r="S3328" s="4"/>
      <c r="T3328" s="124"/>
      <c r="U3328" s="22"/>
      <c r="V3328" s="22"/>
      <c r="W3328" s="78"/>
      <c r="X3328" s="78"/>
      <c r="AF3328"/>
      <c r="AG3328"/>
      <c r="AH3328"/>
      <c r="AI3328"/>
      <c r="AJ3328"/>
      <c r="AK3328"/>
    </row>
    <row r="3329" spans="1:37" ht="13.05" customHeight="1" x14ac:dyDescent="0.25">
      <c r="A3329"/>
      <c r="C3329" s="191"/>
      <c r="D3329" s="191"/>
      <c r="F3329"/>
      <c r="G3329"/>
      <c r="H3329" s="36"/>
      <c r="I3329" s="125"/>
      <c r="S3329" s="4"/>
      <c r="T3329" s="124"/>
      <c r="U3329" s="22"/>
      <c r="V3329" s="22"/>
      <c r="W3329" s="78"/>
      <c r="X3329" s="78"/>
      <c r="AF3329"/>
      <c r="AG3329"/>
      <c r="AH3329"/>
      <c r="AI3329"/>
      <c r="AJ3329"/>
      <c r="AK3329"/>
    </row>
    <row r="3330" spans="1:37" ht="13.05" customHeight="1" x14ac:dyDescent="0.25">
      <c r="A3330"/>
      <c r="C3330" s="191"/>
      <c r="D3330" s="191"/>
      <c r="F3330"/>
      <c r="G3330"/>
      <c r="H3330" s="36"/>
      <c r="I3330" s="125"/>
      <c r="S3330" s="4"/>
      <c r="T3330" s="124"/>
      <c r="U3330" s="22"/>
      <c r="V3330" s="22"/>
      <c r="W3330" s="78"/>
      <c r="X3330" s="78"/>
      <c r="AF3330"/>
      <c r="AG3330"/>
      <c r="AH3330"/>
      <c r="AI3330"/>
      <c r="AJ3330"/>
      <c r="AK3330"/>
    </row>
    <row r="3331" spans="1:37" ht="13.05" customHeight="1" x14ac:dyDescent="0.25">
      <c r="A3331"/>
      <c r="C3331" s="191"/>
      <c r="D3331" s="191"/>
      <c r="F3331"/>
      <c r="G3331"/>
      <c r="H3331" s="36"/>
      <c r="I3331" s="125"/>
      <c r="S3331" s="4"/>
      <c r="T3331" s="124"/>
      <c r="U3331" s="22"/>
      <c r="V3331" s="22"/>
      <c r="W3331" s="78"/>
      <c r="X3331" s="78"/>
      <c r="AF3331"/>
      <c r="AG3331"/>
      <c r="AH3331"/>
      <c r="AI3331"/>
      <c r="AJ3331"/>
      <c r="AK3331"/>
    </row>
    <row r="3332" spans="1:37" ht="13.05" customHeight="1" x14ac:dyDescent="0.25">
      <c r="A3332"/>
      <c r="C3332" s="191"/>
      <c r="D3332" s="191"/>
      <c r="F3332"/>
      <c r="G3332"/>
      <c r="H3332" s="36"/>
      <c r="I3332" s="125"/>
      <c r="S3332" s="4"/>
      <c r="T3332" s="124"/>
      <c r="U3332" s="22"/>
      <c r="V3332" s="22"/>
      <c r="W3332" s="78"/>
      <c r="X3332" s="78"/>
      <c r="AF3332"/>
      <c r="AG3332"/>
      <c r="AH3332"/>
      <c r="AI3332"/>
      <c r="AJ3332"/>
      <c r="AK3332"/>
    </row>
    <row r="3333" spans="1:37" ht="13.05" customHeight="1" x14ac:dyDescent="0.25">
      <c r="A3333"/>
      <c r="C3333" s="191"/>
      <c r="D3333" s="191"/>
      <c r="F3333"/>
      <c r="G3333"/>
      <c r="H3333" s="36"/>
      <c r="I3333" s="125"/>
      <c r="S3333" s="4"/>
      <c r="T3333" s="124"/>
      <c r="U3333" s="22"/>
      <c r="V3333" s="22"/>
      <c r="W3333" s="78"/>
      <c r="X3333" s="78"/>
      <c r="AF3333"/>
      <c r="AG3333"/>
      <c r="AH3333"/>
      <c r="AI3333"/>
      <c r="AJ3333"/>
      <c r="AK3333"/>
    </row>
    <row r="3334" spans="1:37" ht="13.05" customHeight="1" x14ac:dyDescent="0.25">
      <c r="A3334"/>
      <c r="C3334" s="191"/>
      <c r="D3334" s="191"/>
      <c r="F3334"/>
      <c r="G3334"/>
      <c r="H3334" s="36"/>
      <c r="I3334" s="125"/>
      <c r="S3334" s="4"/>
      <c r="T3334" s="124"/>
      <c r="U3334" s="22"/>
      <c r="V3334" s="22"/>
      <c r="W3334" s="78"/>
      <c r="X3334" s="78"/>
      <c r="AF3334"/>
      <c r="AG3334"/>
      <c r="AH3334"/>
      <c r="AI3334"/>
      <c r="AJ3334"/>
      <c r="AK3334"/>
    </row>
    <row r="3335" spans="1:37" ht="13.05" customHeight="1" x14ac:dyDescent="0.25">
      <c r="A3335"/>
      <c r="C3335" s="191"/>
      <c r="D3335" s="191"/>
      <c r="F3335"/>
      <c r="G3335"/>
      <c r="H3335" s="36"/>
      <c r="I3335" s="125"/>
      <c r="S3335" s="4"/>
      <c r="T3335" s="124"/>
      <c r="U3335" s="22"/>
      <c r="V3335" s="22"/>
      <c r="W3335" s="78"/>
      <c r="X3335" s="78"/>
      <c r="AF3335"/>
      <c r="AG3335"/>
      <c r="AH3335"/>
      <c r="AI3335"/>
      <c r="AJ3335"/>
      <c r="AK3335"/>
    </row>
    <row r="3336" spans="1:37" ht="13.05" customHeight="1" x14ac:dyDescent="0.25">
      <c r="A3336"/>
      <c r="C3336" s="191"/>
      <c r="D3336" s="191"/>
      <c r="F3336"/>
      <c r="G3336"/>
      <c r="H3336" s="36"/>
      <c r="I3336" s="125"/>
      <c r="S3336" s="4"/>
      <c r="T3336" s="124"/>
      <c r="U3336" s="22"/>
      <c r="V3336" s="22"/>
      <c r="W3336" s="78"/>
      <c r="X3336" s="78"/>
      <c r="AF3336"/>
      <c r="AG3336"/>
      <c r="AH3336"/>
      <c r="AI3336"/>
      <c r="AJ3336"/>
      <c r="AK3336"/>
    </row>
    <row r="3337" spans="1:37" ht="13.05" customHeight="1" x14ac:dyDescent="0.25">
      <c r="A3337"/>
      <c r="C3337" s="191"/>
      <c r="D3337" s="191"/>
      <c r="F3337"/>
      <c r="G3337"/>
      <c r="H3337" s="36"/>
      <c r="I3337" s="125"/>
      <c r="S3337" s="4"/>
      <c r="T3337" s="124"/>
      <c r="U3337" s="22"/>
      <c r="V3337" s="22"/>
      <c r="W3337" s="78"/>
      <c r="X3337" s="78"/>
      <c r="AF3337"/>
      <c r="AG3337"/>
      <c r="AH3337"/>
      <c r="AI3337"/>
      <c r="AJ3337"/>
      <c r="AK3337"/>
    </row>
    <row r="3338" spans="1:37" ht="13.05" customHeight="1" x14ac:dyDescent="0.25">
      <c r="A3338"/>
      <c r="C3338" s="191"/>
      <c r="D3338" s="191"/>
      <c r="F3338"/>
      <c r="G3338"/>
      <c r="H3338" s="36"/>
      <c r="I3338" s="125"/>
      <c r="S3338" s="4"/>
      <c r="T3338" s="124"/>
      <c r="U3338" s="22"/>
      <c r="V3338" s="22"/>
      <c r="W3338" s="78"/>
      <c r="X3338" s="78"/>
      <c r="AF3338"/>
      <c r="AG3338"/>
      <c r="AH3338"/>
      <c r="AI3338"/>
      <c r="AJ3338"/>
      <c r="AK3338"/>
    </row>
    <row r="3339" spans="1:37" ht="13.05" customHeight="1" x14ac:dyDescent="0.25">
      <c r="A3339"/>
      <c r="C3339" s="191"/>
      <c r="D3339" s="191"/>
      <c r="F3339"/>
      <c r="G3339"/>
      <c r="H3339" s="36"/>
      <c r="I3339" s="125"/>
      <c r="S3339" s="4"/>
      <c r="T3339" s="124"/>
      <c r="U3339" s="22"/>
      <c r="V3339" s="22"/>
      <c r="W3339" s="78"/>
      <c r="X3339" s="78"/>
      <c r="AF3339"/>
      <c r="AG3339"/>
      <c r="AH3339"/>
      <c r="AI3339"/>
      <c r="AJ3339"/>
      <c r="AK3339"/>
    </row>
    <row r="3340" spans="1:37" ht="13.05" customHeight="1" x14ac:dyDescent="0.25">
      <c r="A3340"/>
      <c r="C3340" s="191"/>
      <c r="D3340" s="191"/>
      <c r="F3340"/>
      <c r="G3340"/>
      <c r="H3340" s="36"/>
      <c r="I3340" s="125"/>
      <c r="S3340" s="4"/>
      <c r="T3340" s="124"/>
      <c r="U3340" s="22"/>
      <c r="V3340" s="22"/>
      <c r="W3340" s="78"/>
      <c r="X3340" s="78"/>
      <c r="AF3340"/>
      <c r="AG3340"/>
      <c r="AH3340"/>
      <c r="AI3340"/>
      <c r="AJ3340"/>
      <c r="AK3340"/>
    </row>
    <row r="3341" spans="1:37" ht="13.05" customHeight="1" x14ac:dyDescent="0.25">
      <c r="A3341"/>
      <c r="C3341" s="191"/>
      <c r="D3341" s="191"/>
      <c r="F3341"/>
      <c r="G3341"/>
      <c r="H3341" s="36"/>
      <c r="I3341" s="125"/>
      <c r="S3341" s="4"/>
      <c r="T3341" s="124"/>
      <c r="U3341" s="22"/>
      <c r="V3341" s="22"/>
      <c r="W3341" s="78"/>
      <c r="X3341" s="78"/>
      <c r="AF3341"/>
      <c r="AG3341"/>
      <c r="AH3341"/>
      <c r="AI3341"/>
      <c r="AJ3341"/>
      <c r="AK3341"/>
    </row>
    <row r="3342" spans="1:37" ht="13.05" customHeight="1" x14ac:dyDescent="0.25">
      <c r="A3342"/>
      <c r="C3342" s="191"/>
      <c r="D3342" s="191"/>
      <c r="F3342"/>
      <c r="G3342"/>
      <c r="H3342" s="36"/>
      <c r="I3342" s="125"/>
      <c r="S3342" s="4"/>
      <c r="T3342" s="124"/>
      <c r="U3342" s="22"/>
      <c r="V3342" s="22"/>
      <c r="W3342" s="78"/>
      <c r="X3342" s="78"/>
      <c r="AF3342"/>
      <c r="AG3342"/>
      <c r="AH3342"/>
      <c r="AI3342"/>
      <c r="AJ3342"/>
      <c r="AK3342"/>
    </row>
    <row r="3343" spans="1:37" ht="13.05" customHeight="1" x14ac:dyDescent="0.25">
      <c r="A3343"/>
      <c r="C3343" s="191"/>
      <c r="D3343" s="191"/>
      <c r="F3343"/>
      <c r="G3343"/>
      <c r="H3343" s="36"/>
      <c r="I3343" s="125"/>
      <c r="S3343" s="4"/>
      <c r="T3343" s="124"/>
      <c r="U3343" s="22"/>
      <c r="V3343" s="22"/>
      <c r="W3343" s="78"/>
      <c r="X3343" s="78"/>
      <c r="AF3343"/>
      <c r="AG3343"/>
      <c r="AH3343"/>
      <c r="AI3343"/>
      <c r="AJ3343"/>
      <c r="AK3343"/>
    </row>
    <row r="3344" spans="1:37" ht="13.05" customHeight="1" x14ac:dyDescent="0.25">
      <c r="A3344"/>
      <c r="C3344" s="191"/>
      <c r="D3344" s="191"/>
      <c r="F3344"/>
      <c r="G3344"/>
      <c r="H3344" s="36"/>
      <c r="I3344" s="125"/>
      <c r="S3344" s="4"/>
      <c r="T3344" s="124"/>
      <c r="U3344" s="22"/>
      <c r="V3344" s="22"/>
      <c r="W3344" s="78"/>
      <c r="X3344" s="78"/>
      <c r="AF3344"/>
      <c r="AG3344"/>
      <c r="AH3344"/>
      <c r="AI3344"/>
      <c r="AJ3344"/>
      <c r="AK3344"/>
    </row>
    <row r="3345" spans="1:37" ht="13.05" customHeight="1" x14ac:dyDescent="0.25">
      <c r="A3345"/>
      <c r="C3345" s="191"/>
      <c r="D3345" s="191"/>
      <c r="F3345"/>
      <c r="G3345"/>
      <c r="H3345" s="36"/>
      <c r="I3345" s="125"/>
      <c r="S3345" s="4"/>
      <c r="T3345" s="124"/>
      <c r="U3345" s="22"/>
      <c r="V3345" s="22"/>
      <c r="W3345" s="78"/>
      <c r="X3345" s="78"/>
      <c r="AF3345"/>
      <c r="AG3345"/>
      <c r="AH3345"/>
      <c r="AI3345"/>
      <c r="AJ3345"/>
      <c r="AK3345"/>
    </row>
    <row r="3346" spans="1:37" ht="13.05" customHeight="1" x14ac:dyDescent="0.25">
      <c r="A3346"/>
      <c r="C3346" s="191"/>
      <c r="D3346" s="191"/>
      <c r="F3346"/>
      <c r="G3346"/>
      <c r="H3346" s="36"/>
      <c r="I3346" s="125"/>
      <c r="S3346" s="4"/>
      <c r="T3346" s="124"/>
      <c r="U3346" s="22"/>
      <c r="V3346" s="22"/>
      <c r="W3346" s="78"/>
      <c r="X3346" s="78"/>
      <c r="AF3346"/>
      <c r="AG3346"/>
      <c r="AH3346"/>
      <c r="AI3346"/>
      <c r="AJ3346"/>
      <c r="AK3346"/>
    </row>
    <row r="3347" spans="1:37" ht="13.05" customHeight="1" x14ac:dyDescent="0.25">
      <c r="A3347"/>
      <c r="C3347" s="191"/>
      <c r="D3347" s="191"/>
      <c r="F3347"/>
      <c r="G3347"/>
      <c r="H3347" s="36"/>
      <c r="I3347" s="125"/>
      <c r="S3347" s="4"/>
      <c r="T3347" s="124"/>
      <c r="U3347" s="22"/>
      <c r="V3347" s="22"/>
      <c r="W3347" s="78"/>
      <c r="X3347" s="78"/>
      <c r="AF3347"/>
      <c r="AG3347"/>
      <c r="AH3347"/>
      <c r="AI3347"/>
      <c r="AJ3347"/>
      <c r="AK3347"/>
    </row>
    <row r="3348" spans="1:37" ht="13.05" customHeight="1" x14ac:dyDescent="0.25">
      <c r="A3348"/>
      <c r="C3348" s="191"/>
      <c r="D3348" s="191"/>
      <c r="F3348"/>
      <c r="G3348"/>
      <c r="H3348" s="36"/>
      <c r="I3348" s="125"/>
      <c r="S3348" s="4"/>
      <c r="T3348" s="124"/>
      <c r="U3348" s="22"/>
      <c r="V3348" s="22"/>
      <c r="W3348" s="78"/>
      <c r="X3348" s="78"/>
      <c r="AF3348"/>
      <c r="AG3348"/>
      <c r="AH3348"/>
      <c r="AI3348"/>
      <c r="AJ3348"/>
      <c r="AK3348"/>
    </row>
    <row r="3349" spans="1:37" ht="13.05" customHeight="1" x14ac:dyDescent="0.25">
      <c r="A3349"/>
      <c r="C3349" s="191"/>
      <c r="D3349" s="191"/>
      <c r="F3349"/>
      <c r="G3349"/>
      <c r="H3349" s="36"/>
      <c r="I3349" s="125"/>
      <c r="S3349" s="4"/>
      <c r="T3349" s="124"/>
      <c r="U3349" s="22"/>
      <c r="V3349" s="22"/>
      <c r="W3349" s="78"/>
      <c r="X3349" s="78"/>
      <c r="AF3349"/>
      <c r="AG3349"/>
      <c r="AH3349"/>
      <c r="AI3349"/>
      <c r="AJ3349"/>
      <c r="AK3349"/>
    </row>
    <row r="3350" spans="1:37" ht="13.05" customHeight="1" x14ac:dyDescent="0.25">
      <c r="A3350"/>
      <c r="C3350" s="191"/>
      <c r="D3350" s="191"/>
      <c r="F3350"/>
      <c r="G3350"/>
      <c r="H3350" s="36"/>
      <c r="I3350" s="125"/>
      <c r="S3350" s="4"/>
      <c r="T3350" s="124"/>
      <c r="U3350" s="22"/>
      <c r="V3350" s="22"/>
      <c r="W3350" s="78"/>
      <c r="X3350" s="78"/>
      <c r="AF3350"/>
      <c r="AG3350"/>
      <c r="AH3350"/>
      <c r="AI3350"/>
      <c r="AJ3350"/>
      <c r="AK3350"/>
    </row>
    <row r="3351" spans="1:37" ht="13.05" customHeight="1" x14ac:dyDescent="0.25">
      <c r="A3351"/>
      <c r="C3351" s="191"/>
      <c r="D3351" s="191"/>
      <c r="F3351"/>
      <c r="G3351"/>
      <c r="H3351" s="36"/>
      <c r="I3351" s="125"/>
      <c r="S3351" s="4"/>
      <c r="T3351" s="124"/>
      <c r="U3351" s="22"/>
      <c r="V3351" s="22"/>
      <c r="W3351" s="78"/>
      <c r="X3351" s="78"/>
      <c r="AF3351"/>
      <c r="AG3351"/>
      <c r="AH3351"/>
      <c r="AI3351"/>
      <c r="AJ3351"/>
      <c r="AK3351"/>
    </row>
    <row r="3352" spans="1:37" ht="13.05" customHeight="1" x14ac:dyDescent="0.25">
      <c r="A3352"/>
      <c r="C3352" s="191"/>
      <c r="D3352" s="191"/>
      <c r="F3352"/>
      <c r="G3352"/>
      <c r="H3352" s="36"/>
      <c r="I3352" s="125"/>
      <c r="S3352" s="4"/>
      <c r="T3352" s="124"/>
      <c r="U3352" s="22"/>
      <c r="V3352" s="22"/>
      <c r="W3352" s="78"/>
      <c r="X3352" s="78"/>
      <c r="AF3352"/>
      <c r="AG3352"/>
      <c r="AH3352"/>
      <c r="AI3352"/>
      <c r="AJ3352"/>
      <c r="AK3352"/>
    </row>
    <row r="3353" spans="1:37" ht="13.05" customHeight="1" x14ac:dyDescent="0.25">
      <c r="A3353"/>
      <c r="C3353" s="191"/>
      <c r="D3353" s="191"/>
      <c r="F3353"/>
      <c r="G3353"/>
      <c r="H3353" s="36"/>
      <c r="I3353" s="125"/>
      <c r="S3353" s="4"/>
      <c r="T3353" s="124"/>
      <c r="U3353" s="22"/>
      <c r="V3353" s="22"/>
      <c r="W3353" s="78"/>
      <c r="X3353" s="78"/>
      <c r="AF3353"/>
      <c r="AG3353"/>
      <c r="AH3353"/>
      <c r="AI3353"/>
      <c r="AJ3353"/>
      <c r="AK3353"/>
    </row>
    <row r="3354" spans="1:37" ht="13.05" customHeight="1" x14ac:dyDescent="0.25">
      <c r="A3354"/>
      <c r="C3354" s="191"/>
      <c r="D3354" s="191"/>
      <c r="F3354"/>
      <c r="G3354"/>
      <c r="H3354" s="36"/>
      <c r="I3354" s="125"/>
      <c r="S3354" s="4"/>
      <c r="T3354" s="124"/>
      <c r="U3354" s="22"/>
      <c r="V3354" s="22"/>
      <c r="W3354" s="78"/>
      <c r="X3354" s="78"/>
      <c r="AF3354"/>
      <c r="AG3354"/>
      <c r="AH3354"/>
      <c r="AI3354"/>
      <c r="AJ3354"/>
      <c r="AK3354"/>
    </row>
    <row r="3355" spans="1:37" ht="13.05" customHeight="1" x14ac:dyDescent="0.25">
      <c r="A3355"/>
      <c r="C3355" s="191"/>
      <c r="D3355" s="191"/>
      <c r="F3355"/>
      <c r="G3355"/>
      <c r="H3355" s="36"/>
      <c r="I3355" s="125"/>
      <c r="S3355" s="4"/>
      <c r="T3355" s="124"/>
      <c r="U3355" s="22"/>
      <c r="V3355" s="22"/>
      <c r="W3355" s="78"/>
      <c r="X3355" s="78"/>
      <c r="AF3355"/>
      <c r="AG3355"/>
      <c r="AH3355"/>
      <c r="AI3355"/>
      <c r="AJ3355"/>
      <c r="AK3355"/>
    </row>
    <row r="3356" spans="1:37" ht="13.05" customHeight="1" x14ac:dyDescent="0.25">
      <c r="A3356"/>
      <c r="C3356" s="191"/>
      <c r="D3356" s="191"/>
      <c r="F3356"/>
      <c r="G3356"/>
      <c r="H3356" s="36"/>
      <c r="I3356" s="125"/>
      <c r="S3356" s="4"/>
      <c r="T3356" s="124"/>
      <c r="U3356" s="22"/>
      <c r="V3356" s="22"/>
      <c r="W3356" s="78"/>
      <c r="X3356" s="78"/>
      <c r="AF3356"/>
      <c r="AG3356"/>
      <c r="AH3356"/>
      <c r="AI3356"/>
      <c r="AJ3356"/>
      <c r="AK3356"/>
    </row>
    <row r="3357" spans="1:37" ht="13.05" customHeight="1" x14ac:dyDescent="0.25">
      <c r="A3357"/>
      <c r="C3357" s="191"/>
      <c r="D3357" s="191"/>
      <c r="F3357"/>
      <c r="G3357"/>
      <c r="H3357" s="36"/>
      <c r="I3357" s="125"/>
      <c r="S3357" s="4"/>
      <c r="T3357" s="124"/>
      <c r="U3357" s="22"/>
      <c r="V3357" s="22"/>
      <c r="W3357" s="78"/>
      <c r="X3357" s="78"/>
      <c r="AF3357"/>
      <c r="AG3357"/>
      <c r="AH3357"/>
      <c r="AI3357"/>
      <c r="AJ3357"/>
      <c r="AK3357"/>
    </row>
    <row r="3358" spans="1:37" ht="13.05" customHeight="1" x14ac:dyDescent="0.25">
      <c r="A3358"/>
      <c r="C3358" s="191"/>
      <c r="D3358" s="191"/>
      <c r="F3358"/>
      <c r="G3358"/>
      <c r="H3358" s="36"/>
      <c r="I3358" s="125"/>
      <c r="S3358" s="4"/>
      <c r="T3358" s="124"/>
      <c r="U3358" s="22"/>
      <c r="V3358" s="22"/>
      <c r="W3358" s="78"/>
      <c r="X3358" s="78"/>
      <c r="AF3358"/>
      <c r="AG3358"/>
      <c r="AH3358"/>
      <c r="AI3358"/>
      <c r="AJ3358"/>
      <c r="AK3358"/>
    </row>
    <row r="3359" spans="1:37" ht="13.05" customHeight="1" x14ac:dyDescent="0.25">
      <c r="A3359"/>
      <c r="C3359" s="191"/>
      <c r="D3359" s="191"/>
      <c r="F3359"/>
      <c r="G3359"/>
      <c r="H3359" s="36"/>
      <c r="I3359" s="125"/>
      <c r="S3359" s="4"/>
      <c r="T3359" s="124"/>
      <c r="U3359" s="22"/>
      <c r="V3359" s="22"/>
      <c r="W3359" s="78"/>
      <c r="X3359" s="78"/>
      <c r="AF3359"/>
      <c r="AG3359"/>
      <c r="AH3359"/>
      <c r="AI3359"/>
      <c r="AJ3359"/>
      <c r="AK3359"/>
    </row>
    <row r="3360" spans="1:37" ht="13.05" customHeight="1" x14ac:dyDescent="0.25">
      <c r="A3360"/>
      <c r="C3360" s="191"/>
      <c r="D3360" s="191"/>
      <c r="F3360"/>
      <c r="G3360"/>
      <c r="H3360" s="36"/>
      <c r="I3360" s="125"/>
      <c r="S3360" s="4"/>
      <c r="T3360" s="124"/>
      <c r="U3360" s="22"/>
      <c r="V3360" s="22"/>
      <c r="W3360" s="78"/>
      <c r="X3360" s="78"/>
      <c r="AF3360"/>
      <c r="AG3360"/>
      <c r="AH3360"/>
      <c r="AI3360"/>
      <c r="AJ3360"/>
      <c r="AK3360"/>
    </row>
    <row r="3361" spans="1:37" ht="13.05" customHeight="1" x14ac:dyDescent="0.25">
      <c r="A3361"/>
      <c r="C3361" s="191"/>
      <c r="D3361" s="191"/>
      <c r="F3361"/>
      <c r="G3361"/>
      <c r="H3361" s="36"/>
      <c r="I3361" s="125"/>
      <c r="S3361" s="4"/>
      <c r="T3361" s="124"/>
      <c r="U3361" s="22"/>
      <c r="V3361" s="22"/>
      <c r="W3361" s="78"/>
      <c r="X3361" s="78"/>
      <c r="AF3361"/>
      <c r="AG3361"/>
      <c r="AH3361"/>
      <c r="AI3361"/>
      <c r="AJ3361"/>
      <c r="AK3361"/>
    </row>
    <row r="3362" spans="1:37" ht="13.05" customHeight="1" x14ac:dyDescent="0.25">
      <c r="A3362"/>
      <c r="C3362" s="191"/>
      <c r="D3362" s="191"/>
      <c r="F3362"/>
      <c r="G3362"/>
      <c r="H3362" s="36"/>
      <c r="I3362" s="125"/>
      <c r="S3362" s="4"/>
      <c r="T3362" s="124"/>
      <c r="U3362" s="22"/>
      <c r="V3362" s="22"/>
      <c r="W3362" s="78"/>
      <c r="X3362" s="78"/>
      <c r="AF3362"/>
      <c r="AG3362"/>
      <c r="AH3362"/>
      <c r="AI3362"/>
      <c r="AJ3362"/>
      <c r="AK3362"/>
    </row>
    <row r="3363" spans="1:37" ht="13.05" customHeight="1" x14ac:dyDescent="0.25">
      <c r="A3363"/>
      <c r="C3363" s="191"/>
      <c r="D3363" s="191"/>
      <c r="F3363"/>
      <c r="G3363"/>
      <c r="H3363" s="36"/>
      <c r="I3363" s="125"/>
      <c r="S3363" s="4"/>
      <c r="T3363" s="124"/>
      <c r="U3363" s="22"/>
      <c r="V3363" s="22"/>
      <c r="W3363" s="78"/>
      <c r="X3363" s="78"/>
      <c r="AF3363"/>
      <c r="AG3363"/>
      <c r="AH3363"/>
      <c r="AI3363"/>
      <c r="AJ3363"/>
      <c r="AK3363"/>
    </row>
    <row r="3364" spans="1:37" ht="13.05" customHeight="1" x14ac:dyDescent="0.25">
      <c r="A3364"/>
      <c r="C3364" s="191"/>
      <c r="D3364" s="191"/>
      <c r="F3364"/>
      <c r="G3364"/>
      <c r="H3364" s="36"/>
      <c r="I3364" s="125"/>
      <c r="S3364" s="4"/>
      <c r="T3364" s="124"/>
      <c r="U3364" s="22"/>
      <c r="V3364" s="22"/>
      <c r="W3364" s="78"/>
      <c r="X3364" s="78"/>
      <c r="AF3364"/>
      <c r="AG3364"/>
      <c r="AH3364"/>
      <c r="AI3364"/>
      <c r="AJ3364"/>
      <c r="AK3364"/>
    </row>
    <row r="3365" spans="1:37" ht="13.05" customHeight="1" x14ac:dyDescent="0.25">
      <c r="A3365"/>
      <c r="C3365" s="191"/>
      <c r="D3365" s="191"/>
      <c r="F3365"/>
      <c r="G3365"/>
      <c r="H3365" s="36"/>
      <c r="I3365" s="125"/>
      <c r="S3365" s="4"/>
      <c r="T3365" s="124"/>
      <c r="U3365" s="22"/>
      <c r="V3365" s="22"/>
      <c r="W3365" s="78"/>
      <c r="X3365" s="78"/>
      <c r="AF3365"/>
      <c r="AG3365"/>
      <c r="AH3365"/>
      <c r="AI3365"/>
      <c r="AJ3365"/>
      <c r="AK3365"/>
    </row>
    <row r="3366" spans="1:37" ht="13.05" customHeight="1" x14ac:dyDescent="0.25">
      <c r="A3366"/>
      <c r="C3366" s="191"/>
      <c r="D3366" s="191"/>
      <c r="F3366"/>
      <c r="G3366"/>
      <c r="H3366" s="36"/>
      <c r="I3366" s="125"/>
      <c r="S3366" s="4"/>
      <c r="T3366" s="124"/>
      <c r="U3366" s="22"/>
      <c r="V3366" s="22"/>
      <c r="W3366" s="78"/>
      <c r="X3366" s="78"/>
      <c r="AF3366"/>
      <c r="AG3366"/>
      <c r="AH3366"/>
      <c r="AI3366"/>
      <c r="AJ3366"/>
      <c r="AK3366"/>
    </row>
    <row r="3367" spans="1:37" ht="13.05" customHeight="1" x14ac:dyDescent="0.25">
      <c r="A3367"/>
      <c r="C3367" s="191"/>
      <c r="D3367" s="191"/>
      <c r="F3367"/>
      <c r="G3367"/>
      <c r="H3367" s="36"/>
      <c r="I3367" s="125"/>
      <c r="S3367" s="4"/>
      <c r="T3367" s="124"/>
      <c r="U3367" s="22"/>
      <c r="V3367" s="22"/>
      <c r="W3367" s="78"/>
      <c r="X3367" s="78"/>
      <c r="AF3367"/>
      <c r="AG3367"/>
      <c r="AH3367"/>
      <c r="AI3367"/>
      <c r="AJ3367"/>
      <c r="AK3367"/>
    </row>
    <row r="3368" spans="1:37" ht="13.05" customHeight="1" x14ac:dyDescent="0.25">
      <c r="A3368"/>
      <c r="C3368" s="191"/>
      <c r="D3368" s="191"/>
      <c r="F3368"/>
      <c r="G3368"/>
      <c r="H3368" s="36"/>
      <c r="I3368" s="125"/>
      <c r="S3368" s="4"/>
      <c r="T3368" s="124"/>
      <c r="U3368" s="22"/>
      <c r="V3368" s="22"/>
      <c r="W3368" s="78"/>
      <c r="X3368" s="78"/>
      <c r="AF3368"/>
      <c r="AG3368"/>
      <c r="AH3368"/>
      <c r="AI3368"/>
      <c r="AJ3368"/>
      <c r="AK3368"/>
    </row>
    <row r="3369" spans="1:37" ht="13.05" customHeight="1" x14ac:dyDescent="0.25">
      <c r="A3369"/>
      <c r="C3369" s="191"/>
      <c r="D3369" s="191"/>
      <c r="F3369"/>
      <c r="G3369"/>
      <c r="H3369" s="36"/>
      <c r="I3369" s="125"/>
      <c r="S3369" s="4"/>
      <c r="T3369" s="124"/>
      <c r="U3369" s="22"/>
      <c r="V3369" s="22"/>
      <c r="W3369" s="78"/>
      <c r="X3369" s="78"/>
      <c r="AF3369"/>
      <c r="AG3369"/>
      <c r="AH3369"/>
      <c r="AI3369"/>
      <c r="AJ3369"/>
      <c r="AK3369"/>
    </row>
    <row r="3370" spans="1:37" ht="13.05" customHeight="1" x14ac:dyDescent="0.25">
      <c r="A3370"/>
      <c r="C3370" s="191"/>
      <c r="D3370" s="191"/>
      <c r="F3370"/>
      <c r="G3370"/>
      <c r="H3370" s="36"/>
      <c r="I3370" s="125"/>
      <c r="S3370" s="4"/>
      <c r="T3370" s="124"/>
      <c r="U3370" s="22"/>
      <c r="V3370" s="22"/>
      <c r="W3370" s="78"/>
      <c r="X3370" s="78"/>
      <c r="AF3370"/>
      <c r="AG3370"/>
      <c r="AH3370"/>
      <c r="AI3370"/>
      <c r="AJ3370"/>
      <c r="AK3370"/>
    </row>
    <row r="3371" spans="1:37" ht="13.05" customHeight="1" x14ac:dyDescent="0.25">
      <c r="A3371"/>
      <c r="C3371" s="191"/>
      <c r="D3371" s="191"/>
      <c r="F3371"/>
      <c r="G3371"/>
      <c r="H3371" s="36"/>
      <c r="I3371" s="125"/>
      <c r="S3371" s="4"/>
      <c r="T3371" s="124"/>
      <c r="U3371" s="22"/>
      <c r="V3371" s="22"/>
      <c r="W3371" s="78"/>
      <c r="X3371" s="78"/>
      <c r="AF3371"/>
      <c r="AG3371"/>
      <c r="AH3371"/>
      <c r="AI3371"/>
      <c r="AJ3371"/>
      <c r="AK3371"/>
    </row>
    <row r="3372" spans="1:37" ht="13.05" customHeight="1" x14ac:dyDescent="0.25">
      <c r="A3372"/>
      <c r="C3372" s="191"/>
      <c r="D3372" s="191"/>
      <c r="F3372"/>
      <c r="G3372"/>
      <c r="H3372" s="36"/>
      <c r="I3372" s="125"/>
      <c r="S3372" s="4"/>
      <c r="T3372" s="124"/>
      <c r="U3372" s="22"/>
      <c r="V3372" s="22"/>
      <c r="W3372" s="78"/>
      <c r="X3372" s="78"/>
      <c r="AF3372"/>
      <c r="AG3372"/>
      <c r="AH3372"/>
      <c r="AI3372"/>
      <c r="AJ3372"/>
      <c r="AK3372"/>
    </row>
    <row r="3373" spans="1:37" ht="13.05" customHeight="1" x14ac:dyDescent="0.25">
      <c r="A3373"/>
      <c r="C3373" s="191"/>
      <c r="D3373" s="191"/>
      <c r="F3373"/>
      <c r="G3373"/>
      <c r="H3373" s="36"/>
      <c r="I3373" s="125"/>
      <c r="S3373" s="4"/>
      <c r="T3373" s="124"/>
      <c r="U3373" s="22"/>
      <c r="V3373" s="22"/>
      <c r="W3373" s="78"/>
      <c r="X3373" s="78"/>
      <c r="AF3373"/>
      <c r="AG3373"/>
      <c r="AH3373"/>
      <c r="AI3373"/>
      <c r="AJ3373"/>
      <c r="AK3373"/>
    </row>
    <row r="3374" spans="1:37" ht="13.05" customHeight="1" x14ac:dyDescent="0.25">
      <c r="A3374"/>
      <c r="C3374" s="191"/>
      <c r="D3374" s="191"/>
      <c r="F3374"/>
      <c r="G3374"/>
      <c r="H3374" s="36"/>
      <c r="I3374" s="125"/>
      <c r="S3374" s="4"/>
      <c r="T3374" s="124"/>
      <c r="U3374" s="22"/>
      <c r="V3374" s="22"/>
      <c r="W3374" s="78"/>
      <c r="X3374" s="78"/>
      <c r="AF3374"/>
      <c r="AG3374"/>
      <c r="AH3374"/>
      <c r="AI3374"/>
      <c r="AJ3374"/>
      <c r="AK3374"/>
    </row>
    <row r="3375" spans="1:37" ht="13.05" customHeight="1" x14ac:dyDescent="0.25">
      <c r="A3375"/>
      <c r="C3375" s="191"/>
      <c r="D3375" s="191"/>
      <c r="F3375"/>
      <c r="G3375"/>
      <c r="H3375" s="36"/>
      <c r="I3375" s="125"/>
      <c r="S3375" s="4"/>
      <c r="T3375" s="124"/>
      <c r="U3375" s="22"/>
      <c r="V3375" s="22"/>
      <c r="W3375" s="78"/>
      <c r="X3375" s="78"/>
      <c r="AF3375"/>
      <c r="AG3375"/>
      <c r="AH3375"/>
      <c r="AI3375"/>
      <c r="AJ3375"/>
      <c r="AK3375"/>
    </row>
    <row r="3376" spans="1:37" ht="13.05" customHeight="1" x14ac:dyDescent="0.25">
      <c r="A3376"/>
      <c r="C3376" s="191"/>
      <c r="D3376" s="191"/>
      <c r="F3376"/>
      <c r="G3376"/>
      <c r="H3376" s="36"/>
      <c r="I3376" s="125"/>
      <c r="S3376" s="4"/>
      <c r="T3376" s="124"/>
      <c r="U3376" s="22"/>
      <c r="V3376" s="22"/>
      <c r="W3376" s="78"/>
      <c r="X3376" s="78"/>
      <c r="AF3376"/>
      <c r="AG3376"/>
      <c r="AH3376"/>
      <c r="AI3376"/>
      <c r="AJ3376"/>
      <c r="AK3376"/>
    </row>
    <row r="3377" spans="1:37" ht="13.05" customHeight="1" x14ac:dyDescent="0.25">
      <c r="A3377"/>
      <c r="C3377" s="191"/>
      <c r="D3377" s="191"/>
      <c r="F3377"/>
      <c r="G3377"/>
      <c r="H3377" s="36"/>
      <c r="I3377" s="125"/>
      <c r="S3377" s="4"/>
      <c r="T3377" s="124"/>
      <c r="U3377" s="22"/>
      <c r="V3377" s="22"/>
      <c r="W3377" s="78"/>
      <c r="X3377" s="78"/>
      <c r="AF3377"/>
      <c r="AG3377"/>
      <c r="AH3377"/>
      <c r="AI3377"/>
      <c r="AJ3377"/>
      <c r="AK3377"/>
    </row>
    <row r="3378" spans="1:37" ht="13.05" customHeight="1" x14ac:dyDescent="0.25">
      <c r="A3378"/>
      <c r="C3378" s="191"/>
      <c r="D3378" s="191"/>
      <c r="F3378"/>
      <c r="G3378"/>
      <c r="H3378" s="36"/>
      <c r="I3378" s="125"/>
      <c r="S3378" s="4"/>
      <c r="T3378" s="124"/>
      <c r="U3378" s="22"/>
      <c r="V3378" s="22"/>
      <c r="W3378" s="78"/>
      <c r="X3378" s="78"/>
      <c r="AF3378"/>
      <c r="AG3378"/>
      <c r="AH3378"/>
      <c r="AI3378"/>
      <c r="AJ3378"/>
      <c r="AK3378"/>
    </row>
    <row r="3379" spans="1:37" ht="13.05" customHeight="1" x14ac:dyDescent="0.25">
      <c r="A3379"/>
      <c r="C3379" s="191"/>
      <c r="D3379" s="191"/>
      <c r="F3379"/>
      <c r="G3379"/>
      <c r="H3379" s="36"/>
      <c r="I3379" s="125"/>
      <c r="S3379" s="4"/>
      <c r="T3379" s="124"/>
      <c r="U3379" s="22"/>
      <c r="V3379" s="22"/>
      <c r="W3379" s="78"/>
      <c r="X3379" s="78"/>
      <c r="AF3379"/>
      <c r="AG3379"/>
      <c r="AH3379"/>
      <c r="AI3379"/>
      <c r="AJ3379"/>
      <c r="AK3379"/>
    </row>
    <row r="3380" spans="1:37" ht="13.05" customHeight="1" x14ac:dyDescent="0.25">
      <c r="A3380"/>
      <c r="C3380" s="191"/>
      <c r="D3380" s="191"/>
      <c r="F3380"/>
      <c r="G3380"/>
      <c r="H3380" s="36"/>
      <c r="I3380" s="125"/>
      <c r="S3380" s="4"/>
      <c r="T3380" s="124"/>
      <c r="U3380" s="22"/>
      <c r="V3380" s="22"/>
      <c r="W3380" s="78"/>
      <c r="X3380" s="78"/>
      <c r="AF3380"/>
      <c r="AG3380"/>
      <c r="AH3380"/>
      <c r="AI3380"/>
      <c r="AJ3380"/>
      <c r="AK3380"/>
    </row>
    <row r="3381" spans="1:37" ht="13.05" customHeight="1" x14ac:dyDescent="0.25">
      <c r="A3381"/>
      <c r="C3381" s="191"/>
      <c r="D3381" s="191"/>
      <c r="F3381"/>
      <c r="G3381"/>
      <c r="H3381" s="36"/>
      <c r="I3381" s="125"/>
      <c r="S3381" s="4"/>
      <c r="T3381" s="124"/>
      <c r="U3381" s="22"/>
      <c r="V3381" s="22"/>
      <c r="W3381" s="78"/>
      <c r="X3381" s="78"/>
      <c r="AF3381"/>
      <c r="AG3381"/>
      <c r="AH3381"/>
      <c r="AI3381"/>
      <c r="AJ3381"/>
      <c r="AK3381"/>
    </row>
    <row r="3382" spans="1:37" ht="13.05" customHeight="1" x14ac:dyDescent="0.25">
      <c r="A3382"/>
      <c r="C3382" s="191"/>
      <c r="D3382" s="191"/>
      <c r="F3382"/>
      <c r="G3382"/>
      <c r="H3382" s="36"/>
      <c r="I3382" s="125"/>
      <c r="S3382" s="4"/>
      <c r="T3382" s="124"/>
      <c r="U3382" s="22"/>
      <c r="V3382" s="22"/>
      <c r="W3382" s="78"/>
      <c r="X3382" s="78"/>
      <c r="AF3382"/>
      <c r="AG3382"/>
      <c r="AH3382"/>
      <c r="AI3382"/>
      <c r="AJ3382"/>
      <c r="AK3382"/>
    </row>
    <row r="3383" spans="1:37" ht="13.05" customHeight="1" x14ac:dyDescent="0.25">
      <c r="A3383"/>
      <c r="C3383" s="191"/>
      <c r="D3383" s="191"/>
      <c r="F3383"/>
      <c r="G3383"/>
      <c r="H3383" s="36"/>
      <c r="I3383" s="125"/>
      <c r="S3383" s="4"/>
      <c r="T3383" s="124"/>
      <c r="U3383" s="22"/>
      <c r="V3383" s="22"/>
      <c r="W3383" s="78"/>
      <c r="X3383" s="78"/>
      <c r="AF3383"/>
      <c r="AG3383"/>
      <c r="AH3383"/>
      <c r="AI3383"/>
      <c r="AJ3383"/>
      <c r="AK3383"/>
    </row>
    <row r="3384" spans="1:37" ht="13.05" customHeight="1" x14ac:dyDescent="0.25">
      <c r="A3384"/>
      <c r="C3384" s="191"/>
      <c r="D3384" s="191"/>
      <c r="F3384"/>
      <c r="G3384"/>
      <c r="H3384" s="36"/>
      <c r="I3384" s="125"/>
      <c r="S3384" s="4"/>
      <c r="T3384" s="124"/>
      <c r="U3384" s="22"/>
      <c r="V3384" s="22"/>
      <c r="W3384" s="78"/>
      <c r="X3384" s="78"/>
      <c r="AF3384"/>
      <c r="AG3384"/>
      <c r="AH3384"/>
      <c r="AI3384"/>
      <c r="AJ3384"/>
      <c r="AK3384"/>
    </row>
    <row r="3385" spans="1:37" ht="13.05" customHeight="1" x14ac:dyDescent="0.25">
      <c r="A3385"/>
      <c r="C3385" s="191"/>
      <c r="D3385" s="191"/>
      <c r="F3385"/>
      <c r="G3385"/>
      <c r="H3385" s="36"/>
      <c r="I3385" s="125"/>
      <c r="S3385" s="4"/>
      <c r="T3385" s="124"/>
      <c r="U3385" s="22"/>
      <c r="V3385" s="22"/>
      <c r="W3385" s="78"/>
      <c r="X3385" s="78"/>
      <c r="AF3385"/>
      <c r="AG3385"/>
      <c r="AH3385"/>
      <c r="AI3385"/>
      <c r="AJ3385"/>
      <c r="AK3385"/>
    </row>
    <row r="3386" spans="1:37" ht="13.05" customHeight="1" x14ac:dyDescent="0.25">
      <c r="A3386"/>
      <c r="C3386" s="191"/>
      <c r="D3386" s="191"/>
      <c r="F3386"/>
      <c r="G3386"/>
      <c r="H3386" s="36"/>
      <c r="I3386" s="125"/>
      <c r="S3386" s="4"/>
      <c r="T3386" s="124"/>
      <c r="U3386" s="22"/>
      <c r="V3386" s="22"/>
      <c r="W3386" s="78"/>
      <c r="X3386" s="78"/>
      <c r="AF3386"/>
      <c r="AG3386"/>
      <c r="AH3386"/>
      <c r="AI3386"/>
      <c r="AJ3386"/>
      <c r="AK3386"/>
    </row>
    <row r="3387" spans="1:37" ht="13.05" customHeight="1" x14ac:dyDescent="0.25">
      <c r="A3387"/>
      <c r="C3387" s="191"/>
      <c r="D3387" s="191"/>
      <c r="F3387"/>
      <c r="G3387"/>
      <c r="H3387" s="36"/>
      <c r="I3387" s="125"/>
      <c r="S3387" s="4"/>
      <c r="T3387" s="124"/>
      <c r="U3387" s="22"/>
      <c r="V3387" s="22"/>
      <c r="W3387" s="78"/>
      <c r="X3387" s="78"/>
      <c r="AF3387"/>
      <c r="AG3387"/>
      <c r="AH3387"/>
      <c r="AI3387"/>
      <c r="AJ3387"/>
      <c r="AK3387"/>
    </row>
    <row r="3388" spans="1:37" ht="13.05" customHeight="1" x14ac:dyDescent="0.25">
      <c r="A3388"/>
      <c r="C3388" s="191"/>
      <c r="D3388" s="191"/>
      <c r="F3388"/>
      <c r="G3388"/>
      <c r="H3388" s="36"/>
      <c r="I3388" s="125"/>
      <c r="S3388" s="4"/>
      <c r="T3388" s="124"/>
      <c r="U3388" s="22"/>
      <c r="V3388" s="22"/>
      <c r="W3388" s="78"/>
      <c r="X3388" s="78"/>
      <c r="AF3388"/>
      <c r="AG3388"/>
      <c r="AH3388"/>
      <c r="AI3388"/>
      <c r="AJ3388"/>
      <c r="AK3388"/>
    </row>
    <row r="3389" spans="1:37" ht="13.05" customHeight="1" x14ac:dyDescent="0.25">
      <c r="A3389"/>
      <c r="C3389" s="191"/>
      <c r="D3389" s="191"/>
      <c r="F3389"/>
      <c r="G3389"/>
      <c r="H3389" s="36"/>
      <c r="I3389" s="125"/>
      <c r="S3389" s="4"/>
      <c r="T3389" s="124"/>
      <c r="U3389" s="22"/>
      <c r="V3389" s="22"/>
      <c r="W3389" s="78"/>
      <c r="X3389" s="78"/>
      <c r="AF3389"/>
      <c r="AG3389"/>
      <c r="AH3389"/>
      <c r="AI3389"/>
      <c r="AJ3389"/>
      <c r="AK3389"/>
    </row>
    <row r="3390" spans="1:37" ht="13.05" customHeight="1" x14ac:dyDescent="0.25">
      <c r="A3390"/>
      <c r="C3390" s="191"/>
      <c r="D3390" s="191"/>
      <c r="F3390"/>
      <c r="G3390"/>
      <c r="H3390" s="36"/>
      <c r="I3390" s="125"/>
      <c r="S3390" s="4"/>
      <c r="T3390" s="124"/>
      <c r="U3390" s="22"/>
      <c r="V3390" s="22"/>
      <c r="W3390" s="78"/>
      <c r="X3390" s="78"/>
      <c r="AF3390"/>
      <c r="AG3390"/>
      <c r="AH3390"/>
      <c r="AI3390"/>
      <c r="AJ3390"/>
      <c r="AK3390"/>
    </row>
    <row r="3391" spans="1:37" ht="13.05" customHeight="1" x14ac:dyDescent="0.25">
      <c r="A3391"/>
      <c r="C3391" s="191"/>
      <c r="D3391" s="191"/>
      <c r="F3391"/>
      <c r="G3391"/>
      <c r="H3391" s="36"/>
      <c r="I3391" s="125"/>
      <c r="S3391" s="4"/>
      <c r="T3391" s="124"/>
      <c r="U3391" s="22"/>
      <c r="V3391" s="22"/>
      <c r="W3391" s="78"/>
      <c r="X3391" s="78"/>
      <c r="AF3391"/>
      <c r="AG3391"/>
      <c r="AH3391"/>
      <c r="AI3391"/>
      <c r="AJ3391"/>
      <c r="AK3391"/>
    </row>
    <row r="3392" spans="1:37" ht="13.05" customHeight="1" x14ac:dyDescent="0.25">
      <c r="A3392"/>
      <c r="C3392" s="191"/>
      <c r="D3392" s="191"/>
      <c r="F3392"/>
      <c r="G3392"/>
      <c r="H3392" s="36"/>
      <c r="I3392" s="125"/>
      <c r="S3392" s="4"/>
      <c r="T3392" s="124"/>
      <c r="U3392" s="22"/>
      <c r="V3392" s="22"/>
      <c r="W3392" s="78"/>
      <c r="X3392" s="78"/>
      <c r="AF3392"/>
      <c r="AG3392"/>
      <c r="AH3392"/>
      <c r="AI3392"/>
      <c r="AJ3392"/>
      <c r="AK3392"/>
    </row>
    <row r="3393" spans="1:37" ht="13.05" customHeight="1" x14ac:dyDescent="0.25">
      <c r="A3393"/>
      <c r="C3393" s="191"/>
      <c r="D3393" s="191"/>
      <c r="F3393"/>
      <c r="G3393"/>
      <c r="H3393" s="36"/>
      <c r="I3393" s="125"/>
      <c r="S3393" s="4"/>
      <c r="T3393" s="124"/>
      <c r="U3393" s="22"/>
      <c r="V3393" s="22"/>
      <c r="W3393" s="78"/>
      <c r="X3393" s="78"/>
      <c r="AF3393"/>
      <c r="AG3393"/>
      <c r="AH3393"/>
      <c r="AI3393"/>
      <c r="AJ3393"/>
      <c r="AK3393"/>
    </row>
    <row r="3394" spans="1:37" ht="13.05" customHeight="1" x14ac:dyDescent="0.25">
      <c r="A3394"/>
      <c r="C3394" s="191"/>
      <c r="D3394" s="191"/>
      <c r="F3394"/>
      <c r="G3394"/>
      <c r="H3394" s="36"/>
      <c r="I3394" s="125"/>
      <c r="S3394" s="4"/>
      <c r="T3394" s="124"/>
      <c r="U3394" s="22"/>
      <c r="V3394" s="22"/>
      <c r="W3394" s="78"/>
      <c r="X3394" s="78"/>
      <c r="AF3394"/>
      <c r="AG3394"/>
      <c r="AH3394"/>
      <c r="AI3394"/>
      <c r="AJ3394"/>
      <c r="AK3394"/>
    </row>
    <row r="3395" spans="1:37" ht="13.05" customHeight="1" x14ac:dyDescent="0.25">
      <c r="A3395"/>
      <c r="C3395" s="191"/>
      <c r="D3395" s="191"/>
      <c r="F3395"/>
      <c r="G3395"/>
      <c r="H3395" s="36"/>
      <c r="I3395" s="125"/>
      <c r="S3395" s="4"/>
      <c r="T3395" s="124"/>
      <c r="U3395" s="22"/>
      <c r="V3395" s="22"/>
      <c r="W3395" s="78"/>
      <c r="X3395" s="78"/>
      <c r="AF3395"/>
      <c r="AG3395"/>
      <c r="AH3395"/>
      <c r="AI3395"/>
      <c r="AJ3395"/>
      <c r="AK3395"/>
    </row>
    <row r="3396" spans="1:37" ht="13.05" customHeight="1" x14ac:dyDescent="0.25">
      <c r="A3396"/>
      <c r="C3396" s="191"/>
      <c r="D3396" s="191"/>
      <c r="F3396"/>
      <c r="G3396"/>
      <c r="H3396" s="36"/>
      <c r="I3396" s="125"/>
      <c r="S3396" s="4"/>
      <c r="T3396" s="124"/>
      <c r="U3396" s="22"/>
      <c r="V3396" s="22"/>
      <c r="W3396" s="78"/>
      <c r="X3396" s="78"/>
      <c r="AF3396"/>
      <c r="AG3396"/>
      <c r="AH3396"/>
      <c r="AI3396"/>
      <c r="AJ3396"/>
      <c r="AK3396"/>
    </row>
    <row r="3397" spans="1:37" ht="13.05" customHeight="1" x14ac:dyDescent="0.25">
      <c r="A3397"/>
      <c r="C3397" s="191"/>
      <c r="D3397" s="191"/>
      <c r="F3397"/>
      <c r="G3397"/>
      <c r="H3397" s="36"/>
      <c r="I3397" s="125"/>
      <c r="S3397" s="4"/>
      <c r="T3397" s="124"/>
      <c r="U3397" s="22"/>
      <c r="V3397" s="22"/>
      <c r="W3397" s="78"/>
      <c r="X3397" s="78"/>
      <c r="AF3397"/>
      <c r="AG3397"/>
      <c r="AH3397"/>
      <c r="AI3397"/>
      <c r="AJ3397"/>
      <c r="AK3397"/>
    </row>
    <row r="3398" spans="1:37" ht="13.05" customHeight="1" x14ac:dyDescent="0.25">
      <c r="A3398"/>
      <c r="C3398" s="191"/>
      <c r="D3398" s="191"/>
      <c r="F3398"/>
      <c r="G3398"/>
      <c r="H3398" s="36"/>
      <c r="I3398" s="125"/>
      <c r="S3398" s="4"/>
      <c r="T3398" s="124"/>
      <c r="U3398" s="22"/>
      <c r="V3398" s="22"/>
      <c r="W3398" s="78"/>
      <c r="X3398" s="78"/>
      <c r="AF3398"/>
      <c r="AG3398"/>
      <c r="AH3398"/>
      <c r="AI3398"/>
      <c r="AJ3398"/>
      <c r="AK3398"/>
    </row>
    <row r="3399" spans="1:37" ht="13.05" customHeight="1" x14ac:dyDescent="0.25">
      <c r="A3399"/>
      <c r="C3399" s="191"/>
      <c r="D3399" s="191"/>
      <c r="F3399"/>
      <c r="G3399"/>
      <c r="H3399" s="36"/>
      <c r="I3399" s="125"/>
      <c r="S3399" s="4"/>
      <c r="T3399" s="124"/>
      <c r="U3399" s="22"/>
      <c r="V3399" s="22"/>
      <c r="W3399" s="78"/>
      <c r="X3399" s="78"/>
      <c r="AF3399"/>
      <c r="AG3399"/>
      <c r="AH3399"/>
      <c r="AI3399"/>
      <c r="AJ3399"/>
      <c r="AK3399"/>
    </row>
    <row r="3400" spans="1:37" ht="13.05" customHeight="1" x14ac:dyDescent="0.25">
      <c r="A3400"/>
      <c r="C3400" s="191"/>
      <c r="D3400" s="191"/>
      <c r="F3400"/>
      <c r="G3400"/>
      <c r="H3400" s="36"/>
      <c r="I3400" s="125"/>
      <c r="S3400" s="4"/>
      <c r="T3400" s="124"/>
      <c r="U3400" s="22"/>
      <c r="V3400" s="22"/>
      <c r="W3400" s="78"/>
      <c r="X3400" s="78"/>
      <c r="AF3400"/>
      <c r="AG3400"/>
      <c r="AH3400"/>
      <c r="AI3400"/>
      <c r="AJ3400"/>
      <c r="AK3400"/>
    </row>
    <row r="3401" spans="1:37" ht="13.05" customHeight="1" x14ac:dyDescent="0.25">
      <c r="A3401"/>
      <c r="C3401" s="191"/>
      <c r="D3401" s="191"/>
      <c r="F3401"/>
      <c r="G3401"/>
      <c r="H3401" s="36"/>
      <c r="I3401" s="125"/>
      <c r="S3401" s="4"/>
      <c r="T3401" s="124"/>
      <c r="U3401" s="22"/>
      <c r="V3401" s="22"/>
      <c r="W3401" s="78"/>
      <c r="X3401" s="78"/>
      <c r="AF3401"/>
      <c r="AG3401"/>
      <c r="AH3401"/>
      <c r="AI3401"/>
      <c r="AJ3401"/>
      <c r="AK3401"/>
    </row>
    <row r="3402" spans="1:37" ht="13.05" customHeight="1" x14ac:dyDescent="0.25">
      <c r="A3402"/>
      <c r="C3402" s="191"/>
      <c r="D3402" s="191"/>
      <c r="F3402"/>
      <c r="G3402"/>
      <c r="H3402" s="36"/>
      <c r="I3402" s="125"/>
      <c r="S3402" s="4"/>
      <c r="T3402" s="124"/>
      <c r="U3402" s="22"/>
      <c r="V3402" s="22"/>
      <c r="W3402" s="78"/>
      <c r="X3402" s="78"/>
      <c r="AF3402"/>
      <c r="AG3402"/>
      <c r="AH3402"/>
      <c r="AI3402"/>
      <c r="AJ3402"/>
      <c r="AK3402"/>
    </row>
    <row r="3403" spans="1:37" ht="13.05" customHeight="1" x14ac:dyDescent="0.25">
      <c r="A3403"/>
      <c r="C3403" s="191"/>
      <c r="D3403" s="191"/>
      <c r="F3403"/>
      <c r="G3403"/>
      <c r="H3403" s="36"/>
      <c r="I3403" s="125"/>
      <c r="S3403" s="4"/>
      <c r="T3403" s="124"/>
      <c r="U3403" s="22"/>
      <c r="V3403" s="22"/>
      <c r="W3403" s="78"/>
      <c r="X3403" s="78"/>
      <c r="AF3403"/>
      <c r="AG3403"/>
      <c r="AH3403"/>
      <c r="AI3403"/>
      <c r="AJ3403"/>
      <c r="AK3403"/>
    </row>
    <row r="3404" spans="1:37" ht="13.05" customHeight="1" x14ac:dyDescent="0.25">
      <c r="A3404"/>
      <c r="C3404" s="191"/>
      <c r="D3404" s="191"/>
      <c r="F3404"/>
      <c r="G3404"/>
      <c r="H3404" s="36"/>
      <c r="I3404" s="125"/>
      <c r="S3404" s="4"/>
      <c r="T3404" s="124"/>
      <c r="U3404" s="22"/>
      <c r="V3404" s="22"/>
      <c r="W3404" s="78"/>
      <c r="X3404" s="78"/>
      <c r="AF3404"/>
      <c r="AG3404"/>
      <c r="AH3404"/>
      <c r="AI3404"/>
      <c r="AJ3404"/>
      <c r="AK3404"/>
    </row>
    <row r="3405" spans="1:37" ht="13.05" customHeight="1" x14ac:dyDescent="0.25">
      <c r="A3405"/>
      <c r="C3405" s="191"/>
      <c r="D3405" s="191"/>
      <c r="F3405"/>
      <c r="G3405"/>
      <c r="H3405" s="36"/>
      <c r="I3405" s="125"/>
      <c r="S3405" s="4"/>
      <c r="T3405" s="124"/>
      <c r="U3405" s="22"/>
      <c r="V3405" s="22"/>
      <c r="W3405" s="78"/>
      <c r="X3405" s="78"/>
      <c r="AF3405"/>
      <c r="AG3405"/>
      <c r="AH3405"/>
      <c r="AI3405"/>
      <c r="AJ3405"/>
      <c r="AK3405"/>
    </row>
    <row r="3406" spans="1:37" ht="13.05" customHeight="1" x14ac:dyDescent="0.25">
      <c r="A3406"/>
      <c r="C3406" s="191"/>
      <c r="D3406" s="191"/>
      <c r="F3406"/>
      <c r="G3406"/>
      <c r="H3406" s="36"/>
      <c r="I3406" s="125"/>
      <c r="S3406" s="4"/>
      <c r="T3406" s="124"/>
      <c r="U3406" s="22"/>
      <c r="V3406" s="22"/>
      <c r="W3406" s="78"/>
      <c r="X3406" s="78"/>
      <c r="AF3406"/>
      <c r="AG3406"/>
      <c r="AH3406"/>
      <c r="AI3406"/>
      <c r="AJ3406"/>
      <c r="AK3406"/>
    </row>
    <row r="3407" spans="1:37" ht="13.05" customHeight="1" x14ac:dyDescent="0.25">
      <c r="A3407"/>
      <c r="C3407" s="191"/>
      <c r="D3407" s="191"/>
      <c r="F3407"/>
      <c r="G3407"/>
      <c r="H3407" s="36"/>
      <c r="I3407" s="125"/>
      <c r="S3407" s="4"/>
      <c r="T3407" s="124"/>
      <c r="U3407" s="22"/>
      <c r="V3407" s="22"/>
      <c r="W3407" s="78"/>
      <c r="X3407" s="78"/>
      <c r="AF3407"/>
      <c r="AG3407"/>
      <c r="AH3407"/>
      <c r="AI3407"/>
      <c r="AJ3407"/>
      <c r="AK3407"/>
    </row>
    <row r="3408" spans="1:37" ht="13.05" customHeight="1" x14ac:dyDescent="0.25">
      <c r="A3408"/>
      <c r="C3408" s="191"/>
      <c r="D3408" s="191"/>
      <c r="F3408"/>
      <c r="G3408"/>
      <c r="H3408" s="36"/>
      <c r="I3408" s="125"/>
      <c r="S3408" s="4"/>
      <c r="T3408" s="124"/>
      <c r="U3408" s="22"/>
      <c r="V3408" s="22"/>
      <c r="W3408" s="78"/>
      <c r="X3408" s="78"/>
      <c r="AF3408"/>
      <c r="AG3408"/>
      <c r="AH3408"/>
      <c r="AI3408"/>
      <c r="AJ3408"/>
      <c r="AK3408"/>
    </row>
    <row r="3409" spans="1:37" ht="13.05" customHeight="1" x14ac:dyDescent="0.25">
      <c r="A3409"/>
      <c r="C3409" s="191"/>
      <c r="D3409" s="191"/>
      <c r="F3409"/>
      <c r="G3409"/>
      <c r="H3409" s="36"/>
      <c r="I3409" s="125"/>
      <c r="S3409" s="4"/>
      <c r="T3409" s="124"/>
      <c r="U3409" s="22"/>
      <c r="V3409" s="22"/>
      <c r="W3409" s="78"/>
      <c r="X3409" s="78"/>
      <c r="AF3409"/>
      <c r="AG3409"/>
      <c r="AH3409"/>
      <c r="AI3409"/>
      <c r="AJ3409"/>
      <c r="AK3409"/>
    </row>
    <row r="3410" spans="1:37" ht="13.05" customHeight="1" x14ac:dyDescent="0.25">
      <c r="A3410"/>
      <c r="C3410" s="191"/>
      <c r="D3410" s="191"/>
      <c r="F3410"/>
      <c r="G3410"/>
      <c r="H3410" s="36"/>
      <c r="I3410" s="125"/>
      <c r="S3410" s="4"/>
      <c r="T3410" s="124"/>
      <c r="U3410" s="22"/>
      <c r="V3410" s="22"/>
      <c r="W3410" s="78"/>
      <c r="X3410" s="78"/>
      <c r="AF3410"/>
      <c r="AG3410"/>
      <c r="AH3410"/>
      <c r="AI3410"/>
      <c r="AJ3410"/>
      <c r="AK3410"/>
    </row>
    <row r="3411" spans="1:37" ht="13.05" customHeight="1" x14ac:dyDescent="0.25">
      <c r="A3411"/>
      <c r="C3411" s="191"/>
      <c r="D3411" s="191"/>
      <c r="F3411"/>
      <c r="G3411"/>
      <c r="H3411" s="36"/>
      <c r="I3411" s="125"/>
      <c r="S3411" s="4"/>
      <c r="T3411" s="124"/>
      <c r="U3411" s="22"/>
      <c r="V3411" s="22"/>
      <c r="W3411" s="78"/>
      <c r="X3411" s="78"/>
      <c r="AF3411"/>
      <c r="AG3411"/>
      <c r="AH3411"/>
      <c r="AI3411"/>
      <c r="AJ3411"/>
      <c r="AK3411"/>
    </row>
    <row r="3412" spans="1:37" ht="13.05" customHeight="1" x14ac:dyDescent="0.25">
      <c r="A3412"/>
      <c r="C3412" s="191"/>
      <c r="D3412" s="191"/>
      <c r="F3412"/>
      <c r="G3412"/>
      <c r="H3412" s="36"/>
      <c r="I3412" s="125"/>
      <c r="S3412" s="4"/>
      <c r="T3412" s="124"/>
      <c r="U3412" s="22"/>
      <c r="V3412" s="22"/>
      <c r="W3412" s="78"/>
      <c r="X3412" s="78"/>
      <c r="AF3412"/>
      <c r="AG3412"/>
      <c r="AH3412"/>
      <c r="AI3412"/>
      <c r="AJ3412"/>
      <c r="AK3412"/>
    </row>
    <row r="3413" spans="1:37" ht="13.05" customHeight="1" x14ac:dyDescent="0.25">
      <c r="A3413"/>
      <c r="C3413" s="191"/>
      <c r="D3413" s="191"/>
      <c r="F3413"/>
      <c r="G3413"/>
      <c r="H3413" s="36"/>
      <c r="I3413" s="125"/>
      <c r="S3413" s="4"/>
      <c r="T3413" s="124"/>
      <c r="U3413" s="22"/>
      <c r="V3413" s="22"/>
      <c r="W3413" s="78"/>
      <c r="X3413" s="78"/>
      <c r="AF3413"/>
      <c r="AG3413"/>
      <c r="AH3413"/>
      <c r="AI3413"/>
      <c r="AJ3413"/>
      <c r="AK3413"/>
    </row>
    <row r="3414" spans="1:37" ht="13.05" customHeight="1" x14ac:dyDescent="0.25">
      <c r="A3414"/>
      <c r="C3414" s="191"/>
      <c r="D3414" s="191"/>
      <c r="F3414"/>
      <c r="G3414"/>
      <c r="H3414" s="36"/>
      <c r="I3414" s="125"/>
      <c r="S3414" s="4"/>
      <c r="T3414" s="124"/>
      <c r="U3414" s="22"/>
      <c r="V3414" s="22"/>
      <c r="W3414" s="78"/>
      <c r="X3414" s="78"/>
      <c r="AF3414"/>
      <c r="AG3414"/>
      <c r="AH3414"/>
      <c r="AI3414"/>
      <c r="AJ3414"/>
      <c r="AK3414"/>
    </row>
    <row r="3415" spans="1:37" ht="13.05" customHeight="1" x14ac:dyDescent="0.25">
      <c r="A3415"/>
      <c r="C3415" s="191"/>
      <c r="D3415" s="191"/>
      <c r="F3415"/>
      <c r="G3415"/>
      <c r="H3415" s="36"/>
      <c r="I3415" s="125"/>
      <c r="S3415" s="4"/>
      <c r="T3415" s="124"/>
      <c r="U3415" s="22"/>
      <c r="V3415" s="22"/>
      <c r="W3415" s="78"/>
      <c r="X3415" s="78"/>
      <c r="AF3415"/>
      <c r="AG3415"/>
      <c r="AH3415"/>
      <c r="AI3415"/>
      <c r="AJ3415"/>
      <c r="AK3415"/>
    </row>
    <row r="3416" spans="1:37" ht="13.05" customHeight="1" x14ac:dyDescent="0.25">
      <c r="A3416"/>
      <c r="C3416" s="191"/>
      <c r="D3416" s="191"/>
      <c r="F3416"/>
      <c r="G3416"/>
      <c r="H3416" s="36"/>
      <c r="I3416" s="125"/>
      <c r="S3416" s="4"/>
      <c r="T3416" s="124"/>
      <c r="U3416" s="22"/>
      <c r="V3416" s="22"/>
      <c r="W3416" s="78"/>
      <c r="X3416" s="78"/>
      <c r="AF3416"/>
      <c r="AG3416"/>
      <c r="AH3416"/>
      <c r="AI3416"/>
      <c r="AJ3416"/>
      <c r="AK3416"/>
    </row>
    <row r="3417" spans="1:37" ht="13.05" customHeight="1" x14ac:dyDescent="0.25">
      <c r="A3417"/>
      <c r="C3417" s="191"/>
      <c r="D3417" s="191"/>
      <c r="F3417"/>
      <c r="G3417"/>
      <c r="H3417" s="36"/>
      <c r="I3417" s="125"/>
      <c r="S3417" s="4"/>
      <c r="T3417" s="124"/>
      <c r="U3417" s="22"/>
      <c r="V3417" s="22"/>
      <c r="W3417" s="78"/>
      <c r="X3417" s="78"/>
      <c r="AF3417"/>
      <c r="AG3417"/>
      <c r="AH3417"/>
      <c r="AI3417"/>
      <c r="AJ3417"/>
      <c r="AK3417"/>
    </row>
    <row r="3418" spans="1:37" ht="13.05" customHeight="1" x14ac:dyDescent="0.25">
      <c r="A3418"/>
      <c r="C3418" s="191"/>
      <c r="D3418" s="191"/>
      <c r="F3418"/>
      <c r="G3418"/>
      <c r="H3418" s="36"/>
      <c r="I3418" s="125"/>
      <c r="S3418" s="4"/>
      <c r="T3418" s="124"/>
      <c r="U3418" s="22"/>
      <c r="V3418" s="22"/>
      <c r="W3418" s="78"/>
      <c r="X3418" s="78"/>
      <c r="AF3418"/>
      <c r="AG3418"/>
      <c r="AH3418"/>
      <c r="AI3418"/>
      <c r="AJ3418"/>
      <c r="AK3418"/>
    </row>
    <row r="3419" spans="1:37" ht="13.05" customHeight="1" x14ac:dyDescent="0.25">
      <c r="A3419"/>
      <c r="C3419" s="191"/>
      <c r="D3419" s="191"/>
      <c r="F3419"/>
      <c r="G3419"/>
      <c r="H3419" s="36"/>
      <c r="I3419" s="125"/>
      <c r="S3419" s="4"/>
      <c r="T3419" s="124"/>
      <c r="U3419" s="22"/>
      <c r="V3419" s="22"/>
      <c r="W3419" s="78"/>
      <c r="X3419" s="78"/>
      <c r="AF3419"/>
      <c r="AG3419"/>
      <c r="AH3419"/>
      <c r="AI3419"/>
      <c r="AJ3419"/>
      <c r="AK3419"/>
    </row>
    <row r="3420" spans="1:37" ht="13.05" customHeight="1" x14ac:dyDescent="0.25">
      <c r="A3420"/>
      <c r="C3420" s="191"/>
      <c r="D3420" s="191"/>
      <c r="F3420"/>
      <c r="G3420"/>
      <c r="H3420" s="36"/>
      <c r="I3420" s="125"/>
      <c r="S3420" s="4"/>
      <c r="T3420" s="124"/>
      <c r="U3420" s="22"/>
      <c r="V3420" s="22"/>
      <c r="W3420" s="78"/>
      <c r="X3420" s="78"/>
      <c r="AF3420"/>
      <c r="AG3420"/>
      <c r="AH3420"/>
      <c r="AI3420"/>
      <c r="AJ3420"/>
      <c r="AK3420"/>
    </row>
    <row r="3421" spans="1:37" ht="13.05" customHeight="1" x14ac:dyDescent="0.25">
      <c r="A3421"/>
      <c r="C3421" s="191"/>
      <c r="D3421" s="191"/>
      <c r="F3421"/>
      <c r="G3421"/>
      <c r="H3421" s="36"/>
      <c r="I3421" s="125"/>
      <c r="S3421" s="4"/>
      <c r="T3421" s="124"/>
      <c r="U3421" s="22"/>
      <c r="V3421" s="22"/>
      <c r="W3421" s="78"/>
      <c r="X3421" s="78"/>
      <c r="AF3421"/>
      <c r="AG3421"/>
      <c r="AH3421"/>
      <c r="AI3421"/>
      <c r="AJ3421"/>
      <c r="AK3421"/>
    </row>
    <row r="3422" spans="1:37" ht="13.05" customHeight="1" x14ac:dyDescent="0.25">
      <c r="A3422"/>
      <c r="C3422" s="191"/>
      <c r="D3422" s="191"/>
      <c r="F3422"/>
      <c r="G3422"/>
      <c r="H3422" s="36"/>
      <c r="I3422" s="125"/>
      <c r="S3422" s="4"/>
      <c r="T3422" s="124"/>
      <c r="U3422" s="22"/>
      <c r="V3422" s="22"/>
      <c r="W3422" s="78"/>
      <c r="X3422" s="78"/>
      <c r="AF3422"/>
      <c r="AG3422"/>
      <c r="AH3422"/>
      <c r="AI3422"/>
      <c r="AJ3422"/>
      <c r="AK3422"/>
    </row>
    <row r="3423" spans="1:37" ht="13.05" customHeight="1" x14ac:dyDescent="0.25">
      <c r="A3423"/>
      <c r="C3423" s="191"/>
      <c r="D3423" s="191"/>
      <c r="F3423"/>
      <c r="G3423"/>
      <c r="H3423" s="36"/>
      <c r="I3423" s="125"/>
      <c r="S3423" s="4"/>
      <c r="T3423" s="124"/>
      <c r="U3423" s="22"/>
      <c r="V3423" s="22"/>
      <c r="W3423" s="78"/>
      <c r="X3423" s="78"/>
      <c r="AF3423"/>
      <c r="AG3423"/>
      <c r="AH3423"/>
      <c r="AI3423"/>
      <c r="AJ3423"/>
      <c r="AK3423"/>
    </row>
    <row r="3424" spans="1:37" ht="13.05" customHeight="1" x14ac:dyDescent="0.25">
      <c r="A3424"/>
      <c r="C3424" s="191"/>
      <c r="D3424" s="191"/>
      <c r="F3424"/>
      <c r="G3424"/>
      <c r="H3424" s="36"/>
      <c r="I3424" s="125"/>
      <c r="S3424" s="4"/>
      <c r="T3424" s="124"/>
      <c r="U3424" s="22"/>
      <c r="V3424" s="22"/>
      <c r="W3424" s="78"/>
      <c r="X3424" s="78"/>
      <c r="AF3424"/>
      <c r="AG3424"/>
      <c r="AH3424"/>
      <c r="AI3424"/>
      <c r="AJ3424"/>
      <c r="AK3424"/>
    </row>
    <row r="3425" spans="1:37" ht="13.05" customHeight="1" x14ac:dyDescent="0.25">
      <c r="A3425"/>
      <c r="C3425" s="191"/>
      <c r="D3425" s="191"/>
      <c r="F3425"/>
      <c r="G3425"/>
      <c r="H3425" s="36"/>
      <c r="I3425" s="125"/>
      <c r="S3425" s="4"/>
      <c r="T3425" s="124"/>
      <c r="U3425" s="22"/>
      <c r="V3425" s="22"/>
      <c r="W3425" s="78"/>
      <c r="X3425" s="78"/>
      <c r="AF3425"/>
      <c r="AG3425"/>
      <c r="AH3425"/>
      <c r="AI3425"/>
      <c r="AJ3425"/>
      <c r="AK3425"/>
    </row>
    <row r="3426" spans="1:37" ht="13.05" customHeight="1" x14ac:dyDescent="0.25">
      <c r="A3426"/>
      <c r="C3426" s="191"/>
      <c r="D3426" s="191"/>
      <c r="F3426"/>
      <c r="G3426"/>
      <c r="H3426" s="36"/>
      <c r="I3426" s="125"/>
      <c r="S3426" s="4"/>
      <c r="T3426" s="124"/>
      <c r="U3426" s="22"/>
      <c r="V3426" s="22"/>
      <c r="W3426" s="78"/>
      <c r="X3426" s="78"/>
      <c r="AF3426"/>
      <c r="AG3426"/>
      <c r="AH3426"/>
      <c r="AI3426"/>
      <c r="AJ3426"/>
      <c r="AK3426"/>
    </row>
    <row r="3427" spans="1:37" ht="13.05" customHeight="1" x14ac:dyDescent="0.25">
      <c r="A3427"/>
      <c r="C3427" s="191"/>
      <c r="D3427" s="191"/>
      <c r="F3427"/>
      <c r="G3427"/>
      <c r="H3427" s="36"/>
      <c r="I3427" s="125"/>
      <c r="S3427" s="4"/>
      <c r="T3427" s="124"/>
      <c r="U3427" s="22"/>
      <c r="V3427" s="22"/>
      <c r="W3427" s="78"/>
      <c r="X3427" s="78"/>
      <c r="AF3427"/>
      <c r="AG3427"/>
      <c r="AH3427"/>
      <c r="AI3427"/>
      <c r="AJ3427"/>
      <c r="AK3427"/>
    </row>
    <row r="3428" spans="1:37" ht="13.05" customHeight="1" x14ac:dyDescent="0.25">
      <c r="A3428"/>
      <c r="C3428" s="191"/>
      <c r="D3428" s="191"/>
      <c r="F3428"/>
      <c r="G3428"/>
      <c r="H3428" s="36"/>
      <c r="I3428" s="125"/>
      <c r="S3428" s="4"/>
      <c r="T3428" s="124"/>
      <c r="U3428" s="22"/>
      <c r="V3428" s="22"/>
      <c r="W3428" s="78"/>
      <c r="X3428" s="78"/>
      <c r="AF3428"/>
      <c r="AG3428"/>
      <c r="AH3428"/>
      <c r="AI3428"/>
      <c r="AJ3428"/>
      <c r="AK3428"/>
    </row>
    <row r="3429" spans="1:37" ht="13.05" customHeight="1" x14ac:dyDescent="0.25">
      <c r="A3429"/>
      <c r="C3429" s="191"/>
      <c r="D3429" s="191"/>
      <c r="F3429"/>
      <c r="G3429"/>
      <c r="H3429" s="36"/>
      <c r="I3429" s="125"/>
      <c r="S3429" s="4"/>
      <c r="T3429" s="124"/>
      <c r="U3429" s="22"/>
      <c r="V3429" s="22"/>
      <c r="W3429" s="78"/>
      <c r="X3429" s="78"/>
      <c r="AF3429"/>
      <c r="AG3429"/>
      <c r="AH3429"/>
      <c r="AI3429"/>
      <c r="AJ3429"/>
      <c r="AK3429"/>
    </row>
    <row r="3430" spans="1:37" ht="13.05" customHeight="1" x14ac:dyDescent="0.25">
      <c r="A3430"/>
      <c r="C3430" s="191"/>
      <c r="D3430" s="191"/>
      <c r="F3430"/>
      <c r="G3430"/>
      <c r="H3430" s="36"/>
      <c r="I3430" s="125"/>
      <c r="S3430" s="4"/>
      <c r="T3430" s="124"/>
      <c r="U3430" s="22"/>
      <c r="V3430" s="22"/>
      <c r="W3430" s="78"/>
      <c r="X3430" s="78"/>
      <c r="AF3430"/>
      <c r="AG3430"/>
      <c r="AH3430"/>
      <c r="AI3430"/>
      <c r="AJ3430"/>
      <c r="AK3430"/>
    </row>
    <row r="3431" spans="1:37" ht="13.05" customHeight="1" x14ac:dyDescent="0.25">
      <c r="A3431"/>
      <c r="C3431" s="191"/>
      <c r="D3431" s="191"/>
      <c r="F3431"/>
      <c r="G3431"/>
      <c r="H3431" s="36"/>
      <c r="I3431" s="125"/>
      <c r="S3431" s="4"/>
      <c r="T3431" s="124"/>
      <c r="U3431" s="22"/>
      <c r="V3431" s="22"/>
      <c r="W3431" s="78"/>
      <c r="X3431" s="78"/>
      <c r="AF3431"/>
      <c r="AG3431"/>
      <c r="AH3431"/>
      <c r="AI3431"/>
      <c r="AJ3431"/>
      <c r="AK3431"/>
    </row>
    <row r="3432" spans="1:37" ht="13.05" customHeight="1" x14ac:dyDescent="0.25">
      <c r="A3432"/>
      <c r="C3432" s="191"/>
      <c r="D3432" s="191"/>
      <c r="F3432"/>
      <c r="G3432"/>
      <c r="H3432" s="36"/>
      <c r="I3432" s="125"/>
      <c r="S3432" s="4"/>
      <c r="T3432" s="124"/>
      <c r="U3432" s="22"/>
      <c r="V3432" s="22"/>
      <c r="W3432" s="78"/>
      <c r="X3432" s="78"/>
      <c r="AF3432"/>
      <c r="AG3432"/>
      <c r="AH3432"/>
      <c r="AI3432"/>
      <c r="AJ3432"/>
      <c r="AK3432"/>
    </row>
    <row r="3433" spans="1:37" ht="13.05" customHeight="1" x14ac:dyDescent="0.25">
      <c r="A3433"/>
      <c r="C3433" s="191"/>
      <c r="D3433" s="191"/>
      <c r="F3433"/>
      <c r="G3433"/>
      <c r="H3433" s="36"/>
      <c r="I3433" s="125"/>
      <c r="S3433" s="4"/>
      <c r="T3433" s="124"/>
      <c r="U3433" s="22"/>
      <c r="V3433" s="22"/>
      <c r="W3433" s="78"/>
      <c r="X3433" s="78"/>
      <c r="AF3433"/>
      <c r="AG3433"/>
      <c r="AH3433"/>
      <c r="AI3433"/>
      <c r="AJ3433"/>
      <c r="AK3433"/>
    </row>
    <row r="3434" spans="1:37" ht="13.05" customHeight="1" x14ac:dyDescent="0.25">
      <c r="A3434"/>
      <c r="C3434" s="191"/>
      <c r="D3434" s="191"/>
      <c r="F3434"/>
      <c r="G3434"/>
      <c r="H3434" s="36"/>
      <c r="I3434" s="125"/>
      <c r="S3434" s="4"/>
      <c r="T3434" s="124"/>
      <c r="U3434" s="22"/>
      <c r="V3434" s="22"/>
      <c r="W3434" s="78"/>
      <c r="X3434" s="78"/>
      <c r="AF3434"/>
      <c r="AG3434"/>
      <c r="AH3434"/>
      <c r="AI3434"/>
      <c r="AJ3434"/>
      <c r="AK3434"/>
    </row>
    <row r="3435" spans="1:37" ht="13.05" customHeight="1" x14ac:dyDescent="0.25">
      <c r="A3435"/>
      <c r="C3435" s="191"/>
      <c r="D3435" s="191"/>
      <c r="F3435"/>
      <c r="G3435"/>
      <c r="H3435" s="36"/>
      <c r="I3435" s="125"/>
      <c r="S3435" s="4"/>
      <c r="T3435" s="124"/>
      <c r="U3435" s="22"/>
      <c r="V3435" s="22"/>
      <c r="W3435" s="78"/>
      <c r="X3435" s="78"/>
      <c r="AF3435"/>
      <c r="AG3435"/>
      <c r="AH3435"/>
      <c r="AI3435"/>
      <c r="AJ3435"/>
      <c r="AK3435"/>
    </row>
    <row r="3436" spans="1:37" ht="13.05" customHeight="1" x14ac:dyDescent="0.25">
      <c r="A3436"/>
      <c r="C3436" s="191"/>
      <c r="D3436" s="191"/>
      <c r="F3436"/>
      <c r="G3436"/>
      <c r="H3436" s="36"/>
      <c r="I3436" s="125"/>
      <c r="S3436" s="4"/>
      <c r="T3436" s="124"/>
      <c r="U3436" s="22"/>
      <c r="V3436" s="22"/>
      <c r="W3436" s="78"/>
      <c r="X3436" s="78"/>
      <c r="AF3436"/>
      <c r="AG3436"/>
      <c r="AH3436"/>
      <c r="AI3436"/>
      <c r="AJ3436"/>
      <c r="AK3436"/>
    </row>
    <row r="3437" spans="1:37" ht="13.05" customHeight="1" x14ac:dyDescent="0.25">
      <c r="A3437"/>
      <c r="C3437" s="191"/>
      <c r="D3437" s="191"/>
      <c r="F3437"/>
      <c r="G3437"/>
      <c r="H3437" s="36"/>
      <c r="I3437" s="125"/>
      <c r="S3437" s="4"/>
      <c r="T3437" s="124"/>
      <c r="U3437" s="22"/>
      <c r="V3437" s="22"/>
      <c r="W3437" s="78"/>
      <c r="X3437" s="78"/>
      <c r="AF3437"/>
      <c r="AG3437"/>
      <c r="AH3437"/>
      <c r="AI3437"/>
      <c r="AJ3437"/>
      <c r="AK3437"/>
    </row>
    <row r="3438" spans="1:37" ht="13.05" customHeight="1" x14ac:dyDescent="0.25">
      <c r="A3438"/>
      <c r="C3438" s="191"/>
      <c r="D3438" s="191"/>
      <c r="F3438"/>
      <c r="G3438"/>
      <c r="H3438" s="36"/>
      <c r="I3438" s="125"/>
      <c r="S3438" s="4"/>
      <c r="T3438" s="124"/>
      <c r="U3438" s="22"/>
      <c r="V3438" s="22"/>
      <c r="W3438" s="78"/>
      <c r="X3438" s="78"/>
      <c r="AF3438"/>
      <c r="AG3438"/>
      <c r="AH3438"/>
      <c r="AI3438"/>
      <c r="AJ3438"/>
      <c r="AK3438"/>
    </row>
    <row r="3439" spans="1:37" ht="13.05" customHeight="1" x14ac:dyDescent="0.25">
      <c r="A3439"/>
      <c r="C3439" s="191"/>
      <c r="D3439" s="191"/>
      <c r="F3439"/>
      <c r="G3439"/>
      <c r="H3439" s="36"/>
      <c r="I3439" s="125"/>
      <c r="S3439" s="4"/>
      <c r="T3439" s="124"/>
      <c r="U3439" s="22"/>
      <c r="V3439" s="22"/>
      <c r="W3439" s="78"/>
      <c r="X3439" s="78"/>
      <c r="AF3439"/>
      <c r="AG3439"/>
      <c r="AH3439"/>
      <c r="AI3439"/>
      <c r="AJ3439"/>
      <c r="AK3439"/>
    </row>
    <row r="3440" spans="1:37" ht="13.05" customHeight="1" x14ac:dyDescent="0.25">
      <c r="A3440"/>
      <c r="C3440" s="191"/>
      <c r="D3440" s="191"/>
      <c r="F3440"/>
      <c r="G3440"/>
      <c r="H3440" s="36"/>
      <c r="I3440" s="125"/>
      <c r="S3440" s="4"/>
      <c r="T3440" s="124"/>
      <c r="U3440" s="22"/>
      <c r="V3440" s="22"/>
      <c r="W3440" s="78"/>
      <c r="X3440" s="78"/>
      <c r="AF3440"/>
      <c r="AG3440"/>
      <c r="AH3440"/>
      <c r="AI3440"/>
      <c r="AJ3440"/>
      <c r="AK3440"/>
    </row>
    <row r="3441" spans="1:37" ht="13.05" customHeight="1" x14ac:dyDescent="0.25">
      <c r="A3441"/>
      <c r="C3441" s="191"/>
      <c r="D3441" s="191"/>
      <c r="F3441"/>
      <c r="G3441"/>
      <c r="H3441" s="36"/>
      <c r="I3441" s="125"/>
      <c r="S3441" s="4"/>
      <c r="T3441" s="124"/>
      <c r="U3441" s="22"/>
      <c r="V3441" s="22"/>
      <c r="W3441" s="78"/>
      <c r="X3441" s="78"/>
      <c r="AF3441"/>
      <c r="AG3441"/>
      <c r="AH3441"/>
      <c r="AI3441"/>
      <c r="AJ3441"/>
      <c r="AK3441"/>
    </row>
    <row r="3442" spans="1:37" ht="13.05" customHeight="1" x14ac:dyDescent="0.25">
      <c r="A3442"/>
      <c r="C3442" s="191"/>
      <c r="D3442" s="191"/>
      <c r="F3442"/>
      <c r="G3442"/>
      <c r="H3442" s="36"/>
      <c r="I3442" s="125"/>
      <c r="S3442" s="4"/>
      <c r="T3442" s="124"/>
      <c r="U3442" s="22"/>
      <c r="V3442" s="22"/>
      <c r="W3442" s="78"/>
      <c r="X3442" s="78"/>
      <c r="AF3442"/>
      <c r="AG3442"/>
      <c r="AH3442"/>
      <c r="AI3442"/>
      <c r="AJ3442"/>
      <c r="AK3442"/>
    </row>
    <row r="3443" spans="1:37" ht="13.05" customHeight="1" x14ac:dyDescent="0.25">
      <c r="A3443"/>
      <c r="C3443" s="191"/>
      <c r="D3443" s="191"/>
      <c r="F3443"/>
      <c r="G3443"/>
      <c r="H3443" s="36"/>
      <c r="I3443" s="125"/>
      <c r="S3443" s="4"/>
      <c r="T3443" s="124"/>
      <c r="U3443" s="22"/>
      <c r="V3443" s="22"/>
      <c r="W3443" s="78"/>
      <c r="X3443" s="78"/>
      <c r="AF3443"/>
      <c r="AG3443"/>
      <c r="AH3443"/>
      <c r="AI3443"/>
      <c r="AJ3443"/>
      <c r="AK3443"/>
    </row>
    <row r="3444" spans="1:37" ht="13.05" customHeight="1" x14ac:dyDescent="0.25">
      <c r="A3444"/>
      <c r="C3444" s="191"/>
      <c r="D3444" s="191"/>
      <c r="F3444"/>
      <c r="G3444"/>
      <c r="H3444" s="36"/>
      <c r="I3444" s="125"/>
      <c r="S3444" s="4"/>
      <c r="T3444" s="124"/>
      <c r="U3444" s="22"/>
      <c r="V3444" s="22"/>
      <c r="W3444" s="78"/>
      <c r="X3444" s="78"/>
      <c r="AF3444"/>
      <c r="AG3444"/>
      <c r="AH3444"/>
      <c r="AI3444"/>
      <c r="AJ3444"/>
      <c r="AK3444"/>
    </row>
    <row r="3445" spans="1:37" ht="13.05" customHeight="1" x14ac:dyDescent="0.25">
      <c r="A3445"/>
      <c r="C3445" s="191"/>
      <c r="D3445" s="191"/>
      <c r="F3445"/>
      <c r="G3445"/>
      <c r="H3445" s="36"/>
      <c r="I3445" s="125"/>
      <c r="S3445" s="4"/>
      <c r="T3445" s="124"/>
      <c r="U3445" s="22"/>
      <c r="V3445" s="22"/>
      <c r="W3445" s="78"/>
      <c r="X3445" s="78"/>
      <c r="AF3445"/>
      <c r="AG3445"/>
      <c r="AH3445"/>
      <c r="AI3445"/>
      <c r="AJ3445"/>
      <c r="AK3445"/>
    </row>
    <row r="3446" spans="1:37" ht="13.05" customHeight="1" x14ac:dyDescent="0.25">
      <c r="A3446"/>
      <c r="C3446" s="191"/>
      <c r="D3446" s="191"/>
      <c r="F3446"/>
      <c r="G3446"/>
      <c r="H3446" s="36"/>
      <c r="I3446" s="125"/>
      <c r="S3446" s="4"/>
      <c r="T3446" s="124"/>
      <c r="U3446" s="22"/>
      <c r="V3446" s="22"/>
      <c r="W3446" s="78"/>
      <c r="X3446" s="78"/>
      <c r="AF3446"/>
      <c r="AG3446"/>
      <c r="AH3446"/>
      <c r="AI3446"/>
      <c r="AJ3446"/>
      <c r="AK3446"/>
    </row>
    <row r="3447" spans="1:37" ht="13.05" customHeight="1" x14ac:dyDescent="0.25">
      <c r="A3447"/>
      <c r="C3447" s="191"/>
      <c r="D3447" s="191"/>
      <c r="F3447"/>
      <c r="G3447"/>
      <c r="H3447" s="36"/>
      <c r="I3447" s="125"/>
      <c r="S3447" s="4"/>
      <c r="T3447" s="124"/>
      <c r="U3447" s="22"/>
      <c r="V3447" s="22"/>
      <c r="W3447" s="78"/>
      <c r="X3447" s="78"/>
      <c r="AF3447"/>
      <c r="AG3447"/>
      <c r="AH3447"/>
      <c r="AI3447"/>
      <c r="AJ3447"/>
      <c r="AK3447"/>
    </row>
    <row r="3448" spans="1:37" ht="13.05" customHeight="1" x14ac:dyDescent="0.25">
      <c r="A3448"/>
      <c r="C3448" s="191"/>
      <c r="D3448" s="191"/>
      <c r="F3448"/>
      <c r="G3448"/>
      <c r="H3448" s="36"/>
      <c r="I3448" s="125"/>
      <c r="S3448" s="4"/>
      <c r="T3448" s="124"/>
      <c r="U3448" s="22"/>
      <c r="V3448" s="22"/>
      <c r="W3448" s="78"/>
      <c r="X3448" s="78"/>
      <c r="AF3448"/>
      <c r="AG3448"/>
      <c r="AH3448"/>
      <c r="AI3448"/>
      <c r="AJ3448"/>
      <c r="AK3448"/>
    </row>
    <row r="3449" spans="1:37" ht="13.05" customHeight="1" x14ac:dyDescent="0.25">
      <c r="A3449"/>
      <c r="C3449" s="191"/>
      <c r="D3449" s="191"/>
      <c r="F3449"/>
      <c r="G3449"/>
      <c r="H3449" s="36"/>
      <c r="I3449" s="125"/>
      <c r="S3449" s="4"/>
      <c r="T3449" s="124"/>
      <c r="U3449" s="22"/>
      <c r="V3449" s="22"/>
      <c r="W3449" s="78"/>
      <c r="X3449" s="78"/>
      <c r="AF3449"/>
      <c r="AG3449"/>
      <c r="AH3449"/>
      <c r="AI3449"/>
      <c r="AJ3449"/>
      <c r="AK3449"/>
    </row>
    <row r="3450" spans="1:37" ht="13.05" customHeight="1" x14ac:dyDescent="0.25">
      <c r="A3450"/>
      <c r="C3450" s="191"/>
      <c r="D3450" s="191"/>
      <c r="F3450"/>
      <c r="G3450"/>
      <c r="H3450" s="36"/>
      <c r="I3450" s="125"/>
      <c r="S3450" s="4"/>
      <c r="T3450" s="124"/>
      <c r="U3450" s="22"/>
      <c r="V3450" s="22"/>
      <c r="W3450" s="78"/>
      <c r="X3450" s="78"/>
      <c r="AF3450"/>
      <c r="AG3450"/>
      <c r="AH3450"/>
      <c r="AI3450"/>
      <c r="AJ3450"/>
      <c r="AK3450"/>
    </row>
    <row r="3451" spans="1:37" ht="13.05" customHeight="1" x14ac:dyDescent="0.25">
      <c r="A3451"/>
      <c r="C3451" s="191"/>
      <c r="D3451" s="191"/>
      <c r="F3451"/>
      <c r="G3451"/>
      <c r="H3451" s="36"/>
      <c r="I3451" s="125"/>
      <c r="S3451" s="4"/>
      <c r="T3451" s="124"/>
      <c r="U3451" s="22"/>
      <c r="V3451" s="22"/>
      <c r="W3451" s="78"/>
      <c r="X3451" s="78"/>
      <c r="AF3451"/>
      <c r="AG3451"/>
      <c r="AH3451"/>
      <c r="AI3451"/>
      <c r="AJ3451"/>
      <c r="AK3451"/>
    </row>
    <row r="3452" spans="1:37" ht="13.05" customHeight="1" x14ac:dyDescent="0.25">
      <c r="A3452"/>
      <c r="C3452" s="191"/>
      <c r="D3452" s="191"/>
      <c r="F3452"/>
      <c r="G3452"/>
      <c r="H3452" s="36"/>
      <c r="I3452" s="125"/>
      <c r="S3452" s="4"/>
      <c r="T3452" s="124"/>
      <c r="U3452" s="22"/>
      <c r="V3452" s="22"/>
      <c r="W3452" s="78"/>
      <c r="X3452" s="78"/>
      <c r="AF3452"/>
      <c r="AG3452"/>
      <c r="AH3452"/>
      <c r="AI3452"/>
      <c r="AJ3452"/>
      <c r="AK3452"/>
    </row>
    <row r="3453" spans="1:37" ht="13.05" customHeight="1" x14ac:dyDescent="0.25">
      <c r="A3453"/>
      <c r="C3453" s="191"/>
      <c r="D3453" s="191"/>
      <c r="F3453"/>
      <c r="G3453"/>
      <c r="H3453" s="36"/>
      <c r="I3453" s="125"/>
      <c r="S3453" s="4"/>
      <c r="T3453" s="124"/>
      <c r="U3453" s="22"/>
      <c r="V3453" s="22"/>
      <c r="W3453" s="78"/>
      <c r="X3453" s="78"/>
      <c r="AF3453"/>
      <c r="AG3453"/>
      <c r="AH3453"/>
      <c r="AI3453"/>
      <c r="AJ3453"/>
      <c r="AK3453"/>
    </row>
    <row r="3454" spans="1:37" ht="13.05" customHeight="1" x14ac:dyDescent="0.25">
      <c r="A3454"/>
      <c r="C3454" s="191"/>
      <c r="D3454" s="191"/>
      <c r="F3454"/>
      <c r="G3454"/>
      <c r="H3454" s="36"/>
      <c r="I3454" s="125"/>
      <c r="S3454" s="4"/>
      <c r="T3454" s="124"/>
      <c r="U3454" s="22"/>
      <c r="V3454" s="22"/>
      <c r="W3454" s="78"/>
      <c r="X3454" s="78"/>
      <c r="AF3454"/>
      <c r="AG3454"/>
      <c r="AH3454"/>
      <c r="AI3454"/>
      <c r="AJ3454"/>
      <c r="AK3454"/>
    </row>
    <row r="3455" spans="1:37" ht="13.05" customHeight="1" x14ac:dyDescent="0.25">
      <c r="A3455"/>
      <c r="C3455" s="191"/>
      <c r="D3455" s="191"/>
      <c r="F3455"/>
      <c r="G3455"/>
      <c r="H3455" s="36"/>
      <c r="I3455" s="125"/>
      <c r="S3455" s="4"/>
      <c r="T3455" s="124"/>
      <c r="U3455" s="22"/>
      <c r="V3455" s="22"/>
      <c r="W3455" s="78"/>
      <c r="X3455" s="78"/>
      <c r="AF3455"/>
      <c r="AG3455"/>
      <c r="AH3455"/>
      <c r="AI3455"/>
      <c r="AJ3455"/>
      <c r="AK3455"/>
    </row>
    <row r="3456" spans="1:37" ht="13.05" customHeight="1" x14ac:dyDescent="0.25">
      <c r="A3456"/>
      <c r="C3456" s="191"/>
      <c r="D3456" s="191"/>
      <c r="F3456"/>
      <c r="G3456"/>
      <c r="H3456" s="36"/>
      <c r="I3456" s="125"/>
      <c r="S3456" s="4"/>
      <c r="T3456" s="124"/>
      <c r="U3456" s="22"/>
      <c r="V3456" s="22"/>
      <c r="W3456" s="78"/>
      <c r="X3456" s="78"/>
      <c r="AF3456"/>
      <c r="AG3456"/>
      <c r="AH3456"/>
      <c r="AI3456"/>
      <c r="AJ3456"/>
      <c r="AK3456"/>
    </row>
    <row r="3457" spans="1:37" ht="13.05" customHeight="1" x14ac:dyDescent="0.25">
      <c r="A3457"/>
      <c r="C3457" s="191"/>
      <c r="D3457" s="191"/>
      <c r="F3457"/>
      <c r="G3457"/>
      <c r="H3457" s="36"/>
      <c r="I3457" s="125"/>
      <c r="S3457" s="4"/>
      <c r="T3457" s="124"/>
      <c r="U3457" s="22"/>
      <c r="V3457" s="22"/>
      <c r="W3457" s="78"/>
      <c r="X3457" s="78"/>
      <c r="AF3457"/>
      <c r="AG3457"/>
      <c r="AH3457"/>
      <c r="AI3457"/>
      <c r="AJ3457"/>
      <c r="AK3457"/>
    </row>
    <row r="3458" spans="1:37" ht="13.05" customHeight="1" x14ac:dyDescent="0.25">
      <c r="A3458"/>
      <c r="C3458" s="191"/>
      <c r="D3458" s="191"/>
      <c r="F3458"/>
      <c r="G3458"/>
      <c r="H3458" s="36"/>
      <c r="I3458" s="125"/>
      <c r="S3458" s="4"/>
      <c r="T3458" s="124"/>
      <c r="U3458" s="22"/>
      <c r="V3458" s="22"/>
      <c r="W3458" s="78"/>
      <c r="X3458" s="78"/>
      <c r="AF3458"/>
      <c r="AG3458"/>
      <c r="AH3458"/>
      <c r="AI3458"/>
      <c r="AJ3458"/>
      <c r="AK3458"/>
    </row>
    <row r="3459" spans="1:37" ht="13.05" customHeight="1" x14ac:dyDescent="0.25">
      <c r="A3459"/>
      <c r="C3459" s="191"/>
      <c r="D3459" s="191"/>
      <c r="F3459"/>
      <c r="G3459"/>
      <c r="H3459" s="36"/>
      <c r="I3459" s="125"/>
      <c r="S3459" s="4"/>
      <c r="T3459" s="124"/>
      <c r="U3459" s="22"/>
      <c r="V3459" s="22"/>
      <c r="W3459" s="78"/>
      <c r="X3459" s="78"/>
      <c r="AF3459"/>
      <c r="AG3459"/>
      <c r="AH3459"/>
      <c r="AI3459"/>
      <c r="AJ3459"/>
      <c r="AK3459"/>
    </row>
    <row r="3460" spans="1:37" ht="13.05" customHeight="1" x14ac:dyDescent="0.25">
      <c r="A3460"/>
      <c r="C3460" s="191"/>
      <c r="D3460" s="191"/>
      <c r="F3460"/>
      <c r="G3460"/>
      <c r="H3460" s="36"/>
      <c r="I3460" s="125"/>
      <c r="S3460" s="4"/>
      <c r="T3460" s="124"/>
      <c r="U3460" s="22"/>
      <c r="V3460" s="22"/>
      <c r="W3460" s="78"/>
      <c r="X3460" s="78"/>
      <c r="AF3460"/>
      <c r="AG3460"/>
      <c r="AH3460"/>
      <c r="AI3460"/>
      <c r="AJ3460"/>
      <c r="AK3460"/>
    </row>
    <row r="3461" spans="1:37" ht="13.05" customHeight="1" x14ac:dyDescent="0.25">
      <c r="A3461"/>
      <c r="C3461" s="191"/>
      <c r="D3461" s="191"/>
      <c r="F3461"/>
      <c r="G3461"/>
      <c r="H3461" s="36"/>
      <c r="I3461" s="125"/>
      <c r="S3461" s="4"/>
      <c r="T3461" s="124"/>
      <c r="U3461" s="22"/>
      <c r="V3461" s="22"/>
      <c r="W3461" s="78"/>
      <c r="X3461" s="78"/>
      <c r="AF3461"/>
      <c r="AG3461"/>
      <c r="AH3461"/>
      <c r="AI3461"/>
      <c r="AJ3461"/>
      <c r="AK3461"/>
    </row>
    <row r="3462" spans="1:37" ht="13.05" customHeight="1" x14ac:dyDescent="0.25">
      <c r="A3462"/>
      <c r="C3462" s="191"/>
      <c r="D3462" s="191"/>
      <c r="F3462"/>
      <c r="G3462"/>
      <c r="H3462" s="36"/>
      <c r="I3462" s="125"/>
      <c r="S3462" s="4"/>
      <c r="T3462" s="124"/>
      <c r="U3462" s="22"/>
      <c r="V3462" s="22"/>
      <c r="W3462" s="78"/>
      <c r="X3462" s="78"/>
      <c r="AF3462"/>
      <c r="AG3462"/>
      <c r="AH3462"/>
      <c r="AI3462"/>
      <c r="AJ3462"/>
      <c r="AK3462"/>
    </row>
    <row r="3463" spans="1:37" ht="13.05" customHeight="1" x14ac:dyDescent="0.25">
      <c r="A3463"/>
      <c r="C3463" s="191"/>
      <c r="D3463" s="191"/>
      <c r="F3463"/>
      <c r="G3463"/>
      <c r="H3463" s="36"/>
      <c r="I3463" s="125"/>
      <c r="S3463" s="4"/>
      <c r="T3463" s="124"/>
      <c r="U3463" s="22"/>
      <c r="V3463" s="22"/>
      <c r="W3463" s="78"/>
      <c r="X3463" s="78"/>
      <c r="AF3463"/>
      <c r="AG3463"/>
      <c r="AH3463"/>
      <c r="AI3463"/>
      <c r="AJ3463"/>
      <c r="AK3463"/>
    </row>
    <row r="3464" spans="1:37" ht="13.05" customHeight="1" x14ac:dyDescent="0.25">
      <c r="A3464"/>
      <c r="C3464" s="191"/>
      <c r="D3464" s="191"/>
      <c r="F3464"/>
      <c r="G3464"/>
      <c r="H3464" s="36"/>
      <c r="I3464" s="125"/>
      <c r="S3464" s="4"/>
      <c r="T3464" s="124"/>
      <c r="U3464" s="22"/>
      <c r="V3464" s="22"/>
      <c r="W3464" s="78"/>
      <c r="X3464" s="78"/>
      <c r="AF3464"/>
      <c r="AG3464"/>
      <c r="AH3464"/>
      <c r="AI3464"/>
      <c r="AJ3464"/>
      <c r="AK3464"/>
    </row>
    <row r="3465" spans="1:37" ht="13.05" customHeight="1" x14ac:dyDescent="0.25">
      <c r="A3465"/>
      <c r="C3465" s="191"/>
      <c r="D3465" s="191"/>
      <c r="F3465"/>
      <c r="G3465"/>
      <c r="H3465" s="36"/>
      <c r="I3465" s="125"/>
      <c r="S3465" s="4"/>
      <c r="T3465" s="124"/>
      <c r="U3465" s="22"/>
      <c r="V3465" s="22"/>
      <c r="W3465" s="78"/>
      <c r="X3465" s="78"/>
      <c r="AF3465"/>
      <c r="AG3465"/>
      <c r="AH3465"/>
      <c r="AI3465"/>
      <c r="AJ3465"/>
      <c r="AK3465"/>
    </row>
    <row r="3466" spans="1:37" ht="13.05" customHeight="1" x14ac:dyDescent="0.25">
      <c r="A3466"/>
      <c r="C3466" s="191"/>
      <c r="D3466" s="191"/>
      <c r="F3466"/>
      <c r="G3466"/>
      <c r="H3466" s="36"/>
      <c r="I3466" s="125"/>
      <c r="S3466" s="4"/>
      <c r="T3466" s="124"/>
      <c r="U3466" s="22"/>
      <c r="V3466" s="22"/>
      <c r="W3466" s="78"/>
      <c r="X3466" s="78"/>
      <c r="AF3466"/>
      <c r="AG3466"/>
      <c r="AH3466"/>
      <c r="AI3466"/>
      <c r="AJ3466"/>
      <c r="AK3466"/>
    </row>
    <row r="3467" spans="1:37" ht="13.05" customHeight="1" x14ac:dyDescent="0.25">
      <c r="A3467"/>
      <c r="C3467" s="191"/>
      <c r="D3467" s="191"/>
      <c r="F3467"/>
      <c r="G3467"/>
      <c r="H3467" s="36"/>
      <c r="I3467" s="125"/>
      <c r="S3467" s="4"/>
      <c r="T3467" s="124"/>
      <c r="U3467" s="22"/>
      <c r="V3467" s="22"/>
      <c r="W3467" s="78"/>
      <c r="X3467" s="78"/>
      <c r="AF3467"/>
      <c r="AG3467"/>
      <c r="AH3467"/>
      <c r="AI3467"/>
      <c r="AJ3467"/>
      <c r="AK3467"/>
    </row>
    <row r="3468" spans="1:37" ht="13.05" customHeight="1" x14ac:dyDescent="0.25">
      <c r="A3468"/>
      <c r="C3468" s="191"/>
      <c r="D3468" s="191"/>
      <c r="F3468"/>
      <c r="G3468"/>
      <c r="H3468" s="36"/>
      <c r="I3468" s="125"/>
      <c r="S3468" s="4"/>
      <c r="T3468" s="124"/>
      <c r="U3468" s="22"/>
      <c r="V3468" s="22"/>
      <c r="W3468" s="78"/>
      <c r="X3468" s="78"/>
      <c r="AF3468"/>
      <c r="AG3468"/>
      <c r="AH3468"/>
      <c r="AI3468"/>
      <c r="AJ3468"/>
      <c r="AK3468"/>
    </row>
    <row r="3469" spans="1:37" ht="13.05" customHeight="1" x14ac:dyDescent="0.25">
      <c r="A3469"/>
      <c r="C3469" s="191"/>
      <c r="D3469" s="191"/>
      <c r="F3469"/>
      <c r="G3469"/>
      <c r="H3469" s="36"/>
      <c r="I3469" s="125"/>
      <c r="S3469" s="4"/>
      <c r="T3469" s="124"/>
      <c r="U3469" s="22"/>
      <c r="V3469" s="22"/>
      <c r="W3469" s="78"/>
      <c r="X3469" s="78"/>
      <c r="AF3469"/>
      <c r="AG3469"/>
      <c r="AH3469"/>
      <c r="AI3469"/>
      <c r="AJ3469"/>
      <c r="AK3469"/>
    </row>
    <row r="3470" spans="1:37" ht="13.05" customHeight="1" x14ac:dyDescent="0.25">
      <c r="A3470"/>
      <c r="C3470" s="191"/>
      <c r="D3470" s="191"/>
      <c r="F3470"/>
      <c r="G3470"/>
      <c r="H3470" s="36"/>
      <c r="I3470" s="125"/>
      <c r="S3470" s="4"/>
      <c r="T3470" s="124"/>
      <c r="U3470" s="22"/>
      <c r="V3470" s="22"/>
      <c r="W3470" s="78"/>
      <c r="X3470" s="78"/>
      <c r="AF3470"/>
      <c r="AG3470"/>
      <c r="AH3470"/>
      <c r="AI3470"/>
      <c r="AJ3470"/>
      <c r="AK3470"/>
    </row>
    <row r="3471" spans="1:37" ht="13.05" customHeight="1" x14ac:dyDescent="0.25">
      <c r="A3471"/>
      <c r="C3471" s="191"/>
      <c r="D3471" s="191"/>
      <c r="F3471"/>
      <c r="G3471"/>
      <c r="H3471" s="36"/>
      <c r="I3471" s="125"/>
      <c r="S3471" s="4"/>
      <c r="T3471" s="124"/>
      <c r="U3471" s="22"/>
      <c r="V3471" s="22"/>
      <c r="W3471" s="78"/>
      <c r="X3471" s="78"/>
      <c r="AF3471"/>
      <c r="AG3471"/>
      <c r="AH3471"/>
      <c r="AI3471"/>
      <c r="AJ3471"/>
      <c r="AK3471"/>
    </row>
    <row r="3472" spans="1:37" ht="13.05" customHeight="1" x14ac:dyDescent="0.25">
      <c r="A3472"/>
      <c r="C3472" s="191"/>
      <c r="D3472" s="191"/>
      <c r="F3472"/>
      <c r="G3472"/>
      <c r="H3472" s="36"/>
      <c r="I3472" s="125"/>
      <c r="S3472" s="4"/>
      <c r="T3472" s="124"/>
      <c r="U3472" s="22"/>
      <c r="V3472" s="22"/>
      <c r="W3472" s="78"/>
      <c r="X3472" s="78"/>
      <c r="AF3472"/>
      <c r="AG3472"/>
      <c r="AH3472"/>
      <c r="AI3472"/>
      <c r="AJ3472"/>
      <c r="AK3472"/>
    </row>
    <row r="3473" spans="1:37" ht="13.05" customHeight="1" x14ac:dyDescent="0.25">
      <c r="A3473"/>
      <c r="C3473" s="191"/>
      <c r="D3473" s="191"/>
      <c r="F3473"/>
      <c r="G3473"/>
      <c r="H3473" s="36"/>
      <c r="I3473" s="125"/>
      <c r="S3473" s="4"/>
      <c r="T3473" s="124"/>
      <c r="U3473" s="22"/>
      <c r="V3473" s="22"/>
      <c r="W3473" s="78"/>
      <c r="X3473" s="78"/>
      <c r="AF3473"/>
      <c r="AG3473"/>
      <c r="AH3473"/>
      <c r="AI3473"/>
      <c r="AJ3473"/>
      <c r="AK3473"/>
    </row>
    <row r="3474" spans="1:37" ht="13.05" customHeight="1" x14ac:dyDescent="0.25">
      <c r="A3474"/>
      <c r="C3474" s="191"/>
      <c r="D3474" s="191"/>
      <c r="F3474"/>
      <c r="G3474"/>
      <c r="H3474" s="36"/>
      <c r="I3474" s="125"/>
      <c r="S3474" s="4"/>
      <c r="T3474" s="124"/>
      <c r="U3474" s="22"/>
      <c r="V3474" s="22"/>
      <c r="W3474" s="78"/>
      <c r="X3474" s="78"/>
      <c r="AF3474"/>
      <c r="AG3474"/>
      <c r="AH3474"/>
      <c r="AI3474"/>
      <c r="AJ3474"/>
      <c r="AK3474"/>
    </row>
    <row r="3475" spans="1:37" ht="13.05" customHeight="1" x14ac:dyDescent="0.25">
      <c r="A3475"/>
      <c r="C3475" s="191"/>
      <c r="D3475" s="191"/>
      <c r="F3475"/>
      <c r="G3475"/>
      <c r="H3475" s="36"/>
      <c r="I3475" s="125"/>
      <c r="S3475" s="4"/>
      <c r="T3475" s="124"/>
      <c r="U3475" s="22"/>
      <c r="V3475" s="22"/>
      <c r="W3475" s="78"/>
      <c r="X3475" s="78"/>
      <c r="AF3475"/>
      <c r="AG3475"/>
      <c r="AH3475"/>
      <c r="AI3475"/>
      <c r="AJ3475"/>
      <c r="AK3475"/>
    </row>
    <row r="3476" spans="1:37" ht="13.05" customHeight="1" x14ac:dyDescent="0.25">
      <c r="A3476"/>
      <c r="C3476" s="191"/>
      <c r="D3476" s="191"/>
      <c r="F3476"/>
      <c r="G3476"/>
      <c r="H3476" s="36"/>
      <c r="I3476" s="125"/>
      <c r="S3476" s="4"/>
      <c r="T3476" s="124"/>
      <c r="U3476" s="22"/>
      <c r="V3476" s="22"/>
      <c r="W3476" s="78"/>
      <c r="X3476" s="78"/>
      <c r="AF3476"/>
      <c r="AG3476"/>
      <c r="AH3476"/>
      <c r="AI3476"/>
      <c r="AJ3476"/>
      <c r="AK3476"/>
    </row>
    <row r="3477" spans="1:37" ht="13.05" customHeight="1" x14ac:dyDescent="0.25">
      <c r="A3477"/>
      <c r="C3477" s="191"/>
      <c r="D3477" s="191"/>
      <c r="F3477"/>
      <c r="G3477"/>
      <c r="H3477" s="36"/>
      <c r="I3477" s="125"/>
      <c r="S3477" s="4"/>
      <c r="T3477" s="124"/>
      <c r="U3477" s="22"/>
      <c r="V3477" s="22"/>
      <c r="W3477" s="78"/>
      <c r="X3477" s="78"/>
      <c r="AF3477"/>
      <c r="AG3477"/>
      <c r="AH3477"/>
      <c r="AI3477"/>
      <c r="AJ3477"/>
      <c r="AK3477"/>
    </row>
    <row r="3478" spans="1:37" ht="13.05" customHeight="1" x14ac:dyDescent="0.25">
      <c r="A3478"/>
      <c r="C3478" s="191"/>
      <c r="D3478" s="191"/>
      <c r="F3478"/>
      <c r="G3478"/>
      <c r="H3478" s="36"/>
      <c r="I3478" s="125"/>
      <c r="S3478" s="4"/>
      <c r="T3478" s="124"/>
      <c r="U3478" s="22"/>
      <c r="V3478" s="22"/>
      <c r="W3478" s="78"/>
      <c r="X3478" s="78"/>
      <c r="AF3478"/>
      <c r="AG3478"/>
      <c r="AH3478"/>
      <c r="AI3478"/>
      <c r="AJ3478"/>
      <c r="AK3478"/>
    </row>
    <row r="3479" spans="1:37" ht="13.05" customHeight="1" x14ac:dyDescent="0.25">
      <c r="A3479"/>
      <c r="C3479" s="191"/>
      <c r="D3479" s="191"/>
      <c r="F3479"/>
      <c r="G3479"/>
      <c r="H3479" s="36"/>
      <c r="I3479" s="125"/>
      <c r="S3479" s="4"/>
      <c r="T3479" s="124"/>
      <c r="U3479" s="22"/>
      <c r="V3479" s="22"/>
      <c r="W3479" s="78"/>
      <c r="X3479" s="78"/>
      <c r="AF3479"/>
      <c r="AG3479"/>
      <c r="AH3479"/>
      <c r="AI3479"/>
      <c r="AJ3479"/>
      <c r="AK3479"/>
    </row>
    <row r="3480" spans="1:37" ht="13.05" customHeight="1" x14ac:dyDescent="0.25">
      <c r="A3480"/>
      <c r="C3480" s="191"/>
      <c r="D3480" s="191"/>
      <c r="F3480"/>
      <c r="G3480"/>
      <c r="H3480" s="36"/>
      <c r="I3480" s="125"/>
      <c r="S3480" s="4"/>
      <c r="T3480" s="124"/>
      <c r="U3480" s="22"/>
      <c r="V3480" s="22"/>
      <c r="W3480" s="78"/>
      <c r="X3480" s="78"/>
      <c r="AF3480"/>
      <c r="AG3480"/>
      <c r="AH3480"/>
      <c r="AI3480"/>
      <c r="AJ3480"/>
      <c r="AK3480"/>
    </row>
    <row r="3481" spans="1:37" ht="13.05" customHeight="1" x14ac:dyDescent="0.25">
      <c r="A3481"/>
      <c r="C3481" s="191"/>
      <c r="D3481" s="191"/>
      <c r="F3481"/>
      <c r="G3481"/>
      <c r="H3481" s="36"/>
      <c r="I3481" s="125"/>
      <c r="S3481" s="4"/>
      <c r="T3481" s="124"/>
      <c r="U3481" s="22"/>
      <c r="V3481" s="22"/>
      <c r="W3481" s="78"/>
      <c r="X3481" s="78"/>
      <c r="AF3481"/>
      <c r="AG3481"/>
      <c r="AH3481"/>
      <c r="AI3481"/>
      <c r="AJ3481"/>
      <c r="AK3481"/>
    </row>
    <row r="3482" spans="1:37" ht="13.05" customHeight="1" x14ac:dyDescent="0.25">
      <c r="A3482"/>
      <c r="C3482" s="191"/>
      <c r="D3482" s="191"/>
      <c r="F3482"/>
      <c r="G3482"/>
      <c r="H3482" s="36"/>
      <c r="I3482" s="125"/>
      <c r="S3482" s="4"/>
      <c r="T3482" s="124"/>
      <c r="U3482" s="22"/>
      <c r="V3482" s="22"/>
      <c r="W3482" s="78"/>
      <c r="X3482" s="78"/>
      <c r="AF3482"/>
      <c r="AG3482"/>
      <c r="AH3482"/>
      <c r="AI3482"/>
      <c r="AJ3482"/>
      <c r="AK3482"/>
    </row>
    <row r="3483" spans="1:37" ht="13.05" customHeight="1" x14ac:dyDescent="0.25">
      <c r="A3483"/>
      <c r="C3483" s="191"/>
      <c r="D3483" s="191"/>
      <c r="F3483"/>
      <c r="G3483"/>
      <c r="H3483" s="36"/>
      <c r="I3483" s="125"/>
      <c r="S3483" s="4"/>
      <c r="T3483" s="124"/>
      <c r="U3483" s="22"/>
      <c r="V3483" s="22"/>
      <c r="W3483" s="78"/>
      <c r="X3483" s="78"/>
      <c r="AF3483"/>
      <c r="AG3483"/>
      <c r="AH3483"/>
      <c r="AI3483"/>
      <c r="AJ3483"/>
      <c r="AK3483"/>
    </row>
    <row r="3484" spans="1:37" ht="13.05" customHeight="1" x14ac:dyDescent="0.25">
      <c r="A3484"/>
      <c r="C3484" s="191"/>
      <c r="D3484" s="191"/>
      <c r="F3484"/>
      <c r="G3484"/>
      <c r="H3484" s="36"/>
      <c r="I3484" s="125"/>
      <c r="S3484" s="4"/>
      <c r="T3484" s="124"/>
      <c r="U3484" s="22"/>
      <c r="V3484" s="22"/>
      <c r="W3484" s="78"/>
      <c r="X3484" s="78"/>
      <c r="AF3484"/>
      <c r="AG3484"/>
      <c r="AH3484"/>
      <c r="AI3484"/>
      <c r="AJ3484"/>
      <c r="AK3484"/>
    </row>
    <row r="3485" spans="1:37" ht="13.05" customHeight="1" x14ac:dyDescent="0.25">
      <c r="A3485"/>
      <c r="C3485" s="191"/>
      <c r="D3485" s="191"/>
      <c r="F3485"/>
      <c r="G3485"/>
      <c r="H3485" s="36"/>
      <c r="I3485" s="125"/>
      <c r="S3485" s="4"/>
      <c r="T3485" s="124"/>
      <c r="U3485" s="22"/>
      <c r="V3485" s="22"/>
      <c r="W3485" s="78"/>
      <c r="X3485" s="78"/>
      <c r="AF3485"/>
      <c r="AG3485"/>
      <c r="AH3485"/>
      <c r="AI3485"/>
      <c r="AJ3485"/>
      <c r="AK3485"/>
    </row>
    <row r="3486" spans="1:37" ht="13.05" customHeight="1" x14ac:dyDescent="0.25">
      <c r="A3486"/>
      <c r="C3486" s="191"/>
      <c r="D3486" s="191"/>
      <c r="F3486"/>
      <c r="G3486"/>
      <c r="H3486" s="36"/>
      <c r="I3486" s="125"/>
      <c r="S3486" s="4"/>
      <c r="T3486" s="124"/>
      <c r="U3486" s="22"/>
      <c r="V3486" s="22"/>
      <c r="W3486" s="78"/>
      <c r="X3486" s="78"/>
      <c r="AF3486"/>
      <c r="AG3486"/>
      <c r="AH3486"/>
      <c r="AI3486"/>
      <c r="AJ3486"/>
      <c r="AK3486"/>
    </row>
    <row r="3487" spans="1:37" ht="13.05" customHeight="1" x14ac:dyDescent="0.25">
      <c r="A3487"/>
      <c r="C3487" s="191"/>
      <c r="D3487" s="191"/>
      <c r="F3487"/>
      <c r="G3487"/>
      <c r="H3487" s="36"/>
      <c r="I3487" s="125"/>
      <c r="S3487" s="4"/>
      <c r="T3487" s="124"/>
      <c r="U3487" s="22"/>
      <c r="V3487" s="22"/>
      <c r="W3487" s="78"/>
      <c r="X3487" s="78"/>
      <c r="AF3487"/>
      <c r="AG3487"/>
      <c r="AH3487"/>
      <c r="AI3487"/>
      <c r="AJ3487"/>
      <c r="AK3487"/>
    </row>
    <row r="3488" spans="1:37" ht="13.05" customHeight="1" x14ac:dyDescent="0.25">
      <c r="A3488"/>
      <c r="C3488" s="191"/>
      <c r="D3488" s="191"/>
      <c r="F3488"/>
      <c r="G3488"/>
      <c r="H3488" s="36"/>
      <c r="I3488" s="125"/>
      <c r="S3488" s="4"/>
      <c r="T3488" s="124"/>
      <c r="U3488" s="22"/>
      <c r="V3488" s="22"/>
      <c r="W3488" s="78"/>
      <c r="X3488" s="78"/>
      <c r="AF3488"/>
      <c r="AG3488"/>
      <c r="AH3488"/>
      <c r="AI3488"/>
      <c r="AJ3488"/>
      <c r="AK3488"/>
    </row>
    <row r="3489" spans="1:37" ht="13.05" customHeight="1" x14ac:dyDescent="0.25">
      <c r="A3489"/>
      <c r="C3489" s="191"/>
      <c r="D3489" s="191"/>
      <c r="F3489"/>
      <c r="G3489"/>
      <c r="H3489" s="36"/>
      <c r="I3489" s="125"/>
      <c r="S3489" s="4"/>
      <c r="T3489" s="124"/>
      <c r="U3489" s="22"/>
      <c r="V3489" s="22"/>
      <c r="W3489" s="78"/>
      <c r="X3489" s="78"/>
      <c r="AF3489"/>
      <c r="AG3489"/>
      <c r="AH3489"/>
      <c r="AI3489"/>
      <c r="AJ3489"/>
      <c r="AK3489"/>
    </row>
    <row r="3490" spans="1:37" ht="13.05" customHeight="1" x14ac:dyDescent="0.25">
      <c r="A3490"/>
      <c r="C3490" s="191"/>
      <c r="D3490" s="191"/>
      <c r="F3490"/>
      <c r="G3490"/>
      <c r="H3490" s="36"/>
      <c r="I3490" s="125"/>
      <c r="S3490" s="4"/>
      <c r="T3490" s="124"/>
      <c r="U3490" s="22"/>
      <c r="V3490" s="22"/>
      <c r="W3490" s="78"/>
      <c r="X3490" s="78"/>
      <c r="AF3490"/>
      <c r="AG3490"/>
      <c r="AH3490"/>
      <c r="AI3490"/>
      <c r="AJ3490"/>
      <c r="AK3490"/>
    </row>
    <row r="3491" spans="1:37" ht="13.05" customHeight="1" x14ac:dyDescent="0.25">
      <c r="A3491"/>
      <c r="C3491" s="191"/>
      <c r="D3491" s="191"/>
      <c r="F3491"/>
      <c r="G3491"/>
      <c r="H3491" s="36"/>
      <c r="I3491" s="125"/>
      <c r="S3491" s="4"/>
      <c r="T3491" s="124"/>
      <c r="U3491" s="22"/>
      <c r="V3491" s="22"/>
      <c r="W3491" s="78"/>
      <c r="X3491" s="78"/>
      <c r="AF3491"/>
      <c r="AG3491"/>
      <c r="AH3491"/>
      <c r="AI3491"/>
      <c r="AJ3491"/>
      <c r="AK3491"/>
    </row>
    <row r="3492" spans="1:37" ht="13.05" customHeight="1" x14ac:dyDescent="0.25">
      <c r="A3492"/>
      <c r="C3492" s="191"/>
      <c r="D3492" s="191"/>
      <c r="F3492"/>
      <c r="G3492"/>
      <c r="H3492" s="36"/>
      <c r="I3492" s="125"/>
      <c r="S3492" s="4"/>
      <c r="T3492" s="124"/>
      <c r="U3492" s="22"/>
      <c r="V3492" s="22"/>
      <c r="W3492" s="78"/>
      <c r="X3492" s="78"/>
      <c r="AF3492"/>
      <c r="AG3492"/>
      <c r="AH3492"/>
      <c r="AI3492"/>
      <c r="AJ3492"/>
      <c r="AK3492"/>
    </row>
    <row r="3493" spans="1:37" ht="13.05" customHeight="1" x14ac:dyDescent="0.25">
      <c r="A3493"/>
      <c r="C3493" s="191"/>
      <c r="D3493" s="191"/>
      <c r="F3493"/>
      <c r="G3493"/>
      <c r="H3493" s="36"/>
      <c r="I3493" s="125"/>
      <c r="S3493" s="4"/>
      <c r="T3493" s="124"/>
      <c r="U3493" s="22"/>
      <c r="V3493" s="22"/>
      <c r="W3493" s="78"/>
      <c r="X3493" s="78"/>
      <c r="AF3493"/>
      <c r="AG3493"/>
      <c r="AH3493"/>
      <c r="AI3493"/>
      <c r="AJ3493"/>
      <c r="AK3493"/>
    </row>
    <row r="3494" spans="1:37" ht="13.05" customHeight="1" x14ac:dyDescent="0.25">
      <c r="A3494"/>
      <c r="C3494" s="191"/>
      <c r="D3494" s="191"/>
      <c r="F3494"/>
      <c r="G3494"/>
      <c r="H3494" s="36"/>
      <c r="I3494" s="125"/>
      <c r="S3494" s="4"/>
      <c r="T3494" s="124"/>
      <c r="U3494" s="22"/>
      <c r="V3494" s="22"/>
      <c r="W3494" s="78"/>
      <c r="X3494" s="78"/>
      <c r="AF3494"/>
      <c r="AG3494"/>
      <c r="AH3494"/>
      <c r="AI3494"/>
      <c r="AJ3494"/>
      <c r="AK3494"/>
    </row>
    <row r="3495" spans="1:37" ht="13.05" customHeight="1" x14ac:dyDescent="0.25">
      <c r="A3495"/>
      <c r="C3495" s="191"/>
      <c r="D3495" s="191"/>
      <c r="F3495"/>
      <c r="G3495"/>
      <c r="H3495" s="36"/>
      <c r="I3495" s="125"/>
      <c r="S3495" s="4"/>
      <c r="T3495" s="124"/>
      <c r="U3495" s="22"/>
      <c r="V3495" s="22"/>
      <c r="W3495" s="78"/>
      <c r="X3495" s="78"/>
      <c r="AF3495"/>
      <c r="AG3495"/>
      <c r="AH3495"/>
      <c r="AI3495"/>
      <c r="AJ3495"/>
      <c r="AK3495"/>
    </row>
    <row r="3496" spans="1:37" ht="13.05" customHeight="1" x14ac:dyDescent="0.25">
      <c r="A3496"/>
      <c r="C3496" s="191"/>
      <c r="D3496" s="191"/>
      <c r="F3496"/>
      <c r="G3496"/>
      <c r="H3496" s="36"/>
      <c r="I3496" s="125"/>
      <c r="S3496" s="4"/>
      <c r="T3496" s="124"/>
      <c r="U3496" s="22"/>
      <c r="V3496" s="22"/>
      <c r="W3496" s="78"/>
      <c r="X3496" s="78"/>
      <c r="AF3496"/>
      <c r="AG3496"/>
      <c r="AH3496"/>
      <c r="AI3496"/>
      <c r="AJ3496"/>
      <c r="AK3496"/>
    </row>
    <row r="3497" spans="1:37" ht="13.05" customHeight="1" x14ac:dyDescent="0.25">
      <c r="A3497"/>
      <c r="C3497" s="191"/>
      <c r="D3497" s="191"/>
      <c r="F3497"/>
      <c r="G3497"/>
      <c r="H3497" s="36"/>
      <c r="I3497" s="125"/>
      <c r="S3497" s="4"/>
      <c r="T3497" s="124"/>
      <c r="U3497" s="22"/>
      <c r="V3497" s="22"/>
      <c r="W3497" s="78"/>
      <c r="X3497" s="78"/>
      <c r="AF3497"/>
      <c r="AG3497"/>
      <c r="AH3497"/>
      <c r="AI3497"/>
      <c r="AJ3497"/>
      <c r="AK3497"/>
    </row>
    <row r="3498" spans="1:37" ht="13.05" customHeight="1" x14ac:dyDescent="0.25">
      <c r="A3498"/>
      <c r="C3498" s="191"/>
      <c r="D3498" s="191"/>
      <c r="F3498"/>
      <c r="G3498"/>
      <c r="H3498" s="36"/>
      <c r="I3498" s="125"/>
      <c r="S3498" s="4"/>
      <c r="T3498" s="124"/>
      <c r="U3498" s="22"/>
      <c r="V3498" s="22"/>
      <c r="W3498" s="78"/>
      <c r="X3498" s="78"/>
      <c r="AF3498"/>
      <c r="AG3498"/>
      <c r="AH3498"/>
      <c r="AI3498"/>
      <c r="AJ3498"/>
      <c r="AK3498"/>
    </row>
    <row r="3499" spans="1:37" ht="13.05" customHeight="1" x14ac:dyDescent="0.25">
      <c r="A3499"/>
      <c r="C3499" s="191"/>
      <c r="D3499" s="191"/>
      <c r="F3499"/>
      <c r="G3499"/>
      <c r="H3499" s="36"/>
      <c r="I3499" s="125"/>
      <c r="S3499" s="4"/>
      <c r="T3499" s="124"/>
      <c r="U3499" s="22"/>
      <c r="V3499" s="22"/>
      <c r="W3499" s="78"/>
      <c r="X3499" s="78"/>
      <c r="AF3499"/>
      <c r="AG3499"/>
      <c r="AH3499"/>
      <c r="AI3499"/>
      <c r="AJ3499"/>
      <c r="AK3499"/>
    </row>
    <row r="3500" spans="1:37" ht="13.05" customHeight="1" x14ac:dyDescent="0.25">
      <c r="A3500"/>
      <c r="C3500" s="191"/>
      <c r="D3500" s="191"/>
      <c r="F3500"/>
      <c r="G3500"/>
      <c r="H3500" s="36"/>
      <c r="I3500" s="125"/>
      <c r="S3500" s="4"/>
      <c r="T3500" s="124"/>
      <c r="U3500" s="22"/>
      <c r="V3500" s="22"/>
      <c r="W3500" s="78"/>
      <c r="X3500" s="78"/>
      <c r="AF3500"/>
      <c r="AG3500"/>
      <c r="AH3500"/>
      <c r="AI3500"/>
      <c r="AJ3500"/>
      <c r="AK3500"/>
    </row>
    <row r="3501" spans="1:37" ht="13.05" customHeight="1" x14ac:dyDescent="0.25">
      <c r="A3501"/>
      <c r="C3501" s="191"/>
      <c r="D3501" s="191"/>
      <c r="F3501"/>
      <c r="G3501"/>
      <c r="H3501" s="36"/>
      <c r="I3501" s="125"/>
      <c r="S3501" s="4"/>
      <c r="T3501" s="124"/>
      <c r="U3501" s="22"/>
      <c r="V3501" s="22"/>
      <c r="W3501" s="78"/>
      <c r="X3501" s="78"/>
      <c r="AF3501"/>
      <c r="AG3501"/>
      <c r="AH3501"/>
      <c r="AI3501"/>
      <c r="AJ3501"/>
      <c r="AK3501"/>
    </row>
    <row r="3502" spans="1:37" ht="13.05" customHeight="1" x14ac:dyDescent="0.25">
      <c r="A3502"/>
      <c r="C3502" s="191"/>
      <c r="D3502" s="191"/>
      <c r="F3502"/>
      <c r="G3502"/>
      <c r="H3502" s="36"/>
      <c r="I3502" s="125"/>
      <c r="S3502" s="4"/>
      <c r="T3502" s="124"/>
      <c r="U3502" s="22"/>
      <c r="V3502" s="22"/>
      <c r="W3502" s="78"/>
      <c r="X3502" s="78"/>
      <c r="AF3502"/>
      <c r="AG3502"/>
      <c r="AH3502"/>
      <c r="AI3502"/>
      <c r="AJ3502"/>
      <c r="AK3502"/>
    </row>
    <row r="3503" spans="1:37" ht="13.05" customHeight="1" x14ac:dyDescent="0.25">
      <c r="A3503"/>
      <c r="C3503" s="191"/>
      <c r="D3503" s="191"/>
      <c r="F3503"/>
      <c r="G3503"/>
      <c r="H3503" s="36"/>
      <c r="I3503" s="125"/>
      <c r="S3503" s="4"/>
      <c r="T3503" s="124"/>
      <c r="U3503" s="22"/>
      <c r="V3503" s="22"/>
      <c r="W3503" s="78"/>
      <c r="X3503" s="78"/>
      <c r="AF3503"/>
      <c r="AG3503"/>
      <c r="AH3503"/>
      <c r="AI3503"/>
      <c r="AJ3503"/>
      <c r="AK3503"/>
    </row>
    <row r="3504" spans="1:37" ht="13.05" customHeight="1" x14ac:dyDescent="0.25">
      <c r="A3504"/>
      <c r="C3504" s="191"/>
      <c r="D3504" s="191"/>
      <c r="F3504"/>
      <c r="G3504"/>
      <c r="H3504" s="36"/>
      <c r="I3504" s="125"/>
      <c r="S3504" s="4"/>
      <c r="T3504" s="124"/>
      <c r="U3504" s="22"/>
      <c r="V3504" s="22"/>
      <c r="W3504" s="78"/>
      <c r="X3504" s="78"/>
      <c r="AF3504"/>
      <c r="AG3504"/>
      <c r="AH3504"/>
      <c r="AI3504"/>
      <c r="AJ3504"/>
      <c r="AK3504"/>
    </row>
    <row r="3505" spans="1:37" ht="13.05" customHeight="1" x14ac:dyDescent="0.25">
      <c r="A3505"/>
      <c r="C3505" s="191"/>
      <c r="D3505" s="191"/>
      <c r="F3505"/>
      <c r="G3505"/>
      <c r="H3505" s="36"/>
      <c r="I3505" s="125"/>
      <c r="S3505" s="4"/>
      <c r="T3505" s="124"/>
      <c r="U3505" s="22"/>
      <c r="V3505" s="22"/>
      <c r="W3505" s="78"/>
      <c r="X3505" s="78"/>
      <c r="AF3505"/>
      <c r="AG3505"/>
      <c r="AH3505"/>
      <c r="AI3505"/>
      <c r="AJ3505"/>
      <c r="AK3505"/>
    </row>
    <row r="3506" spans="1:37" ht="13.05" customHeight="1" x14ac:dyDescent="0.25">
      <c r="A3506"/>
      <c r="C3506" s="191"/>
      <c r="D3506" s="191"/>
      <c r="F3506"/>
      <c r="G3506"/>
      <c r="H3506" s="36"/>
      <c r="I3506" s="125"/>
      <c r="S3506" s="4"/>
      <c r="T3506" s="124"/>
      <c r="U3506" s="22"/>
      <c r="V3506" s="22"/>
      <c r="W3506" s="78"/>
      <c r="X3506" s="78"/>
      <c r="AF3506"/>
      <c r="AG3506"/>
      <c r="AH3506"/>
      <c r="AI3506"/>
      <c r="AJ3506"/>
      <c r="AK3506"/>
    </row>
    <row r="3507" spans="1:37" ht="13.05" customHeight="1" x14ac:dyDescent="0.25">
      <c r="A3507"/>
      <c r="C3507" s="191"/>
      <c r="D3507" s="191"/>
      <c r="F3507"/>
      <c r="G3507"/>
      <c r="H3507" s="36"/>
      <c r="I3507" s="125"/>
      <c r="S3507" s="4"/>
      <c r="T3507" s="124"/>
      <c r="U3507" s="22"/>
      <c r="V3507" s="22"/>
      <c r="W3507" s="78"/>
      <c r="X3507" s="78"/>
      <c r="AF3507"/>
      <c r="AG3507"/>
      <c r="AH3507"/>
      <c r="AI3507"/>
      <c r="AJ3507"/>
      <c r="AK3507"/>
    </row>
    <row r="3508" spans="1:37" ht="13.05" customHeight="1" x14ac:dyDescent="0.25">
      <c r="A3508"/>
      <c r="C3508" s="191"/>
      <c r="D3508" s="191"/>
      <c r="F3508"/>
      <c r="G3508"/>
      <c r="H3508" s="36"/>
      <c r="I3508" s="125"/>
      <c r="S3508" s="4"/>
      <c r="T3508" s="124"/>
      <c r="U3508" s="22"/>
      <c r="V3508" s="22"/>
      <c r="W3508" s="78"/>
      <c r="X3508" s="78"/>
      <c r="AF3508"/>
      <c r="AG3508"/>
      <c r="AH3508"/>
      <c r="AI3508"/>
      <c r="AJ3508"/>
      <c r="AK3508"/>
    </row>
    <row r="3509" spans="1:37" ht="13.05" customHeight="1" x14ac:dyDescent="0.25">
      <c r="A3509"/>
      <c r="C3509" s="191"/>
      <c r="D3509" s="191"/>
      <c r="F3509"/>
      <c r="G3509"/>
      <c r="H3509" s="36"/>
      <c r="I3509" s="125"/>
      <c r="S3509" s="4"/>
      <c r="T3509" s="124"/>
      <c r="U3509" s="22"/>
      <c r="V3509" s="22"/>
      <c r="W3509" s="78"/>
      <c r="X3509" s="78"/>
      <c r="AF3509"/>
      <c r="AG3509"/>
      <c r="AH3509"/>
      <c r="AI3509"/>
      <c r="AJ3509"/>
      <c r="AK3509"/>
    </row>
    <row r="3510" spans="1:37" ht="13.05" customHeight="1" x14ac:dyDescent="0.25">
      <c r="A3510"/>
      <c r="C3510" s="191"/>
      <c r="D3510" s="191"/>
      <c r="F3510"/>
      <c r="G3510"/>
      <c r="H3510" s="36"/>
      <c r="I3510" s="125"/>
      <c r="S3510" s="4"/>
      <c r="T3510" s="124"/>
      <c r="U3510" s="22"/>
      <c r="V3510" s="22"/>
      <c r="W3510" s="78"/>
      <c r="X3510" s="78"/>
      <c r="AF3510"/>
      <c r="AG3510"/>
      <c r="AH3510"/>
      <c r="AI3510"/>
      <c r="AJ3510"/>
      <c r="AK3510"/>
    </row>
    <row r="3511" spans="1:37" ht="13.05" customHeight="1" x14ac:dyDescent="0.25">
      <c r="A3511"/>
      <c r="C3511" s="191"/>
      <c r="D3511" s="191"/>
      <c r="F3511"/>
      <c r="G3511"/>
      <c r="H3511" s="36"/>
      <c r="I3511" s="125"/>
      <c r="S3511" s="4"/>
      <c r="T3511" s="124"/>
      <c r="U3511" s="22"/>
      <c r="V3511" s="22"/>
      <c r="W3511" s="78"/>
      <c r="X3511" s="78"/>
      <c r="AF3511"/>
      <c r="AG3511"/>
      <c r="AH3511"/>
      <c r="AI3511"/>
      <c r="AJ3511"/>
      <c r="AK3511"/>
    </row>
    <row r="3512" spans="1:37" ht="13.05" customHeight="1" x14ac:dyDescent="0.25">
      <c r="A3512"/>
      <c r="C3512" s="191"/>
      <c r="D3512" s="191"/>
      <c r="F3512"/>
      <c r="G3512"/>
      <c r="H3512" s="36"/>
      <c r="I3512" s="125"/>
      <c r="S3512" s="4"/>
      <c r="T3512" s="124"/>
      <c r="U3512" s="22"/>
      <c r="V3512" s="22"/>
      <c r="W3512" s="78"/>
      <c r="X3512" s="78"/>
      <c r="AF3512"/>
      <c r="AG3512"/>
      <c r="AH3512"/>
      <c r="AI3512"/>
      <c r="AJ3512"/>
      <c r="AK3512"/>
    </row>
    <row r="3513" spans="1:37" ht="13.05" customHeight="1" x14ac:dyDescent="0.25">
      <c r="A3513"/>
      <c r="C3513" s="191"/>
      <c r="D3513" s="191"/>
      <c r="F3513"/>
      <c r="G3513"/>
      <c r="H3513" s="36"/>
      <c r="I3513" s="125"/>
      <c r="S3513" s="4"/>
      <c r="T3513" s="124"/>
      <c r="U3513" s="22"/>
      <c r="V3513" s="22"/>
      <c r="W3513" s="78"/>
      <c r="X3513" s="78"/>
      <c r="AF3513"/>
      <c r="AG3513"/>
      <c r="AH3513"/>
      <c r="AI3513"/>
      <c r="AJ3513"/>
      <c r="AK3513"/>
    </row>
    <row r="3514" spans="1:37" ht="13.05" customHeight="1" x14ac:dyDescent="0.25">
      <c r="A3514"/>
      <c r="C3514" s="191"/>
      <c r="D3514" s="191"/>
      <c r="F3514"/>
      <c r="G3514"/>
      <c r="H3514" s="36"/>
      <c r="I3514" s="125"/>
      <c r="S3514" s="4"/>
      <c r="T3514" s="124"/>
      <c r="U3514" s="22"/>
      <c r="V3514" s="22"/>
      <c r="W3514" s="78"/>
      <c r="X3514" s="78"/>
      <c r="AF3514"/>
      <c r="AG3514"/>
      <c r="AH3514"/>
      <c r="AI3514"/>
      <c r="AJ3514"/>
      <c r="AK3514"/>
    </row>
    <row r="3515" spans="1:37" ht="13.05" customHeight="1" x14ac:dyDescent="0.25">
      <c r="A3515"/>
      <c r="C3515" s="191"/>
      <c r="D3515" s="191"/>
      <c r="F3515"/>
      <c r="G3515"/>
      <c r="H3515" s="36"/>
      <c r="I3515" s="125"/>
      <c r="S3515" s="4"/>
      <c r="T3515" s="124"/>
      <c r="U3515" s="22"/>
      <c r="V3515" s="22"/>
      <c r="W3515" s="78"/>
      <c r="X3515" s="78"/>
      <c r="AF3515"/>
      <c r="AG3515"/>
      <c r="AH3515"/>
      <c r="AI3515"/>
      <c r="AJ3515"/>
      <c r="AK3515"/>
    </row>
    <row r="3516" spans="1:37" ht="13.05" customHeight="1" x14ac:dyDescent="0.25">
      <c r="A3516"/>
      <c r="C3516" s="191"/>
      <c r="D3516" s="191"/>
      <c r="F3516"/>
      <c r="G3516"/>
      <c r="H3516" s="36"/>
      <c r="I3516" s="125"/>
      <c r="S3516" s="4"/>
      <c r="T3516" s="124"/>
      <c r="U3516" s="22"/>
      <c r="V3516" s="22"/>
      <c r="W3516" s="78"/>
      <c r="X3516" s="78"/>
      <c r="AF3516"/>
      <c r="AG3516"/>
      <c r="AH3516"/>
      <c r="AI3516"/>
      <c r="AJ3516"/>
      <c r="AK3516"/>
    </row>
    <row r="3517" spans="1:37" ht="13.05" customHeight="1" x14ac:dyDescent="0.25">
      <c r="A3517"/>
      <c r="C3517" s="191"/>
      <c r="D3517" s="191"/>
      <c r="F3517"/>
      <c r="G3517"/>
      <c r="H3517" s="36"/>
      <c r="I3517" s="125"/>
      <c r="S3517" s="4"/>
      <c r="T3517" s="124"/>
      <c r="U3517" s="22"/>
      <c r="V3517" s="22"/>
      <c r="W3517" s="78"/>
      <c r="X3517" s="78"/>
      <c r="AF3517"/>
      <c r="AG3517"/>
      <c r="AH3517"/>
      <c r="AI3517"/>
      <c r="AJ3517"/>
      <c r="AK3517"/>
    </row>
    <row r="3518" spans="1:37" ht="13.05" customHeight="1" x14ac:dyDescent="0.25">
      <c r="A3518"/>
      <c r="C3518" s="191"/>
      <c r="D3518" s="191"/>
      <c r="F3518"/>
      <c r="G3518"/>
      <c r="H3518" s="36"/>
      <c r="I3518" s="125"/>
      <c r="S3518" s="4"/>
      <c r="T3518" s="124"/>
      <c r="U3518" s="22"/>
      <c r="V3518" s="22"/>
      <c r="W3518" s="78"/>
      <c r="X3518" s="78"/>
      <c r="AF3518"/>
      <c r="AG3518"/>
      <c r="AH3518"/>
      <c r="AI3518"/>
      <c r="AJ3518"/>
      <c r="AK3518"/>
    </row>
    <row r="3519" spans="1:37" ht="13.05" customHeight="1" x14ac:dyDescent="0.25">
      <c r="A3519"/>
      <c r="C3519" s="191"/>
      <c r="D3519" s="191"/>
      <c r="F3519"/>
      <c r="G3519"/>
      <c r="H3519" s="36"/>
      <c r="I3519" s="125"/>
      <c r="S3519" s="4"/>
      <c r="T3519" s="124"/>
      <c r="U3519" s="22"/>
      <c r="V3519" s="22"/>
      <c r="W3519" s="78"/>
      <c r="X3519" s="78"/>
      <c r="AF3519"/>
      <c r="AG3519"/>
      <c r="AH3519"/>
      <c r="AI3519"/>
      <c r="AJ3519"/>
      <c r="AK3519"/>
    </row>
    <row r="3520" spans="1:37" ht="13.05" customHeight="1" x14ac:dyDescent="0.25">
      <c r="A3520"/>
      <c r="C3520" s="191"/>
      <c r="D3520" s="191"/>
      <c r="F3520"/>
      <c r="G3520"/>
      <c r="H3520" s="36"/>
      <c r="I3520" s="125"/>
      <c r="S3520" s="4"/>
      <c r="T3520" s="124"/>
      <c r="U3520" s="22"/>
      <c r="V3520" s="22"/>
      <c r="W3520" s="78"/>
      <c r="X3520" s="78"/>
      <c r="AF3520"/>
      <c r="AG3520"/>
      <c r="AH3520"/>
      <c r="AI3520"/>
      <c r="AJ3520"/>
      <c r="AK3520"/>
    </row>
    <row r="3521" spans="1:37" ht="13.05" customHeight="1" x14ac:dyDescent="0.25">
      <c r="A3521"/>
      <c r="C3521" s="191"/>
      <c r="D3521" s="191"/>
      <c r="F3521"/>
      <c r="G3521"/>
      <c r="H3521" s="36"/>
      <c r="I3521" s="125"/>
      <c r="S3521" s="4"/>
      <c r="T3521" s="124"/>
      <c r="U3521" s="22"/>
      <c r="V3521" s="22"/>
      <c r="W3521" s="78"/>
      <c r="X3521" s="78"/>
      <c r="AF3521"/>
      <c r="AG3521"/>
      <c r="AH3521"/>
      <c r="AI3521"/>
      <c r="AJ3521"/>
      <c r="AK3521"/>
    </row>
    <row r="3522" spans="1:37" ht="13.05" customHeight="1" x14ac:dyDescent="0.25">
      <c r="A3522"/>
      <c r="C3522" s="191"/>
      <c r="D3522" s="191"/>
      <c r="F3522"/>
      <c r="G3522"/>
      <c r="H3522" s="36"/>
      <c r="I3522" s="125"/>
      <c r="S3522" s="4"/>
      <c r="T3522" s="124"/>
      <c r="U3522" s="22"/>
      <c r="V3522" s="22"/>
      <c r="W3522" s="78"/>
      <c r="X3522" s="78"/>
      <c r="AF3522"/>
      <c r="AG3522"/>
      <c r="AH3522"/>
      <c r="AI3522"/>
      <c r="AJ3522"/>
      <c r="AK3522"/>
    </row>
    <row r="3523" spans="1:37" ht="13.05" customHeight="1" x14ac:dyDescent="0.25">
      <c r="A3523"/>
      <c r="C3523" s="191"/>
      <c r="D3523" s="191"/>
      <c r="F3523"/>
      <c r="G3523"/>
      <c r="H3523" s="36"/>
      <c r="I3523" s="125"/>
      <c r="S3523" s="4"/>
      <c r="T3523" s="124"/>
      <c r="U3523" s="22"/>
      <c r="V3523" s="22"/>
      <c r="W3523" s="78"/>
      <c r="X3523" s="78"/>
      <c r="AF3523"/>
      <c r="AG3523"/>
      <c r="AH3523"/>
      <c r="AI3523"/>
      <c r="AJ3523"/>
      <c r="AK3523"/>
    </row>
    <row r="3524" spans="1:37" ht="13.05" customHeight="1" x14ac:dyDescent="0.25">
      <c r="A3524"/>
      <c r="C3524" s="191"/>
      <c r="D3524" s="191"/>
      <c r="F3524"/>
      <c r="G3524"/>
      <c r="H3524" s="36"/>
      <c r="I3524" s="125"/>
      <c r="S3524" s="4"/>
      <c r="T3524" s="124"/>
      <c r="U3524" s="22"/>
      <c r="V3524" s="22"/>
      <c r="W3524" s="78"/>
      <c r="X3524" s="78"/>
      <c r="AF3524"/>
      <c r="AG3524"/>
      <c r="AH3524"/>
      <c r="AI3524"/>
      <c r="AJ3524"/>
      <c r="AK3524"/>
    </row>
    <row r="3525" spans="1:37" ht="13.05" customHeight="1" x14ac:dyDescent="0.25">
      <c r="A3525"/>
      <c r="C3525" s="191"/>
      <c r="D3525" s="191"/>
      <c r="F3525"/>
      <c r="G3525"/>
      <c r="H3525" s="36"/>
      <c r="I3525" s="125"/>
      <c r="S3525" s="4"/>
      <c r="T3525" s="124"/>
      <c r="U3525" s="22"/>
      <c r="V3525" s="22"/>
      <c r="W3525" s="78"/>
      <c r="X3525" s="78"/>
      <c r="AF3525"/>
      <c r="AG3525"/>
      <c r="AH3525"/>
      <c r="AI3525"/>
      <c r="AJ3525"/>
      <c r="AK3525"/>
    </row>
    <row r="3526" spans="1:37" ht="13.05" customHeight="1" x14ac:dyDescent="0.25">
      <c r="A3526"/>
      <c r="C3526" s="191"/>
      <c r="D3526" s="191"/>
      <c r="F3526"/>
      <c r="G3526"/>
      <c r="H3526" s="36"/>
      <c r="I3526" s="125"/>
      <c r="S3526" s="4"/>
      <c r="T3526" s="124"/>
      <c r="U3526" s="22"/>
      <c r="V3526" s="22"/>
      <c r="W3526" s="78"/>
      <c r="X3526" s="78"/>
      <c r="AF3526"/>
      <c r="AG3526"/>
      <c r="AH3526"/>
      <c r="AI3526"/>
      <c r="AJ3526"/>
      <c r="AK3526"/>
    </row>
    <row r="3527" spans="1:37" ht="13.05" customHeight="1" x14ac:dyDescent="0.25">
      <c r="A3527"/>
      <c r="C3527" s="191"/>
      <c r="D3527" s="191"/>
      <c r="F3527"/>
      <c r="G3527"/>
      <c r="H3527" s="36"/>
      <c r="I3527" s="125"/>
      <c r="S3527" s="4"/>
      <c r="T3527" s="124"/>
      <c r="U3527" s="22"/>
      <c r="V3527" s="22"/>
      <c r="W3527" s="78"/>
      <c r="X3527" s="78"/>
      <c r="AF3527"/>
      <c r="AG3527"/>
      <c r="AH3527"/>
      <c r="AI3527"/>
      <c r="AJ3527"/>
      <c r="AK3527"/>
    </row>
    <row r="3528" spans="1:37" ht="13.05" customHeight="1" x14ac:dyDescent="0.25">
      <c r="A3528"/>
      <c r="C3528" s="191"/>
      <c r="D3528" s="191"/>
      <c r="F3528"/>
      <c r="G3528"/>
      <c r="H3528" s="36"/>
      <c r="I3528" s="125"/>
      <c r="S3528" s="4"/>
      <c r="T3528" s="124"/>
      <c r="U3528" s="22"/>
      <c r="V3528" s="22"/>
      <c r="W3528" s="78"/>
      <c r="X3528" s="78"/>
      <c r="AF3528"/>
      <c r="AG3528"/>
      <c r="AH3528"/>
      <c r="AI3528"/>
      <c r="AJ3528"/>
      <c r="AK3528"/>
    </row>
    <row r="3529" spans="1:37" ht="13.05" customHeight="1" x14ac:dyDescent="0.25">
      <c r="A3529"/>
      <c r="C3529" s="191"/>
      <c r="D3529" s="191"/>
      <c r="F3529"/>
      <c r="G3529"/>
      <c r="H3529" s="36"/>
      <c r="I3529" s="125"/>
      <c r="S3529" s="4"/>
      <c r="T3529" s="124"/>
      <c r="U3529" s="22"/>
      <c r="V3529" s="22"/>
      <c r="W3529" s="78"/>
      <c r="X3529" s="78"/>
      <c r="AF3529"/>
      <c r="AG3529"/>
      <c r="AH3529"/>
      <c r="AI3529"/>
      <c r="AJ3529"/>
      <c r="AK3529"/>
    </row>
    <row r="3530" spans="1:37" ht="13.05" customHeight="1" x14ac:dyDescent="0.25">
      <c r="A3530"/>
      <c r="C3530" s="191"/>
      <c r="D3530" s="191"/>
      <c r="F3530"/>
      <c r="G3530"/>
      <c r="H3530" s="36"/>
      <c r="I3530" s="125"/>
      <c r="S3530" s="4"/>
      <c r="T3530" s="124"/>
      <c r="U3530" s="22"/>
      <c r="V3530" s="22"/>
      <c r="W3530" s="78"/>
      <c r="X3530" s="78"/>
      <c r="AF3530"/>
      <c r="AG3530"/>
      <c r="AH3530"/>
      <c r="AI3530"/>
      <c r="AJ3530"/>
      <c r="AK3530"/>
    </row>
    <row r="3531" spans="1:37" ht="13.05" customHeight="1" x14ac:dyDescent="0.25">
      <c r="A3531"/>
      <c r="C3531" s="191"/>
      <c r="D3531" s="191"/>
      <c r="F3531"/>
      <c r="G3531"/>
      <c r="H3531" s="36"/>
      <c r="I3531" s="125"/>
      <c r="S3531" s="4"/>
      <c r="T3531" s="124"/>
      <c r="U3531" s="22"/>
      <c r="V3531" s="22"/>
      <c r="W3531" s="78"/>
      <c r="X3531" s="78"/>
      <c r="AF3531"/>
      <c r="AG3531"/>
      <c r="AH3531"/>
      <c r="AI3531"/>
      <c r="AJ3531"/>
      <c r="AK3531"/>
    </row>
    <row r="3532" spans="1:37" ht="13.05" customHeight="1" x14ac:dyDescent="0.25">
      <c r="A3532"/>
      <c r="C3532" s="191"/>
      <c r="D3532" s="191"/>
      <c r="F3532"/>
      <c r="G3532"/>
      <c r="H3532" s="36"/>
      <c r="I3532" s="125"/>
      <c r="S3532" s="4"/>
      <c r="T3532" s="124"/>
      <c r="U3532" s="22"/>
      <c r="V3532" s="22"/>
      <c r="W3532" s="78"/>
      <c r="X3532" s="78"/>
      <c r="AF3532"/>
      <c r="AG3532"/>
      <c r="AH3532"/>
      <c r="AI3532"/>
      <c r="AJ3532"/>
      <c r="AK3532"/>
    </row>
    <row r="3533" spans="1:37" ht="13.05" customHeight="1" x14ac:dyDescent="0.25">
      <c r="A3533"/>
      <c r="C3533" s="191"/>
      <c r="D3533" s="191"/>
      <c r="F3533"/>
      <c r="G3533"/>
      <c r="H3533" s="36"/>
      <c r="I3533" s="125"/>
      <c r="S3533" s="4"/>
      <c r="T3533" s="124"/>
      <c r="U3533" s="22"/>
      <c r="V3533" s="22"/>
      <c r="W3533" s="78"/>
      <c r="X3533" s="78"/>
      <c r="AF3533"/>
      <c r="AG3533"/>
      <c r="AH3533"/>
      <c r="AI3533"/>
      <c r="AJ3533"/>
      <c r="AK3533"/>
    </row>
    <row r="3534" spans="1:37" ht="13.05" customHeight="1" x14ac:dyDescent="0.25">
      <c r="A3534"/>
      <c r="C3534" s="191"/>
      <c r="D3534" s="191"/>
      <c r="F3534"/>
      <c r="G3534"/>
      <c r="H3534" s="36"/>
      <c r="I3534" s="125"/>
      <c r="S3534" s="4"/>
      <c r="T3534" s="124"/>
      <c r="U3534" s="22"/>
      <c r="V3534" s="22"/>
      <c r="W3534" s="78"/>
      <c r="X3534" s="78"/>
      <c r="AF3534"/>
      <c r="AG3534"/>
      <c r="AH3534"/>
      <c r="AI3534"/>
      <c r="AJ3534"/>
      <c r="AK3534"/>
    </row>
    <row r="3535" spans="1:37" ht="13.05" customHeight="1" x14ac:dyDescent="0.25">
      <c r="A3535"/>
      <c r="C3535" s="191"/>
      <c r="D3535" s="191"/>
      <c r="F3535"/>
      <c r="G3535"/>
      <c r="H3535" s="36"/>
      <c r="I3535" s="125"/>
      <c r="S3535" s="4"/>
      <c r="T3535" s="124"/>
      <c r="U3535" s="22"/>
      <c r="V3535" s="22"/>
      <c r="W3535" s="78"/>
      <c r="X3535" s="78"/>
      <c r="AF3535"/>
      <c r="AG3535"/>
      <c r="AH3535"/>
      <c r="AI3535"/>
      <c r="AJ3535"/>
      <c r="AK3535"/>
    </row>
    <row r="3536" spans="1:37" ht="13.05" customHeight="1" x14ac:dyDescent="0.25">
      <c r="A3536"/>
      <c r="C3536" s="191"/>
      <c r="D3536" s="191"/>
      <c r="F3536"/>
      <c r="G3536"/>
      <c r="H3536" s="36"/>
      <c r="I3536" s="125"/>
      <c r="S3536" s="4"/>
      <c r="T3536" s="124"/>
      <c r="U3536" s="22"/>
      <c r="V3536" s="22"/>
      <c r="W3536" s="78"/>
      <c r="X3536" s="78"/>
      <c r="AF3536"/>
      <c r="AG3536"/>
      <c r="AH3536"/>
      <c r="AI3536"/>
      <c r="AJ3536"/>
      <c r="AK3536"/>
    </row>
    <row r="3537" spans="1:37" ht="13.05" customHeight="1" x14ac:dyDescent="0.25">
      <c r="A3537"/>
      <c r="C3537" s="191"/>
      <c r="D3537" s="191"/>
      <c r="F3537"/>
      <c r="G3537"/>
      <c r="H3537" s="36"/>
      <c r="I3537" s="125"/>
      <c r="S3537" s="4"/>
      <c r="T3537" s="124"/>
      <c r="U3537" s="22"/>
      <c r="V3537" s="22"/>
      <c r="W3537" s="78"/>
      <c r="X3537" s="78"/>
      <c r="AF3537"/>
      <c r="AG3537"/>
      <c r="AH3537"/>
      <c r="AI3537"/>
      <c r="AJ3537"/>
      <c r="AK3537"/>
    </row>
    <row r="3538" spans="1:37" ht="13.05" customHeight="1" x14ac:dyDescent="0.25">
      <c r="A3538"/>
      <c r="C3538" s="191"/>
      <c r="D3538" s="191"/>
      <c r="F3538"/>
      <c r="G3538"/>
      <c r="H3538" s="36"/>
      <c r="I3538" s="125"/>
      <c r="S3538" s="4"/>
      <c r="T3538" s="124"/>
      <c r="U3538" s="22"/>
      <c r="V3538" s="22"/>
      <c r="W3538" s="78"/>
      <c r="X3538" s="78"/>
      <c r="AF3538"/>
      <c r="AG3538"/>
      <c r="AH3538"/>
      <c r="AI3538"/>
      <c r="AJ3538"/>
      <c r="AK3538"/>
    </row>
    <row r="3539" spans="1:37" ht="13.05" customHeight="1" x14ac:dyDescent="0.25">
      <c r="A3539"/>
      <c r="C3539" s="191"/>
      <c r="D3539" s="191"/>
      <c r="F3539"/>
      <c r="G3539"/>
      <c r="H3539" s="36"/>
      <c r="I3539" s="125"/>
      <c r="S3539" s="4"/>
      <c r="T3539" s="124"/>
      <c r="U3539" s="22"/>
      <c r="V3539" s="22"/>
      <c r="W3539" s="78"/>
      <c r="X3539" s="78"/>
      <c r="AF3539"/>
      <c r="AG3539"/>
      <c r="AH3539"/>
      <c r="AI3539"/>
      <c r="AJ3539"/>
      <c r="AK3539"/>
    </row>
    <row r="3540" spans="1:37" ht="13.05" customHeight="1" x14ac:dyDescent="0.25">
      <c r="A3540"/>
      <c r="C3540" s="191"/>
      <c r="D3540" s="191"/>
      <c r="F3540"/>
      <c r="G3540"/>
      <c r="H3540" s="36"/>
      <c r="I3540" s="125"/>
      <c r="S3540" s="4"/>
      <c r="T3540" s="124"/>
      <c r="U3540" s="22"/>
      <c r="V3540" s="22"/>
      <c r="W3540" s="78"/>
      <c r="X3540" s="78"/>
      <c r="AF3540"/>
      <c r="AG3540"/>
      <c r="AH3540"/>
      <c r="AI3540"/>
      <c r="AJ3540"/>
      <c r="AK3540"/>
    </row>
    <row r="3541" spans="1:37" ht="13.05" customHeight="1" x14ac:dyDescent="0.25">
      <c r="A3541"/>
      <c r="C3541" s="191"/>
      <c r="D3541" s="191"/>
      <c r="F3541"/>
      <c r="G3541"/>
      <c r="H3541" s="36"/>
      <c r="I3541" s="125"/>
      <c r="S3541" s="4"/>
      <c r="T3541" s="124"/>
      <c r="U3541" s="22"/>
      <c r="V3541" s="22"/>
      <c r="W3541" s="78"/>
      <c r="X3541" s="78"/>
      <c r="AF3541"/>
      <c r="AG3541"/>
      <c r="AH3541"/>
      <c r="AI3541"/>
      <c r="AJ3541"/>
      <c r="AK3541"/>
    </row>
    <row r="3542" spans="1:37" ht="13.05" customHeight="1" x14ac:dyDescent="0.25">
      <c r="A3542"/>
      <c r="C3542" s="191"/>
      <c r="D3542" s="191"/>
      <c r="F3542"/>
      <c r="G3542"/>
      <c r="H3542" s="36"/>
      <c r="I3542" s="125"/>
      <c r="S3542" s="4"/>
      <c r="T3542" s="124"/>
      <c r="U3542" s="22"/>
      <c r="V3542" s="22"/>
      <c r="W3542" s="78"/>
      <c r="X3542" s="78"/>
      <c r="AF3542"/>
      <c r="AG3542"/>
      <c r="AH3542"/>
      <c r="AI3542"/>
      <c r="AJ3542"/>
      <c r="AK3542"/>
    </row>
    <row r="3543" spans="1:37" ht="13.05" customHeight="1" x14ac:dyDescent="0.25">
      <c r="A3543"/>
      <c r="C3543" s="191"/>
      <c r="D3543" s="191"/>
      <c r="F3543"/>
      <c r="G3543"/>
      <c r="H3543" s="36"/>
      <c r="I3543" s="125"/>
      <c r="S3543" s="4"/>
      <c r="T3543" s="124"/>
      <c r="U3543" s="22"/>
      <c r="V3543" s="22"/>
      <c r="W3543" s="78"/>
      <c r="X3543" s="78"/>
      <c r="AF3543"/>
      <c r="AG3543"/>
      <c r="AH3543"/>
      <c r="AI3543"/>
      <c r="AJ3543"/>
      <c r="AK3543"/>
    </row>
    <row r="3544" spans="1:37" ht="13.05" customHeight="1" x14ac:dyDescent="0.25">
      <c r="A3544"/>
      <c r="C3544" s="191"/>
      <c r="D3544" s="191"/>
      <c r="F3544"/>
      <c r="G3544"/>
      <c r="H3544" s="36"/>
      <c r="I3544" s="125"/>
      <c r="S3544" s="4"/>
      <c r="T3544" s="124"/>
      <c r="U3544" s="22"/>
      <c r="V3544" s="22"/>
      <c r="W3544" s="78"/>
      <c r="X3544" s="78"/>
      <c r="AF3544"/>
      <c r="AG3544"/>
      <c r="AH3544"/>
      <c r="AI3544"/>
      <c r="AJ3544"/>
      <c r="AK3544"/>
    </row>
    <row r="3545" spans="1:37" ht="13.05" customHeight="1" x14ac:dyDescent="0.25">
      <c r="A3545"/>
      <c r="C3545" s="191"/>
      <c r="D3545" s="191"/>
      <c r="F3545"/>
      <c r="G3545"/>
      <c r="H3545" s="36"/>
      <c r="I3545" s="125"/>
      <c r="S3545" s="4"/>
      <c r="T3545" s="124"/>
      <c r="U3545" s="22"/>
      <c r="V3545" s="22"/>
      <c r="W3545" s="78"/>
      <c r="X3545" s="78"/>
      <c r="AF3545"/>
      <c r="AG3545"/>
      <c r="AH3545"/>
      <c r="AI3545"/>
      <c r="AJ3545"/>
      <c r="AK3545"/>
    </row>
    <row r="3546" spans="1:37" ht="13.05" customHeight="1" x14ac:dyDescent="0.25">
      <c r="A3546"/>
      <c r="C3546" s="191"/>
      <c r="D3546" s="191"/>
      <c r="F3546"/>
      <c r="G3546"/>
      <c r="H3546" s="36"/>
      <c r="I3546" s="125"/>
      <c r="S3546" s="4"/>
      <c r="T3546" s="124"/>
      <c r="U3546" s="22"/>
      <c r="V3546" s="22"/>
      <c r="W3546" s="78"/>
      <c r="X3546" s="78"/>
      <c r="AF3546"/>
      <c r="AG3546"/>
      <c r="AH3546"/>
      <c r="AI3546"/>
      <c r="AJ3546"/>
      <c r="AK3546"/>
    </row>
    <row r="3547" spans="1:37" ht="13.05" customHeight="1" x14ac:dyDescent="0.25">
      <c r="A3547"/>
      <c r="C3547" s="191"/>
      <c r="D3547" s="191"/>
      <c r="F3547"/>
      <c r="G3547"/>
      <c r="H3547" s="36"/>
      <c r="I3547" s="125"/>
      <c r="S3547" s="4"/>
      <c r="T3547" s="124"/>
      <c r="U3547" s="22"/>
      <c r="V3547" s="22"/>
      <c r="W3547" s="78"/>
      <c r="X3547" s="78"/>
      <c r="AF3547"/>
      <c r="AG3547"/>
      <c r="AH3547"/>
      <c r="AI3547"/>
      <c r="AJ3547"/>
      <c r="AK3547"/>
    </row>
    <row r="3548" spans="1:37" ht="13.05" customHeight="1" x14ac:dyDescent="0.25">
      <c r="A3548"/>
      <c r="C3548" s="191"/>
      <c r="D3548" s="191"/>
      <c r="F3548"/>
      <c r="G3548"/>
      <c r="H3548" s="36"/>
      <c r="I3548" s="125"/>
      <c r="S3548" s="4"/>
      <c r="T3548" s="124"/>
      <c r="U3548" s="22"/>
      <c r="V3548" s="22"/>
      <c r="W3548" s="78"/>
      <c r="X3548" s="78"/>
      <c r="AF3548"/>
      <c r="AG3548"/>
      <c r="AH3548"/>
      <c r="AI3548"/>
      <c r="AJ3548"/>
      <c r="AK3548"/>
    </row>
    <row r="3549" spans="1:37" ht="13.05" customHeight="1" x14ac:dyDescent="0.25">
      <c r="A3549"/>
      <c r="C3549" s="191"/>
      <c r="D3549" s="191"/>
      <c r="F3549"/>
      <c r="G3549"/>
      <c r="H3549" s="36"/>
      <c r="I3549" s="125"/>
      <c r="S3549" s="4"/>
      <c r="T3549" s="124"/>
      <c r="U3549" s="22"/>
      <c r="V3549" s="22"/>
      <c r="W3549" s="78"/>
      <c r="X3549" s="78"/>
      <c r="AF3549"/>
      <c r="AG3549"/>
      <c r="AH3549"/>
      <c r="AI3549"/>
      <c r="AJ3549"/>
      <c r="AK3549"/>
    </row>
    <row r="3550" spans="1:37" ht="13.05" customHeight="1" x14ac:dyDescent="0.25">
      <c r="A3550"/>
      <c r="C3550" s="191"/>
      <c r="D3550" s="191"/>
      <c r="F3550"/>
      <c r="G3550"/>
      <c r="H3550" s="36"/>
      <c r="I3550" s="125"/>
      <c r="S3550" s="4"/>
      <c r="T3550" s="124"/>
      <c r="U3550" s="22"/>
      <c r="V3550" s="22"/>
      <c r="W3550" s="78"/>
      <c r="X3550" s="78"/>
      <c r="AF3550"/>
      <c r="AG3550"/>
      <c r="AH3550"/>
      <c r="AI3550"/>
      <c r="AJ3550"/>
      <c r="AK3550"/>
    </row>
    <row r="3551" spans="1:37" ht="13.05" customHeight="1" x14ac:dyDescent="0.25">
      <c r="A3551"/>
      <c r="C3551" s="191"/>
      <c r="D3551" s="191"/>
      <c r="F3551"/>
      <c r="G3551"/>
      <c r="H3551" s="36"/>
      <c r="I3551" s="125"/>
      <c r="S3551" s="4"/>
      <c r="T3551" s="124"/>
      <c r="U3551" s="22"/>
      <c r="V3551" s="22"/>
      <c r="W3551" s="78"/>
      <c r="X3551" s="78"/>
      <c r="AF3551"/>
      <c r="AG3551"/>
      <c r="AH3551"/>
      <c r="AI3551"/>
      <c r="AJ3551"/>
      <c r="AK3551"/>
    </row>
    <row r="3552" spans="1:37" ht="13.05" customHeight="1" x14ac:dyDescent="0.25">
      <c r="A3552"/>
      <c r="C3552" s="191"/>
      <c r="D3552" s="191"/>
      <c r="F3552"/>
      <c r="G3552"/>
      <c r="H3552" s="36"/>
      <c r="I3552" s="125"/>
      <c r="S3552" s="4"/>
      <c r="T3552" s="124"/>
      <c r="U3552" s="22"/>
      <c r="V3552" s="22"/>
      <c r="W3552" s="78"/>
      <c r="X3552" s="78"/>
      <c r="AF3552"/>
      <c r="AG3552"/>
      <c r="AH3552"/>
      <c r="AI3552"/>
      <c r="AJ3552"/>
      <c r="AK3552"/>
    </row>
    <row r="3553" spans="1:37" ht="13.05" customHeight="1" x14ac:dyDescent="0.25">
      <c r="A3553"/>
      <c r="C3553" s="191"/>
      <c r="D3553" s="191"/>
      <c r="F3553"/>
      <c r="G3553"/>
      <c r="H3553" s="36"/>
      <c r="I3553" s="125"/>
      <c r="S3553" s="4"/>
      <c r="T3553" s="124"/>
      <c r="U3553" s="22"/>
      <c r="V3553" s="22"/>
      <c r="W3553" s="78"/>
      <c r="X3553" s="78"/>
      <c r="AF3553"/>
      <c r="AG3553"/>
      <c r="AH3553"/>
      <c r="AI3553"/>
      <c r="AJ3553"/>
      <c r="AK3553"/>
    </row>
    <row r="3554" spans="1:37" ht="13.05" customHeight="1" x14ac:dyDescent="0.25">
      <c r="A3554"/>
      <c r="C3554" s="191"/>
      <c r="D3554" s="191"/>
      <c r="F3554"/>
      <c r="G3554"/>
      <c r="H3554" s="36"/>
      <c r="I3554" s="125"/>
      <c r="S3554" s="4"/>
      <c r="T3554" s="124"/>
      <c r="U3554" s="22"/>
      <c r="V3554" s="22"/>
      <c r="W3554" s="78"/>
      <c r="X3554" s="78"/>
      <c r="AF3554"/>
      <c r="AG3554"/>
      <c r="AH3554"/>
      <c r="AI3554"/>
      <c r="AJ3554"/>
      <c r="AK3554"/>
    </row>
    <row r="3555" spans="1:37" ht="13.05" customHeight="1" x14ac:dyDescent="0.25">
      <c r="A3555"/>
      <c r="C3555" s="191"/>
      <c r="D3555" s="191"/>
      <c r="F3555"/>
      <c r="G3555"/>
      <c r="H3555" s="36"/>
      <c r="I3555" s="125"/>
      <c r="S3555" s="4"/>
      <c r="T3555" s="124"/>
      <c r="U3555" s="22"/>
      <c r="V3555" s="22"/>
      <c r="W3555" s="78"/>
      <c r="X3555" s="78"/>
      <c r="AF3555"/>
      <c r="AG3555"/>
      <c r="AH3555"/>
      <c r="AI3555"/>
      <c r="AJ3555"/>
      <c r="AK3555"/>
    </row>
    <row r="3556" spans="1:37" ht="13.05" customHeight="1" x14ac:dyDescent="0.25">
      <c r="A3556"/>
      <c r="C3556" s="191"/>
      <c r="D3556" s="191"/>
      <c r="F3556"/>
      <c r="G3556"/>
      <c r="H3556" s="36"/>
      <c r="I3556" s="125"/>
      <c r="S3556" s="4"/>
      <c r="T3556" s="124"/>
      <c r="U3556" s="22"/>
      <c r="V3556" s="22"/>
      <c r="W3556" s="78"/>
      <c r="X3556" s="78"/>
      <c r="AF3556"/>
      <c r="AG3556"/>
      <c r="AH3556"/>
      <c r="AI3556"/>
      <c r="AJ3556"/>
      <c r="AK3556"/>
    </row>
    <row r="3557" spans="1:37" ht="13.05" customHeight="1" x14ac:dyDescent="0.25">
      <c r="A3557"/>
      <c r="C3557" s="191"/>
      <c r="D3557" s="191"/>
      <c r="F3557"/>
      <c r="G3557"/>
      <c r="H3557" s="36"/>
      <c r="I3557" s="125"/>
      <c r="S3557" s="4"/>
      <c r="T3557" s="124"/>
      <c r="U3557" s="22"/>
      <c r="V3557" s="22"/>
      <c r="W3557" s="78"/>
      <c r="X3557" s="78"/>
      <c r="AF3557"/>
      <c r="AG3557"/>
      <c r="AH3557"/>
      <c r="AI3557"/>
      <c r="AJ3557"/>
      <c r="AK3557"/>
    </row>
    <row r="3558" spans="1:37" ht="13.05" customHeight="1" x14ac:dyDescent="0.25">
      <c r="A3558"/>
      <c r="C3558" s="191"/>
      <c r="D3558" s="191"/>
      <c r="F3558"/>
      <c r="G3558"/>
      <c r="H3558" s="36"/>
      <c r="I3558" s="125"/>
      <c r="S3558" s="4"/>
      <c r="T3558" s="124"/>
      <c r="U3558" s="22"/>
      <c r="V3558" s="22"/>
      <c r="W3558" s="78"/>
      <c r="X3558" s="78"/>
      <c r="AF3558"/>
      <c r="AG3558"/>
      <c r="AH3558"/>
      <c r="AI3558"/>
      <c r="AJ3558"/>
      <c r="AK3558"/>
    </row>
    <row r="3559" spans="1:37" ht="13.05" customHeight="1" x14ac:dyDescent="0.25">
      <c r="A3559"/>
      <c r="C3559" s="191"/>
      <c r="D3559" s="191"/>
      <c r="F3559"/>
      <c r="G3559"/>
      <c r="H3559" s="36"/>
      <c r="I3559" s="125"/>
      <c r="S3559" s="4"/>
      <c r="T3559" s="124"/>
      <c r="U3559" s="22"/>
      <c r="V3559" s="22"/>
      <c r="W3559" s="78"/>
      <c r="X3559" s="78"/>
      <c r="AF3559"/>
      <c r="AG3559"/>
      <c r="AH3559"/>
      <c r="AI3559"/>
      <c r="AJ3559"/>
      <c r="AK3559"/>
    </row>
    <row r="3560" spans="1:37" ht="13.05" customHeight="1" x14ac:dyDescent="0.25">
      <c r="A3560"/>
      <c r="C3560" s="191"/>
      <c r="D3560" s="191"/>
      <c r="F3560"/>
      <c r="G3560"/>
      <c r="H3560" s="36"/>
      <c r="I3560" s="125"/>
      <c r="S3560" s="4"/>
      <c r="T3560" s="124"/>
      <c r="U3560" s="22"/>
      <c r="V3560" s="22"/>
      <c r="W3560" s="78"/>
      <c r="X3560" s="78"/>
      <c r="AF3560"/>
      <c r="AG3560"/>
      <c r="AH3560"/>
      <c r="AI3560"/>
      <c r="AJ3560"/>
      <c r="AK3560"/>
    </row>
    <row r="3561" spans="1:37" ht="13.05" customHeight="1" x14ac:dyDescent="0.25">
      <c r="A3561"/>
      <c r="C3561" s="191"/>
      <c r="D3561" s="191"/>
      <c r="F3561"/>
      <c r="G3561"/>
      <c r="H3561" s="36"/>
      <c r="I3561" s="125"/>
      <c r="S3561" s="4"/>
      <c r="T3561" s="124"/>
      <c r="U3561" s="22"/>
      <c r="V3561" s="22"/>
      <c r="W3561" s="78"/>
      <c r="X3561" s="78"/>
      <c r="AF3561"/>
      <c r="AG3561"/>
      <c r="AH3561"/>
      <c r="AI3561"/>
      <c r="AJ3561"/>
      <c r="AK3561"/>
    </row>
    <row r="3562" spans="1:37" ht="13.05" customHeight="1" x14ac:dyDescent="0.25">
      <c r="A3562"/>
      <c r="C3562" s="191"/>
      <c r="D3562" s="191"/>
      <c r="F3562"/>
      <c r="G3562"/>
      <c r="H3562" s="36"/>
      <c r="I3562" s="125"/>
      <c r="S3562" s="4"/>
      <c r="T3562" s="124"/>
      <c r="U3562" s="22"/>
      <c r="V3562" s="22"/>
      <c r="W3562" s="78"/>
      <c r="X3562" s="78"/>
      <c r="AF3562"/>
      <c r="AG3562"/>
      <c r="AH3562"/>
      <c r="AI3562"/>
      <c r="AJ3562"/>
      <c r="AK3562"/>
    </row>
    <row r="3563" spans="1:37" ht="13.05" customHeight="1" x14ac:dyDescent="0.25">
      <c r="A3563"/>
      <c r="C3563" s="191"/>
      <c r="D3563" s="191"/>
      <c r="F3563"/>
      <c r="G3563"/>
      <c r="H3563" s="36"/>
      <c r="I3563" s="125"/>
      <c r="S3563" s="4"/>
      <c r="T3563" s="124"/>
      <c r="U3563" s="22"/>
      <c r="V3563" s="22"/>
      <c r="W3563" s="78"/>
      <c r="X3563" s="78"/>
      <c r="AF3563"/>
      <c r="AG3563"/>
      <c r="AH3563"/>
      <c r="AI3563"/>
      <c r="AJ3563"/>
      <c r="AK3563"/>
    </row>
    <row r="3564" spans="1:37" ht="13.05" customHeight="1" x14ac:dyDescent="0.25">
      <c r="A3564"/>
      <c r="C3564" s="191"/>
      <c r="D3564" s="191"/>
      <c r="F3564"/>
      <c r="G3564"/>
      <c r="H3564" s="36"/>
      <c r="I3564" s="125"/>
      <c r="S3564" s="4"/>
      <c r="T3564" s="124"/>
      <c r="U3564" s="22"/>
      <c r="V3564" s="22"/>
      <c r="W3564" s="78"/>
      <c r="X3564" s="78"/>
      <c r="AF3564"/>
      <c r="AG3564"/>
      <c r="AH3564"/>
      <c r="AI3564"/>
      <c r="AJ3564"/>
      <c r="AK3564"/>
    </row>
    <row r="3565" spans="1:37" ht="13.05" customHeight="1" x14ac:dyDescent="0.25">
      <c r="A3565"/>
      <c r="C3565" s="191"/>
      <c r="D3565" s="191"/>
      <c r="F3565"/>
      <c r="G3565"/>
      <c r="H3565" s="36"/>
      <c r="I3565" s="125"/>
      <c r="S3565" s="4"/>
      <c r="T3565" s="124"/>
      <c r="U3565" s="22"/>
      <c r="V3565" s="22"/>
      <c r="W3565" s="78"/>
      <c r="X3565" s="78"/>
      <c r="AF3565"/>
      <c r="AG3565"/>
      <c r="AH3565"/>
      <c r="AI3565"/>
      <c r="AJ3565"/>
      <c r="AK3565"/>
    </row>
    <row r="3566" spans="1:37" ht="13.05" customHeight="1" x14ac:dyDescent="0.25">
      <c r="A3566"/>
      <c r="C3566" s="191"/>
      <c r="D3566" s="191"/>
      <c r="F3566"/>
      <c r="G3566"/>
      <c r="H3566" s="36"/>
      <c r="I3566" s="125"/>
      <c r="S3566" s="4"/>
      <c r="T3566" s="124"/>
      <c r="U3566" s="22"/>
      <c r="V3566" s="22"/>
      <c r="W3566" s="78"/>
      <c r="X3566" s="78"/>
      <c r="AF3566"/>
      <c r="AG3566"/>
      <c r="AH3566"/>
      <c r="AI3566"/>
      <c r="AJ3566"/>
      <c r="AK3566"/>
    </row>
    <row r="3567" spans="1:37" ht="13.05" customHeight="1" x14ac:dyDescent="0.25">
      <c r="A3567"/>
      <c r="C3567" s="191"/>
      <c r="D3567" s="191"/>
      <c r="F3567"/>
      <c r="G3567"/>
      <c r="H3567" s="36"/>
      <c r="I3567" s="125"/>
      <c r="S3567" s="4"/>
      <c r="T3567" s="124"/>
      <c r="U3567" s="22"/>
      <c r="V3567" s="22"/>
      <c r="W3567" s="78"/>
      <c r="X3567" s="78"/>
      <c r="AF3567"/>
      <c r="AG3567"/>
      <c r="AH3567"/>
      <c r="AI3567"/>
      <c r="AJ3567"/>
      <c r="AK3567"/>
    </row>
    <row r="3568" spans="1:37" ht="13.05" customHeight="1" x14ac:dyDescent="0.25">
      <c r="A3568"/>
      <c r="C3568" s="191"/>
      <c r="D3568" s="191"/>
      <c r="F3568"/>
      <c r="G3568"/>
      <c r="H3568" s="36"/>
      <c r="I3568" s="125"/>
      <c r="S3568" s="4"/>
      <c r="T3568" s="124"/>
      <c r="U3568" s="22"/>
      <c r="V3568" s="22"/>
      <c r="W3568" s="78"/>
      <c r="X3568" s="78"/>
      <c r="AF3568"/>
      <c r="AG3568"/>
      <c r="AH3568"/>
      <c r="AI3568"/>
      <c r="AJ3568"/>
      <c r="AK3568"/>
    </row>
    <row r="3569" spans="1:37" ht="13.05" customHeight="1" x14ac:dyDescent="0.25">
      <c r="A3569"/>
      <c r="C3569" s="191"/>
      <c r="D3569" s="191"/>
      <c r="F3569"/>
      <c r="G3569"/>
      <c r="H3569" s="36"/>
      <c r="I3569" s="125"/>
      <c r="S3569" s="4"/>
      <c r="T3569" s="124"/>
      <c r="U3569" s="22"/>
      <c r="V3569" s="22"/>
      <c r="W3569" s="78"/>
      <c r="X3569" s="78"/>
      <c r="AF3569"/>
      <c r="AG3569"/>
      <c r="AH3569"/>
      <c r="AI3569"/>
      <c r="AJ3569"/>
      <c r="AK3569"/>
    </row>
    <row r="3570" spans="1:37" ht="13.05" customHeight="1" x14ac:dyDescent="0.25">
      <c r="A3570"/>
      <c r="C3570" s="191"/>
      <c r="D3570" s="191"/>
      <c r="F3570"/>
      <c r="G3570"/>
      <c r="H3570" s="36"/>
      <c r="I3570" s="125"/>
      <c r="S3570" s="4"/>
      <c r="T3570" s="124"/>
      <c r="U3570" s="22"/>
      <c r="V3570" s="22"/>
      <c r="W3570" s="78"/>
      <c r="X3570" s="78"/>
      <c r="AF3570"/>
      <c r="AG3570"/>
      <c r="AH3570"/>
      <c r="AI3570"/>
      <c r="AJ3570"/>
      <c r="AK3570"/>
    </row>
    <row r="3571" spans="1:37" ht="13.05" customHeight="1" x14ac:dyDescent="0.25">
      <c r="A3571"/>
      <c r="C3571" s="191"/>
      <c r="D3571" s="191"/>
      <c r="F3571"/>
      <c r="G3571"/>
      <c r="H3571" s="36"/>
      <c r="I3571" s="125"/>
      <c r="S3571" s="4"/>
      <c r="T3571" s="124"/>
      <c r="U3571" s="22"/>
      <c r="V3571" s="22"/>
      <c r="W3571" s="78"/>
      <c r="X3571" s="78"/>
      <c r="AF3571"/>
      <c r="AG3571"/>
      <c r="AH3571"/>
      <c r="AI3571"/>
      <c r="AJ3571"/>
      <c r="AK3571"/>
    </row>
    <row r="3572" spans="1:37" ht="13.05" customHeight="1" x14ac:dyDescent="0.25">
      <c r="A3572"/>
      <c r="C3572" s="191"/>
      <c r="D3572" s="191"/>
      <c r="F3572"/>
      <c r="G3572"/>
      <c r="H3572" s="36"/>
      <c r="I3572" s="125"/>
      <c r="S3572" s="4"/>
      <c r="T3572" s="124"/>
      <c r="U3572" s="22"/>
      <c r="V3572" s="22"/>
      <c r="W3572" s="78"/>
      <c r="X3572" s="78"/>
      <c r="AF3572"/>
      <c r="AG3572"/>
      <c r="AH3572"/>
      <c r="AI3572"/>
      <c r="AJ3572"/>
      <c r="AK3572"/>
    </row>
    <row r="3573" spans="1:37" ht="13.05" customHeight="1" x14ac:dyDescent="0.25">
      <c r="A3573"/>
      <c r="C3573" s="191"/>
      <c r="D3573" s="191"/>
      <c r="F3573"/>
      <c r="G3573"/>
      <c r="H3573" s="36"/>
      <c r="I3573" s="125"/>
      <c r="S3573" s="4"/>
      <c r="T3573" s="124"/>
      <c r="U3573" s="22"/>
      <c r="V3573" s="22"/>
      <c r="W3573" s="78"/>
      <c r="X3573" s="78"/>
      <c r="AF3573"/>
      <c r="AG3573"/>
      <c r="AH3573"/>
      <c r="AI3573"/>
      <c r="AJ3573"/>
      <c r="AK3573"/>
    </row>
    <row r="3574" spans="1:37" ht="13.05" customHeight="1" x14ac:dyDescent="0.25">
      <c r="A3574"/>
      <c r="C3574" s="191"/>
      <c r="D3574" s="191"/>
      <c r="F3574"/>
      <c r="G3574"/>
      <c r="H3574" s="36"/>
      <c r="I3574" s="125"/>
      <c r="S3574" s="4"/>
      <c r="T3574" s="124"/>
      <c r="U3574" s="22"/>
      <c r="V3574" s="22"/>
      <c r="W3574" s="78"/>
      <c r="X3574" s="78"/>
      <c r="AF3574"/>
      <c r="AG3574"/>
      <c r="AH3574"/>
      <c r="AI3574"/>
      <c r="AJ3574"/>
      <c r="AK3574"/>
    </row>
    <row r="3575" spans="1:37" ht="13.05" customHeight="1" x14ac:dyDescent="0.25">
      <c r="A3575"/>
      <c r="C3575" s="191"/>
      <c r="D3575" s="191"/>
      <c r="F3575"/>
      <c r="G3575"/>
      <c r="H3575" s="36"/>
      <c r="I3575" s="125"/>
      <c r="S3575" s="4"/>
      <c r="T3575" s="124"/>
      <c r="U3575" s="22"/>
      <c r="V3575" s="22"/>
      <c r="W3575" s="78"/>
      <c r="X3575" s="78"/>
      <c r="AF3575"/>
      <c r="AG3575"/>
      <c r="AH3575"/>
      <c r="AI3575"/>
      <c r="AJ3575"/>
      <c r="AK3575"/>
    </row>
    <row r="3576" spans="1:37" ht="13.05" customHeight="1" x14ac:dyDescent="0.25">
      <c r="A3576"/>
      <c r="C3576" s="191"/>
      <c r="D3576" s="191"/>
      <c r="F3576"/>
      <c r="G3576"/>
      <c r="H3576" s="36"/>
      <c r="I3576" s="125"/>
      <c r="S3576" s="4"/>
      <c r="T3576" s="124"/>
      <c r="U3576" s="22"/>
      <c r="V3576" s="22"/>
      <c r="W3576" s="78"/>
      <c r="X3576" s="78"/>
      <c r="AF3576"/>
      <c r="AG3576"/>
      <c r="AH3576"/>
      <c r="AI3576"/>
      <c r="AJ3576"/>
      <c r="AK3576"/>
    </row>
    <row r="3577" spans="1:37" ht="13.05" customHeight="1" x14ac:dyDescent="0.25">
      <c r="A3577"/>
      <c r="C3577" s="191"/>
      <c r="D3577" s="191"/>
      <c r="F3577"/>
      <c r="G3577"/>
      <c r="H3577" s="36"/>
      <c r="I3577" s="125"/>
      <c r="S3577" s="4"/>
      <c r="T3577" s="124"/>
      <c r="U3577" s="22"/>
      <c r="V3577" s="22"/>
      <c r="W3577" s="78"/>
      <c r="X3577" s="78"/>
      <c r="AF3577"/>
      <c r="AG3577"/>
      <c r="AH3577"/>
      <c r="AI3577"/>
      <c r="AJ3577"/>
      <c r="AK3577"/>
    </row>
    <row r="3578" spans="1:37" ht="13.05" customHeight="1" x14ac:dyDescent="0.25">
      <c r="A3578"/>
      <c r="C3578" s="191"/>
      <c r="D3578" s="191"/>
      <c r="F3578"/>
      <c r="G3578"/>
      <c r="H3578" s="36"/>
      <c r="I3578" s="125"/>
      <c r="S3578" s="4"/>
      <c r="T3578" s="124"/>
      <c r="U3578" s="22"/>
      <c r="V3578" s="22"/>
      <c r="W3578" s="78"/>
      <c r="X3578" s="78"/>
      <c r="AF3578"/>
      <c r="AG3578"/>
      <c r="AH3578"/>
      <c r="AI3578"/>
      <c r="AJ3578"/>
      <c r="AK3578"/>
    </row>
    <row r="3579" spans="1:37" ht="13.05" customHeight="1" x14ac:dyDescent="0.25">
      <c r="A3579"/>
      <c r="C3579" s="191"/>
      <c r="D3579" s="191"/>
      <c r="F3579"/>
      <c r="G3579"/>
      <c r="H3579" s="36"/>
      <c r="I3579" s="125"/>
      <c r="S3579" s="4"/>
      <c r="T3579" s="124"/>
      <c r="U3579" s="22"/>
      <c r="V3579" s="22"/>
      <c r="W3579" s="78"/>
      <c r="X3579" s="78"/>
      <c r="AF3579"/>
      <c r="AG3579"/>
      <c r="AH3579"/>
      <c r="AI3579"/>
      <c r="AJ3579"/>
      <c r="AK3579"/>
    </row>
    <row r="3580" spans="1:37" ht="13.05" customHeight="1" x14ac:dyDescent="0.25">
      <c r="A3580"/>
      <c r="C3580" s="191"/>
      <c r="D3580" s="191"/>
      <c r="F3580"/>
      <c r="G3580"/>
      <c r="H3580" s="36"/>
      <c r="I3580" s="125"/>
      <c r="S3580" s="4"/>
      <c r="T3580" s="124"/>
      <c r="U3580" s="22"/>
      <c r="V3580" s="22"/>
      <c r="W3580" s="78"/>
      <c r="X3580" s="78"/>
      <c r="AF3580"/>
      <c r="AG3580"/>
      <c r="AH3580"/>
      <c r="AI3580"/>
      <c r="AJ3580"/>
      <c r="AK3580"/>
    </row>
    <row r="3581" spans="1:37" ht="13.05" customHeight="1" x14ac:dyDescent="0.25">
      <c r="A3581"/>
      <c r="C3581" s="191"/>
      <c r="D3581" s="191"/>
      <c r="F3581"/>
      <c r="G3581"/>
      <c r="H3581" s="36"/>
      <c r="I3581" s="125"/>
      <c r="S3581" s="4"/>
      <c r="T3581" s="124"/>
      <c r="U3581" s="22"/>
      <c r="V3581" s="22"/>
      <c r="W3581" s="78"/>
      <c r="X3581" s="78"/>
      <c r="AF3581"/>
      <c r="AG3581"/>
      <c r="AH3581"/>
      <c r="AI3581"/>
      <c r="AJ3581"/>
      <c r="AK3581"/>
    </row>
    <row r="3582" spans="1:37" ht="13.05" customHeight="1" x14ac:dyDescent="0.25">
      <c r="A3582"/>
      <c r="C3582" s="191"/>
      <c r="D3582" s="191"/>
      <c r="F3582"/>
      <c r="G3582"/>
      <c r="H3582" s="36"/>
      <c r="I3582" s="125"/>
      <c r="S3582" s="4"/>
      <c r="T3582" s="124"/>
      <c r="U3582" s="22"/>
      <c r="V3582" s="22"/>
      <c r="W3582" s="78"/>
      <c r="X3582" s="78"/>
      <c r="AF3582"/>
      <c r="AG3582"/>
      <c r="AH3582"/>
      <c r="AI3582"/>
      <c r="AJ3582"/>
      <c r="AK3582"/>
    </row>
    <row r="3583" spans="1:37" ht="13.05" customHeight="1" x14ac:dyDescent="0.25">
      <c r="A3583"/>
      <c r="C3583" s="191"/>
      <c r="D3583" s="191"/>
      <c r="F3583"/>
      <c r="G3583"/>
      <c r="H3583" s="36"/>
      <c r="I3583" s="125"/>
      <c r="S3583" s="4"/>
      <c r="T3583" s="124"/>
      <c r="U3583" s="22"/>
      <c r="V3583" s="22"/>
      <c r="W3583" s="78"/>
      <c r="X3583" s="78"/>
      <c r="AF3583"/>
      <c r="AG3583"/>
      <c r="AH3583"/>
      <c r="AI3583"/>
      <c r="AJ3583"/>
      <c r="AK3583"/>
    </row>
    <row r="3584" spans="1:37" ht="13.05" customHeight="1" x14ac:dyDescent="0.25">
      <c r="A3584"/>
      <c r="C3584" s="191"/>
      <c r="D3584" s="191"/>
      <c r="F3584"/>
      <c r="G3584"/>
      <c r="H3584" s="36"/>
      <c r="I3584" s="125"/>
      <c r="S3584" s="4"/>
      <c r="T3584" s="124"/>
      <c r="U3584" s="22"/>
      <c r="V3584" s="22"/>
      <c r="W3584" s="78"/>
      <c r="X3584" s="78"/>
      <c r="AF3584"/>
      <c r="AG3584"/>
      <c r="AH3584"/>
      <c r="AI3584"/>
      <c r="AJ3584"/>
      <c r="AK3584"/>
    </row>
    <row r="3585" spans="1:37" ht="13.05" customHeight="1" x14ac:dyDescent="0.25">
      <c r="A3585"/>
      <c r="C3585" s="191"/>
      <c r="D3585" s="191"/>
      <c r="F3585"/>
      <c r="G3585"/>
      <c r="H3585" s="36"/>
      <c r="I3585" s="125"/>
      <c r="S3585" s="4"/>
      <c r="T3585" s="124"/>
      <c r="U3585" s="22"/>
      <c r="V3585" s="22"/>
      <c r="W3585" s="78"/>
      <c r="X3585" s="78"/>
      <c r="AF3585"/>
      <c r="AG3585"/>
      <c r="AH3585"/>
      <c r="AI3585"/>
      <c r="AJ3585"/>
      <c r="AK3585"/>
    </row>
    <row r="3586" spans="1:37" ht="13.05" customHeight="1" x14ac:dyDescent="0.25">
      <c r="A3586"/>
      <c r="C3586" s="191"/>
      <c r="D3586" s="191"/>
      <c r="F3586"/>
      <c r="G3586"/>
      <c r="H3586" s="36"/>
      <c r="I3586" s="125"/>
      <c r="S3586" s="4"/>
      <c r="T3586" s="124"/>
      <c r="U3586" s="22"/>
      <c r="V3586" s="22"/>
      <c r="W3586" s="78"/>
      <c r="X3586" s="78"/>
      <c r="AF3586"/>
      <c r="AG3586"/>
      <c r="AH3586"/>
      <c r="AI3586"/>
      <c r="AJ3586"/>
      <c r="AK3586"/>
    </row>
    <row r="3587" spans="1:37" ht="13.05" customHeight="1" x14ac:dyDescent="0.25">
      <c r="A3587"/>
      <c r="C3587" s="191"/>
      <c r="D3587" s="191"/>
      <c r="F3587"/>
      <c r="G3587"/>
      <c r="H3587" s="36"/>
      <c r="I3587" s="125"/>
      <c r="S3587" s="4"/>
      <c r="T3587" s="124"/>
      <c r="U3587" s="22"/>
      <c r="V3587" s="22"/>
      <c r="W3587" s="78"/>
      <c r="X3587" s="78"/>
      <c r="AF3587"/>
      <c r="AG3587"/>
      <c r="AH3587"/>
      <c r="AI3587"/>
      <c r="AJ3587"/>
      <c r="AK3587"/>
    </row>
    <row r="3588" spans="1:37" ht="13.05" customHeight="1" x14ac:dyDescent="0.25">
      <c r="A3588"/>
      <c r="C3588" s="191"/>
      <c r="D3588" s="191"/>
      <c r="F3588"/>
      <c r="G3588"/>
      <c r="H3588" s="36"/>
      <c r="I3588" s="125"/>
      <c r="S3588" s="4"/>
      <c r="T3588" s="124"/>
      <c r="U3588" s="22"/>
      <c r="V3588" s="22"/>
      <c r="W3588" s="78"/>
      <c r="X3588" s="78"/>
      <c r="AF3588"/>
      <c r="AG3588"/>
      <c r="AH3588"/>
      <c r="AI3588"/>
      <c r="AJ3588"/>
      <c r="AK3588"/>
    </row>
    <row r="3589" spans="1:37" ht="13.05" customHeight="1" x14ac:dyDescent="0.25">
      <c r="A3589"/>
      <c r="C3589" s="191"/>
      <c r="D3589" s="191"/>
      <c r="F3589"/>
      <c r="G3589"/>
      <c r="H3589" s="36"/>
      <c r="I3589" s="125"/>
      <c r="S3589" s="4"/>
      <c r="T3589" s="124"/>
      <c r="U3589" s="22"/>
      <c r="V3589" s="22"/>
      <c r="W3589" s="78"/>
      <c r="X3589" s="78"/>
      <c r="AF3589"/>
      <c r="AG3589"/>
      <c r="AH3589"/>
      <c r="AI3589"/>
      <c r="AJ3589"/>
      <c r="AK3589"/>
    </row>
    <row r="3590" spans="1:37" ht="13.05" customHeight="1" x14ac:dyDescent="0.25">
      <c r="A3590"/>
      <c r="C3590" s="191"/>
      <c r="D3590" s="191"/>
      <c r="F3590"/>
      <c r="G3590"/>
      <c r="H3590" s="36"/>
      <c r="I3590" s="125"/>
      <c r="S3590" s="4"/>
      <c r="T3590" s="124"/>
      <c r="U3590" s="22"/>
      <c r="V3590" s="22"/>
      <c r="W3590" s="78"/>
      <c r="X3590" s="78"/>
      <c r="AF3590"/>
      <c r="AG3590"/>
      <c r="AH3590"/>
      <c r="AI3590"/>
      <c r="AJ3590"/>
      <c r="AK3590"/>
    </row>
    <row r="3591" spans="1:37" ht="13.05" customHeight="1" x14ac:dyDescent="0.25">
      <c r="A3591"/>
      <c r="C3591" s="191"/>
      <c r="D3591" s="191"/>
      <c r="F3591"/>
      <c r="G3591"/>
      <c r="H3591" s="36"/>
      <c r="I3591" s="125"/>
      <c r="S3591" s="4"/>
      <c r="T3591" s="124"/>
      <c r="U3591" s="22"/>
      <c r="V3591" s="22"/>
      <c r="W3591" s="78"/>
      <c r="X3591" s="78"/>
      <c r="AF3591"/>
      <c r="AG3591"/>
      <c r="AH3591"/>
      <c r="AI3591"/>
      <c r="AJ3591"/>
      <c r="AK3591"/>
    </row>
    <row r="3592" spans="1:37" ht="13.05" customHeight="1" x14ac:dyDescent="0.25">
      <c r="A3592"/>
      <c r="C3592" s="191"/>
      <c r="D3592" s="191"/>
      <c r="F3592"/>
      <c r="G3592"/>
      <c r="H3592" s="36"/>
      <c r="I3592" s="125"/>
      <c r="S3592" s="4"/>
      <c r="T3592" s="124"/>
      <c r="U3592" s="22"/>
      <c r="V3592" s="22"/>
      <c r="W3592" s="78"/>
      <c r="X3592" s="78"/>
      <c r="AF3592"/>
      <c r="AG3592"/>
      <c r="AH3592"/>
      <c r="AI3592"/>
      <c r="AJ3592"/>
      <c r="AK3592"/>
    </row>
    <row r="3593" spans="1:37" ht="13.05" customHeight="1" x14ac:dyDescent="0.25">
      <c r="A3593"/>
      <c r="C3593" s="191"/>
      <c r="D3593" s="191"/>
      <c r="F3593"/>
      <c r="G3593"/>
      <c r="H3593" s="36"/>
      <c r="I3593" s="125"/>
      <c r="S3593" s="4"/>
      <c r="T3593" s="124"/>
      <c r="U3593" s="22"/>
      <c r="V3593" s="22"/>
      <c r="W3593" s="78"/>
      <c r="X3593" s="78"/>
      <c r="AF3593"/>
      <c r="AG3593"/>
      <c r="AH3593"/>
      <c r="AI3593"/>
      <c r="AJ3593"/>
      <c r="AK3593"/>
    </row>
    <row r="3594" spans="1:37" ht="13.05" customHeight="1" x14ac:dyDescent="0.25">
      <c r="A3594"/>
      <c r="C3594" s="191"/>
      <c r="D3594" s="191"/>
      <c r="F3594"/>
      <c r="G3594"/>
      <c r="H3594" s="36"/>
      <c r="I3594" s="125"/>
      <c r="S3594" s="4"/>
      <c r="T3594" s="124"/>
      <c r="U3594" s="22"/>
      <c r="V3594" s="22"/>
      <c r="W3594" s="78"/>
      <c r="X3594" s="78"/>
      <c r="AF3594"/>
      <c r="AG3594"/>
      <c r="AH3594"/>
      <c r="AI3594"/>
      <c r="AJ3594"/>
      <c r="AK3594"/>
    </row>
    <row r="3595" spans="1:37" ht="13.05" customHeight="1" x14ac:dyDescent="0.25">
      <c r="A3595"/>
      <c r="C3595" s="191"/>
      <c r="D3595" s="191"/>
      <c r="F3595"/>
      <c r="G3595"/>
      <c r="H3595" s="36"/>
      <c r="I3595" s="125"/>
      <c r="S3595" s="4"/>
      <c r="T3595" s="124"/>
      <c r="U3595" s="22"/>
      <c r="V3595" s="22"/>
      <c r="W3595" s="78"/>
      <c r="X3595" s="78"/>
      <c r="AF3595"/>
      <c r="AG3595"/>
      <c r="AH3595"/>
      <c r="AI3595"/>
      <c r="AJ3595"/>
      <c r="AK3595"/>
    </row>
    <row r="3596" spans="1:37" ht="13.05" customHeight="1" x14ac:dyDescent="0.25">
      <c r="A3596"/>
      <c r="C3596" s="191"/>
      <c r="D3596" s="191"/>
      <c r="F3596"/>
      <c r="G3596"/>
      <c r="H3596" s="36"/>
      <c r="I3596" s="125"/>
      <c r="S3596" s="4"/>
      <c r="T3596" s="124"/>
      <c r="U3596" s="22"/>
      <c r="V3596" s="22"/>
      <c r="W3596" s="78"/>
      <c r="X3596" s="78"/>
      <c r="AF3596"/>
      <c r="AG3596"/>
      <c r="AH3596"/>
      <c r="AI3596"/>
      <c r="AJ3596"/>
      <c r="AK3596"/>
    </row>
    <row r="3597" spans="1:37" ht="13.05" customHeight="1" x14ac:dyDescent="0.25">
      <c r="A3597"/>
      <c r="C3597" s="191"/>
      <c r="D3597" s="191"/>
      <c r="F3597"/>
      <c r="G3597"/>
      <c r="H3597" s="36"/>
      <c r="I3597" s="125"/>
      <c r="S3597" s="4"/>
      <c r="T3597" s="124"/>
      <c r="U3597" s="22"/>
      <c r="V3597" s="22"/>
      <c r="W3597" s="78"/>
      <c r="X3597" s="78"/>
      <c r="AF3597"/>
      <c r="AG3597"/>
      <c r="AH3597"/>
      <c r="AI3597"/>
      <c r="AJ3597"/>
      <c r="AK3597"/>
    </row>
    <row r="3598" spans="1:37" ht="13.05" customHeight="1" x14ac:dyDescent="0.25">
      <c r="A3598"/>
      <c r="C3598" s="191"/>
      <c r="D3598" s="191"/>
      <c r="F3598"/>
      <c r="G3598"/>
      <c r="H3598" s="36"/>
      <c r="I3598" s="125"/>
      <c r="S3598" s="4"/>
      <c r="T3598" s="124"/>
      <c r="U3598" s="22"/>
      <c r="V3598" s="22"/>
      <c r="W3598" s="78"/>
      <c r="X3598" s="78"/>
      <c r="AF3598"/>
      <c r="AG3598"/>
      <c r="AH3598"/>
      <c r="AI3598"/>
      <c r="AJ3598"/>
      <c r="AK3598"/>
    </row>
    <row r="3599" spans="1:37" ht="13.05" customHeight="1" x14ac:dyDescent="0.25">
      <c r="A3599"/>
      <c r="C3599" s="191"/>
      <c r="D3599" s="191"/>
      <c r="F3599"/>
      <c r="G3599"/>
      <c r="H3599" s="36"/>
      <c r="I3599" s="125"/>
      <c r="S3599" s="4"/>
      <c r="T3599" s="124"/>
      <c r="U3599" s="22"/>
      <c r="V3599" s="22"/>
      <c r="W3599" s="78"/>
      <c r="X3599" s="78"/>
      <c r="AF3599"/>
      <c r="AG3599"/>
      <c r="AH3599"/>
      <c r="AI3599"/>
      <c r="AJ3599"/>
      <c r="AK3599"/>
    </row>
    <row r="3600" spans="1:37" ht="13.05" customHeight="1" x14ac:dyDescent="0.25">
      <c r="A3600"/>
      <c r="C3600" s="191"/>
      <c r="D3600" s="191"/>
      <c r="F3600"/>
      <c r="G3600"/>
      <c r="H3600" s="36"/>
      <c r="I3600" s="125"/>
      <c r="S3600" s="4"/>
      <c r="T3600" s="124"/>
      <c r="U3600" s="22"/>
      <c r="V3600" s="22"/>
      <c r="W3600" s="78"/>
      <c r="X3600" s="78"/>
      <c r="AF3600"/>
      <c r="AG3600"/>
      <c r="AH3600"/>
      <c r="AI3600"/>
      <c r="AJ3600"/>
      <c r="AK3600"/>
    </row>
    <row r="3601" spans="1:37" ht="13.05" customHeight="1" x14ac:dyDescent="0.25">
      <c r="A3601"/>
      <c r="C3601" s="191"/>
      <c r="D3601" s="191"/>
      <c r="F3601"/>
      <c r="G3601"/>
      <c r="H3601" s="36"/>
      <c r="I3601" s="125"/>
      <c r="S3601" s="4"/>
      <c r="T3601" s="124"/>
      <c r="U3601" s="22"/>
      <c r="V3601" s="22"/>
      <c r="W3601" s="78"/>
      <c r="X3601" s="78"/>
      <c r="AF3601"/>
      <c r="AG3601"/>
      <c r="AH3601"/>
      <c r="AI3601"/>
      <c r="AJ3601"/>
      <c r="AK3601"/>
    </row>
    <row r="3602" spans="1:37" ht="13.05" customHeight="1" x14ac:dyDescent="0.25">
      <c r="A3602"/>
      <c r="C3602" s="191"/>
      <c r="D3602" s="191"/>
      <c r="F3602"/>
      <c r="G3602"/>
      <c r="H3602" s="36"/>
      <c r="I3602" s="125"/>
      <c r="S3602" s="4"/>
      <c r="T3602" s="124"/>
      <c r="U3602" s="22"/>
      <c r="V3602" s="22"/>
      <c r="W3602" s="78"/>
      <c r="X3602" s="78"/>
      <c r="AF3602"/>
      <c r="AG3602"/>
      <c r="AH3602"/>
      <c r="AI3602"/>
      <c r="AJ3602"/>
      <c r="AK3602"/>
    </row>
    <row r="3603" spans="1:37" ht="13.05" customHeight="1" x14ac:dyDescent="0.25">
      <c r="A3603"/>
      <c r="C3603" s="191"/>
      <c r="D3603" s="191"/>
      <c r="F3603"/>
      <c r="G3603"/>
      <c r="H3603" s="36"/>
      <c r="I3603" s="125"/>
      <c r="S3603" s="4"/>
      <c r="T3603" s="124"/>
      <c r="U3603" s="22"/>
      <c r="V3603" s="22"/>
      <c r="W3603" s="78"/>
      <c r="X3603" s="78"/>
      <c r="AF3603"/>
      <c r="AG3603"/>
      <c r="AH3603"/>
      <c r="AI3603"/>
      <c r="AJ3603"/>
      <c r="AK3603"/>
    </row>
    <row r="3604" spans="1:37" ht="13.05" customHeight="1" x14ac:dyDescent="0.25">
      <c r="A3604"/>
      <c r="C3604" s="191"/>
      <c r="D3604" s="191"/>
      <c r="F3604"/>
      <c r="G3604"/>
      <c r="H3604" s="36"/>
      <c r="I3604" s="125"/>
      <c r="S3604" s="4"/>
      <c r="T3604" s="124"/>
      <c r="U3604" s="22"/>
      <c r="V3604" s="22"/>
      <c r="W3604" s="78"/>
      <c r="X3604" s="78"/>
      <c r="AF3604"/>
      <c r="AG3604"/>
      <c r="AH3604"/>
      <c r="AI3604"/>
      <c r="AJ3604"/>
      <c r="AK3604"/>
    </row>
    <row r="3605" spans="1:37" ht="13.05" customHeight="1" x14ac:dyDescent="0.25">
      <c r="A3605"/>
      <c r="C3605" s="191"/>
      <c r="D3605" s="191"/>
      <c r="F3605"/>
      <c r="G3605"/>
      <c r="H3605" s="36"/>
      <c r="I3605" s="125"/>
      <c r="S3605" s="4"/>
      <c r="T3605" s="124"/>
      <c r="U3605" s="22"/>
      <c r="V3605" s="22"/>
      <c r="W3605" s="78"/>
      <c r="X3605" s="78"/>
      <c r="AF3605"/>
      <c r="AG3605"/>
      <c r="AH3605"/>
      <c r="AI3605"/>
      <c r="AJ3605"/>
      <c r="AK3605"/>
    </row>
    <row r="3606" spans="1:37" ht="13.05" customHeight="1" x14ac:dyDescent="0.25">
      <c r="A3606"/>
      <c r="C3606" s="191"/>
      <c r="D3606" s="191"/>
      <c r="F3606"/>
      <c r="G3606"/>
      <c r="H3606" s="36"/>
      <c r="I3606" s="125"/>
      <c r="S3606" s="4"/>
      <c r="T3606" s="124"/>
      <c r="U3606" s="22"/>
      <c r="V3606" s="22"/>
      <c r="W3606" s="78"/>
      <c r="X3606" s="78"/>
      <c r="AF3606"/>
      <c r="AG3606"/>
      <c r="AH3606"/>
      <c r="AI3606"/>
      <c r="AJ3606"/>
      <c r="AK3606"/>
    </row>
    <row r="3607" spans="1:37" ht="13.05" customHeight="1" x14ac:dyDescent="0.25">
      <c r="A3607"/>
      <c r="C3607" s="191"/>
      <c r="D3607" s="191"/>
      <c r="F3607"/>
      <c r="G3607"/>
      <c r="H3607" s="36"/>
      <c r="I3607" s="125"/>
      <c r="S3607" s="4"/>
      <c r="T3607" s="124"/>
      <c r="U3607" s="22"/>
      <c r="V3607" s="22"/>
      <c r="W3607" s="78"/>
      <c r="X3607" s="78"/>
      <c r="AF3607"/>
      <c r="AG3607"/>
      <c r="AH3607"/>
      <c r="AI3607"/>
      <c r="AJ3607"/>
      <c r="AK3607"/>
    </row>
    <row r="3608" spans="1:37" ht="13.05" customHeight="1" x14ac:dyDescent="0.25">
      <c r="A3608"/>
      <c r="C3608" s="191"/>
      <c r="D3608" s="191"/>
      <c r="F3608"/>
      <c r="G3608"/>
      <c r="H3608" s="36"/>
      <c r="I3608" s="125"/>
      <c r="S3608" s="4"/>
      <c r="T3608" s="124"/>
      <c r="U3608" s="22"/>
      <c r="V3608" s="22"/>
      <c r="W3608" s="78"/>
      <c r="X3608" s="78"/>
      <c r="AF3608"/>
      <c r="AG3608"/>
      <c r="AH3608"/>
      <c r="AI3608"/>
      <c r="AJ3608"/>
      <c r="AK3608"/>
    </row>
    <row r="3609" spans="1:37" ht="13.05" customHeight="1" x14ac:dyDescent="0.25">
      <c r="A3609"/>
      <c r="C3609" s="191"/>
      <c r="D3609" s="191"/>
      <c r="F3609"/>
      <c r="G3609"/>
      <c r="H3609" s="36"/>
      <c r="I3609" s="125"/>
      <c r="S3609" s="4"/>
      <c r="T3609" s="124"/>
      <c r="U3609" s="22"/>
      <c r="V3609" s="22"/>
      <c r="W3609" s="78"/>
      <c r="X3609" s="78"/>
      <c r="AF3609"/>
      <c r="AG3609"/>
      <c r="AH3609"/>
      <c r="AI3609"/>
      <c r="AJ3609"/>
      <c r="AK3609"/>
    </row>
    <row r="3610" spans="1:37" ht="13.05" customHeight="1" x14ac:dyDescent="0.25">
      <c r="A3610"/>
      <c r="C3610" s="191"/>
      <c r="D3610" s="191"/>
      <c r="F3610"/>
      <c r="G3610"/>
      <c r="H3610" s="36"/>
      <c r="I3610" s="125"/>
      <c r="S3610" s="4"/>
      <c r="T3610" s="124"/>
      <c r="U3610" s="22"/>
      <c r="V3610" s="22"/>
      <c r="W3610" s="78"/>
      <c r="X3610" s="78"/>
      <c r="AF3610"/>
      <c r="AG3610"/>
      <c r="AH3610"/>
      <c r="AI3610"/>
      <c r="AJ3610"/>
      <c r="AK3610"/>
    </row>
    <row r="3611" spans="1:37" ht="13.05" customHeight="1" x14ac:dyDescent="0.25">
      <c r="A3611"/>
      <c r="C3611" s="191"/>
      <c r="D3611" s="191"/>
      <c r="F3611"/>
      <c r="G3611"/>
      <c r="H3611" s="36"/>
      <c r="I3611" s="125"/>
      <c r="S3611" s="4"/>
      <c r="T3611" s="124"/>
      <c r="U3611" s="22"/>
      <c r="V3611" s="22"/>
      <c r="W3611" s="78"/>
      <c r="X3611" s="78"/>
      <c r="AF3611"/>
      <c r="AG3611"/>
      <c r="AH3611"/>
      <c r="AI3611"/>
      <c r="AJ3611"/>
      <c r="AK3611"/>
    </row>
    <row r="3612" spans="1:37" ht="13.05" customHeight="1" x14ac:dyDescent="0.25">
      <c r="A3612"/>
      <c r="C3612" s="191"/>
      <c r="D3612" s="191"/>
      <c r="F3612"/>
      <c r="G3612"/>
      <c r="H3612" s="36"/>
      <c r="I3612" s="125"/>
      <c r="S3612" s="4"/>
      <c r="T3612" s="124"/>
      <c r="U3612" s="22"/>
      <c r="V3612" s="22"/>
      <c r="W3612" s="78"/>
      <c r="X3612" s="78"/>
      <c r="AF3612"/>
      <c r="AG3612"/>
      <c r="AH3612"/>
      <c r="AI3612"/>
      <c r="AJ3612"/>
      <c r="AK3612"/>
    </row>
    <row r="3613" spans="1:37" ht="13.05" customHeight="1" x14ac:dyDescent="0.25">
      <c r="A3613"/>
      <c r="C3613" s="191"/>
      <c r="D3613" s="191"/>
      <c r="F3613"/>
      <c r="G3613"/>
      <c r="H3613" s="36"/>
      <c r="I3613" s="125"/>
      <c r="S3613" s="4"/>
      <c r="T3613" s="124"/>
      <c r="U3613" s="22"/>
      <c r="V3613" s="22"/>
      <c r="W3613" s="78"/>
      <c r="X3613" s="78"/>
      <c r="AF3613"/>
      <c r="AG3613"/>
      <c r="AH3613"/>
      <c r="AI3613"/>
      <c r="AJ3613"/>
      <c r="AK3613"/>
    </row>
    <row r="3614" spans="1:37" ht="13.05" customHeight="1" x14ac:dyDescent="0.25">
      <c r="A3614"/>
      <c r="C3614" s="191"/>
      <c r="D3614" s="191"/>
      <c r="F3614"/>
      <c r="G3614"/>
      <c r="H3614" s="36"/>
      <c r="I3614" s="125"/>
      <c r="S3614" s="4"/>
      <c r="T3614" s="124"/>
      <c r="U3614" s="22"/>
      <c r="V3614" s="22"/>
      <c r="W3614" s="78"/>
      <c r="X3614" s="78"/>
      <c r="AF3614"/>
      <c r="AG3614"/>
      <c r="AH3614"/>
      <c r="AI3614"/>
      <c r="AJ3614"/>
      <c r="AK3614"/>
    </row>
    <row r="3615" spans="1:37" ht="13.05" customHeight="1" x14ac:dyDescent="0.25">
      <c r="A3615"/>
      <c r="C3615" s="191"/>
      <c r="D3615" s="191"/>
      <c r="F3615"/>
      <c r="G3615"/>
      <c r="H3615" s="36"/>
      <c r="I3615" s="125"/>
      <c r="S3615" s="4"/>
      <c r="T3615" s="124"/>
      <c r="U3615" s="22"/>
      <c r="V3615" s="22"/>
      <c r="W3615" s="78"/>
      <c r="X3615" s="78"/>
      <c r="AF3615"/>
      <c r="AG3615"/>
      <c r="AH3615"/>
      <c r="AI3615"/>
      <c r="AJ3615"/>
      <c r="AK3615"/>
    </row>
    <row r="3616" spans="1:37" ht="13.05" customHeight="1" x14ac:dyDescent="0.25">
      <c r="A3616"/>
      <c r="C3616" s="191"/>
      <c r="D3616" s="191"/>
      <c r="F3616"/>
      <c r="G3616"/>
      <c r="H3616" s="36"/>
      <c r="I3616" s="125"/>
      <c r="S3616" s="4"/>
      <c r="T3616" s="124"/>
      <c r="U3616" s="22"/>
      <c r="V3616" s="22"/>
      <c r="W3616" s="78"/>
      <c r="X3616" s="78"/>
      <c r="AF3616"/>
      <c r="AG3616"/>
      <c r="AH3616"/>
      <c r="AI3616"/>
      <c r="AJ3616"/>
      <c r="AK3616"/>
    </row>
    <row r="3617" spans="1:37" ht="13.05" customHeight="1" x14ac:dyDescent="0.25">
      <c r="A3617"/>
      <c r="C3617" s="191"/>
      <c r="D3617" s="191"/>
      <c r="F3617"/>
      <c r="G3617"/>
      <c r="H3617" s="36"/>
      <c r="I3617" s="125"/>
      <c r="S3617" s="4"/>
      <c r="T3617" s="124"/>
      <c r="U3617" s="22"/>
      <c r="V3617" s="22"/>
      <c r="W3617" s="78"/>
      <c r="X3617" s="78"/>
      <c r="AF3617"/>
      <c r="AG3617"/>
      <c r="AH3617"/>
      <c r="AI3617"/>
      <c r="AJ3617"/>
      <c r="AK3617"/>
    </row>
    <row r="3618" spans="1:37" ht="13.05" customHeight="1" x14ac:dyDescent="0.25">
      <c r="A3618"/>
      <c r="C3618" s="191"/>
      <c r="D3618" s="191"/>
      <c r="F3618"/>
      <c r="G3618"/>
      <c r="H3618" s="36"/>
      <c r="I3618" s="125"/>
      <c r="S3618" s="4"/>
      <c r="T3618" s="124"/>
      <c r="U3618" s="22"/>
      <c r="V3618" s="22"/>
      <c r="W3618" s="78"/>
      <c r="X3618" s="78"/>
      <c r="AF3618"/>
      <c r="AG3618"/>
      <c r="AH3618"/>
      <c r="AI3618"/>
      <c r="AJ3618"/>
      <c r="AK3618"/>
    </row>
    <row r="3619" spans="1:37" ht="13.05" customHeight="1" x14ac:dyDescent="0.25">
      <c r="A3619"/>
      <c r="C3619" s="191"/>
      <c r="D3619" s="191"/>
      <c r="F3619"/>
      <c r="G3619"/>
      <c r="H3619" s="36"/>
      <c r="I3619" s="125"/>
      <c r="S3619" s="4"/>
      <c r="T3619" s="124"/>
      <c r="U3619" s="22"/>
      <c r="V3619" s="22"/>
      <c r="W3619" s="78"/>
      <c r="X3619" s="78"/>
      <c r="AF3619"/>
      <c r="AG3619"/>
      <c r="AH3619"/>
      <c r="AI3619"/>
      <c r="AJ3619"/>
      <c r="AK3619"/>
    </row>
    <row r="3620" spans="1:37" ht="13.05" customHeight="1" x14ac:dyDescent="0.25">
      <c r="A3620"/>
      <c r="C3620" s="191"/>
      <c r="D3620" s="191"/>
      <c r="F3620"/>
      <c r="G3620"/>
      <c r="H3620" s="36"/>
      <c r="I3620" s="125"/>
      <c r="S3620" s="4"/>
      <c r="T3620" s="124"/>
      <c r="U3620" s="22"/>
      <c r="V3620" s="22"/>
      <c r="W3620" s="78"/>
      <c r="X3620" s="78"/>
      <c r="AF3620"/>
      <c r="AG3620"/>
      <c r="AH3620"/>
      <c r="AI3620"/>
      <c r="AJ3620"/>
      <c r="AK3620"/>
    </row>
    <row r="3621" spans="1:37" ht="13.05" customHeight="1" x14ac:dyDescent="0.25">
      <c r="A3621"/>
      <c r="C3621" s="191"/>
      <c r="D3621" s="191"/>
      <c r="F3621"/>
      <c r="G3621"/>
      <c r="H3621" s="36"/>
      <c r="I3621" s="125"/>
      <c r="S3621" s="4"/>
      <c r="T3621" s="124"/>
      <c r="U3621" s="22"/>
      <c r="V3621" s="22"/>
      <c r="W3621" s="78"/>
      <c r="X3621" s="78"/>
      <c r="AF3621"/>
      <c r="AG3621"/>
      <c r="AH3621"/>
      <c r="AI3621"/>
      <c r="AJ3621"/>
      <c r="AK3621"/>
    </row>
    <row r="3622" spans="1:37" ht="13.05" customHeight="1" x14ac:dyDescent="0.25">
      <c r="A3622"/>
      <c r="C3622" s="191"/>
      <c r="D3622" s="191"/>
      <c r="F3622"/>
      <c r="G3622"/>
      <c r="H3622" s="36"/>
      <c r="I3622" s="125"/>
      <c r="S3622" s="4"/>
      <c r="T3622" s="124"/>
      <c r="U3622" s="22"/>
      <c r="V3622" s="22"/>
      <c r="W3622" s="78"/>
      <c r="X3622" s="78"/>
      <c r="AF3622"/>
      <c r="AG3622"/>
      <c r="AH3622"/>
      <c r="AI3622"/>
      <c r="AJ3622"/>
      <c r="AK3622"/>
    </row>
    <row r="3623" spans="1:37" ht="13.05" customHeight="1" x14ac:dyDescent="0.25">
      <c r="A3623"/>
      <c r="C3623" s="191"/>
      <c r="D3623" s="191"/>
      <c r="F3623"/>
      <c r="G3623"/>
      <c r="H3623" s="36"/>
      <c r="I3623" s="125"/>
      <c r="S3623" s="4"/>
      <c r="T3623" s="124"/>
      <c r="U3623" s="22"/>
      <c r="V3623" s="22"/>
      <c r="W3623" s="78"/>
      <c r="X3623" s="78"/>
      <c r="AF3623"/>
      <c r="AG3623"/>
      <c r="AH3623"/>
      <c r="AI3623"/>
      <c r="AJ3623"/>
      <c r="AK3623"/>
    </row>
    <row r="3624" spans="1:37" ht="13.05" customHeight="1" x14ac:dyDescent="0.25">
      <c r="A3624"/>
      <c r="C3624" s="191"/>
      <c r="D3624" s="191"/>
      <c r="F3624"/>
      <c r="G3624"/>
      <c r="H3624" s="36"/>
      <c r="I3624" s="125"/>
      <c r="S3624" s="4"/>
      <c r="T3624" s="124"/>
      <c r="U3624" s="22"/>
      <c r="V3624" s="22"/>
      <c r="W3624" s="78"/>
      <c r="X3624" s="78"/>
      <c r="AF3624"/>
      <c r="AG3624"/>
      <c r="AH3624"/>
      <c r="AI3624"/>
      <c r="AJ3624"/>
      <c r="AK3624"/>
    </row>
    <row r="3625" spans="1:37" ht="13.05" customHeight="1" x14ac:dyDescent="0.25">
      <c r="A3625"/>
      <c r="C3625" s="191"/>
      <c r="D3625" s="191"/>
      <c r="F3625"/>
      <c r="G3625"/>
      <c r="H3625" s="36"/>
      <c r="I3625" s="125"/>
      <c r="S3625" s="4"/>
      <c r="T3625" s="124"/>
      <c r="U3625" s="22"/>
      <c r="V3625" s="22"/>
      <c r="W3625" s="78"/>
      <c r="X3625" s="78"/>
      <c r="AF3625"/>
      <c r="AG3625"/>
      <c r="AH3625"/>
      <c r="AI3625"/>
      <c r="AJ3625"/>
      <c r="AK3625"/>
    </row>
    <row r="3626" spans="1:37" ht="13.05" customHeight="1" x14ac:dyDescent="0.25">
      <c r="A3626"/>
      <c r="C3626" s="191"/>
      <c r="D3626" s="191"/>
      <c r="F3626"/>
      <c r="G3626"/>
      <c r="H3626" s="36"/>
      <c r="I3626" s="125"/>
      <c r="S3626" s="4"/>
      <c r="T3626" s="124"/>
      <c r="U3626" s="22"/>
      <c r="V3626" s="22"/>
      <c r="W3626" s="78"/>
      <c r="X3626" s="78"/>
      <c r="AF3626"/>
      <c r="AG3626"/>
      <c r="AH3626"/>
      <c r="AI3626"/>
      <c r="AJ3626"/>
      <c r="AK3626"/>
    </row>
    <row r="3627" spans="1:37" ht="13.05" customHeight="1" x14ac:dyDescent="0.25">
      <c r="A3627"/>
      <c r="C3627" s="191"/>
      <c r="D3627" s="191"/>
      <c r="F3627"/>
      <c r="G3627"/>
      <c r="H3627" s="36"/>
      <c r="I3627" s="125"/>
      <c r="S3627" s="4"/>
      <c r="T3627" s="124"/>
      <c r="U3627" s="22"/>
      <c r="V3627" s="22"/>
      <c r="W3627" s="78"/>
      <c r="X3627" s="78"/>
      <c r="AF3627"/>
      <c r="AG3627"/>
      <c r="AH3627"/>
      <c r="AI3627"/>
      <c r="AJ3627"/>
      <c r="AK3627"/>
    </row>
    <row r="3628" spans="1:37" ht="13.05" customHeight="1" x14ac:dyDescent="0.25">
      <c r="A3628"/>
      <c r="C3628" s="191"/>
      <c r="D3628" s="191"/>
      <c r="F3628"/>
      <c r="G3628"/>
      <c r="H3628" s="36"/>
      <c r="I3628" s="125"/>
      <c r="S3628" s="4"/>
      <c r="T3628" s="124"/>
      <c r="U3628" s="22"/>
      <c r="V3628" s="22"/>
      <c r="W3628" s="78"/>
      <c r="X3628" s="78"/>
      <c r="AF3628"/>
      <c r="AG3628"/>
      <c r="AH3628"/>
      <c r="AI3628"/>
      <c r="AJ3628"/>
      <c r="AK3628"/>
    </row>
    <row r="3629" spans="1:37" ht="13.05" customHeight="1" x14ac:dyDescent="0.25">
      <c r="A3629"/>
      <c r="C3629" s="191"/>
      <c r="D3629" s="191"/>
      <c r="F3629"/>
      <c r="G3629"/>
      <c r="H3629" s="36"/>
      <c r="I3629" s="125"/>
      <c r="S3629" s="4"/>
      <c r="T3629" s="124"/>
      <c r="U3629" s="22"/>
      <c r="V3629" s="22"/>
      <c r="W3629" s="78"/>
      <c r="X3629" s="78"/>
      <c r="AF3629"/>
      <c r="AG3629"/>
      <c r="AH3629"/>
      <c r="AI3629"/>
      <c r="AJ3629"/>
      <c r="AK3629"/>
    </row>
    <row r="3630" spans="1:37" ht="13.05" customHeight="1" x14ac:dyDescent="0.25">
      <c r="A3630"/>
      <c r="C3630" s="191"/>
      <c r="D3630" s="191"/>
      <c r="F3630"/>
      <c r="G3630"/>
      <c r="H3630" s="36"/>
      <c r="I3630" s="125"/>
      <c r="S3630" s="4"/>
      <c r="T3630" s="124"/>
      <c r="U3630" s="22"/>
      <c r="V3630" s="22"/>
      <c r="W3630" s="78"/>
      <c r="X3630" s="78"/>
      <c r="AF3630"/>
      <c r="AG3630"/>
      <c r="AH3630"/>
      <c r="AI3630"/>
      <c r="AJ3630"/>
      <c r="AK3630"/>
    </row>
    <row r="3631" spans="1:37" ht="13.05" customHeight="1" x14ac:dyDescent="0.25">
      <c r="A3631"/>
      <c r="C3631" s="191"/>
      <c r="D3631" s="191"/>
      <c r="F3631"/>
      <c r="G3631"/>
      <c r="H3631" s="36"/>
      <c r="I3631" s="125"/>
      <c r="S3631" s="4"/>
      <c r="T3631" s="124"/>
      <c r="U3631" s="22"/>
      <c r="V3631" s="22"/>
      <c r="W3631" s="78"/>
      <c r="X3631" s="78"/>
      <c r="AF3631"/>
      <c r="AG3631"/>
      <c r="AH3631"/>
      <c r="AI3631"/>
      <c r="AJ3631"/>
      <c r="AK3631"/>
    </row>
    <row r="3632" spans="1:37" ht="13.05" customHeight="1" x14ac:dyDescent="0.25">
      <c r="A3632"/>
      <c r="C3632" s="191"/>
      <c r="D3632" s="191"/>
      <c r="F3632"/>
      <c r="G3632"/>
      <c r="H3632" s="36"/>
      <c r="I3632" s="125"/>
      <c r="S3632" s="4"/>
      <c r="T3632" s="124"/>
      <c r="U3632" s="22"/>
      <c r="V3632" s="22"/>
      <c r="W3632" s="78"/>
      <c r="X3632" s="78"/>
      <c r="AF3632"/>
      <c r="AG3632"/>
      <c r="AH3632"/>
      <c r="AI3632"/>
      <c r="AJ3632"/>
      <c r="AK3632"/>
    </row>
    <row r="3633" spans="1:37" ht="13.05" customHeight="1" x14ac:dyDescent="0.25">
      <c r="A3633"/>
      <c r="C3633" s="191"/>
      <c r="D3633" s="191"/>
      <c r="F3633"/>
      <c r="G3633"/>
      <c r="H3633" s="36"/>
      <c r="I3633" s="125"/>
      <c r="S3633" s="4"/>
      <c r="T3633" s="124"/>
      <c r="U3633" s="22"/>
      <c r="V3633" s="22"/>
      <c r="W3633" s="78"/>
      <c r="X3633" s="78"/>
      <c r="AF3633"/>
      <c r="AG3633"/>
      <c r="AH3633"/>
      <c r="AI3633"/>
      <c r="AJ3633"/>
      <c r="AK3633"/>
    </row>
    <row r="3634" spans="1:37" ht="13.05" customHeight="1" x14ac:dyDescent="0.25">
      <c r="A3634"/>
      <c r="C3634" s="191"/>
      <c r="D3634" s="191"/>
      <c r="F3634"/>
      <c r="G3634"/>
      <c r="H3634" s="36"/>
      <c r="I3634" s="125"/>
      <c r="S3634" s="4"/>
      <c r="T3634" s="124"/>
      <c r="U3634" s="22"/>
      <c r="V3634" s="22"/>
      <c r="W3634" s="78"/>
      <c r="X3634" s="78"/>
      <c r="AF3634"/>
      <c r="AG3634"/>
      <c r="AH3634"/>
      <c r="AI3634"/>
      <c r="AJ3634"/>
      <c r="AK3634"/>
    </row>
    <row r="3635" spans="1:37" ht="13.05" customHeight="1" x14ac:dyDescent="0.25">
      <c r="A3635"/>
      <c r="C3635" s="191"/>
      <c r="D3635" s="191"/>
      <c r="F3635"/>
      <c r="G3635"/>
      <c r="H3635" s="36"/>
      <c r="I3635" s="125"/>
      <c r="S3635" s="4"/>
      <c r="T3635" s="124"/>
      <c r="U3635" s="22"/>
      <c r="V3635" s="22"/>
      <c r="W3635" s="78"/>
      <c r="X3635" s="78"/>
      <c r="AF3635"/>
      <c r="AG3635"/>
      <c r="AH3635"/>
      <c r="AI3635"/>
      <c r="AJ3635"/>
      <c r="AK3635"/>
    </row>
    <row r="3636" spans="1:37" ht="13.05" customHeight="1" x14ac:dyDescent="0.25">
      <c r="A3636"/>
      <c r="C3636" s="191"/>
      <c r="D3636" s="191"/>
      <c r="F3636"/>
      <c r="G3636"/>
      <c r="H3636" s="36"/>
      <c r="I3636" s="125"/>
      <c r="S3636" s="4"/>
      <c r="T3636" s="124"/>
      <c r="U3636" s="22"/>
      <c r="V3636" s="22"/>
      <c r="W3636" s="78"/>
      <c r="X3636" s="78"/>
      <c r="AF3636"/>
      <c r="AG3636"/>
      <c r="AH3636"/>
      <c r="AI3636"/>
      <c r="AJ3636"/>
      <c r="AK3636"/>
    </row>
    <row r="3637" spans="1:37" ht="13.05" customHeight="1" x14ac:dyDescent="0.25">
      <c r="A3637"/>
      <c r="C3637" s="191"/>
      <c r="D3637" s="191"/>
      <c r="F3637"/>
      <c r="G3637"/>
      <c r="H3637" s="36"/>
      <c r="I3637" s="125"/>
      <c r="S3637" s="4"/>
      <c r="T3637" s="124"/>
      <c r="U3637" s="22"/>
      <c r="V3637" s="22"/>
      <c r="W3637" s="78"/>
      <c r="X3637" s="78"/>
      <c r="AF3637"/>
      <c r="AG3637"/>
      <c r="AH3637"/>
      <c r="AI3637"/>
      <c r="AJ3637"/>
      <c r="AK3637"/>
    </row>
    <row r="3638" spans="1:37" ht="13.05" customHeight="1" x14ac:dyDescent="0.25">
      <c r="A3638"/>
      <c r="C3638" s="191"/>
      <c r="D3638" s="191"/>
      <c r="F3638"/>
      <c r="G3638"/>
      <c r="H3638" s="36"/>
      <c r="I3638" s="125"/>
      <c r="S3638" s="4"/>
      <c r="T3638" s="124"/>
      <c r="U3638" s="22"/>
      <c r="V3638" s="22"/>
      <c r="W3638" s="78"/>
      <c r="X3638" s="78"/>
      <c r="AF3638"/>
      <c r="AG3638"/>
      <c r="AH3638"/>
      <c r="AI3638"/>
      <c r="AJ3638"/>
      <c r="AK3638"/>
    </row>
    <row r="3639" spans="1:37" ht="13.05" customHeight="1" x14ac:dyDescent="0.25">
      <c r="A3639"/>
      <c r="C3639" s="191"/>
      <c r="D3639" s="191"/>
      <c r="F3639"/>
      <c r="G3639"/>
      <c r="H3639" s="36"/>
      <c r="I3639" s="125"/>
      <c r="S3639" s="4"/>
      <c r="T3639" s="124"/>
      <c r="U3639" s="22"/>
      <c r="V3639" s="22"/>
      <c r="W3639" s="78"/>
      <c r="X3639" s="78"/>
      <c r="AF3639"/>
      <c r="AG3639"/>
      <c r="AH3639"/>
      <c r="AI3639"/>
      <c r="AJ3639"/>
      <c r="AK3639"/>
    </row>
    <row r="3640" spans="1:37" ht="13.05" customHeight="1" x14ac:dyDescent="0.25">
      <c r="A3640"/>
      <c r="C3640" s="191"/>
      <c r="D3640" s="191"/>
      <c r="F3640"/>
      <c r="G3640"/>
      <c r="H3640" s="36"/>
      <c r="I3640" s="125"/>
      <c r="S3640" s="4"/>
      <c r="T3640" s="124"/>
      <c r="U3640" s="22"/>
      <c r="V3640" s="22"/>
      <c r="W3640" s="78"/>
      <c r="X3640" s="78"/>
      <c r="AF3640"/>
      <c r="AG3640"/>
      <c r="AH3640"/>
      <c r="AI3640"/>
      <c r="AJ3640"/>
      <c r="AK3640"/>
    </row>
    <row r="3641" spans="1:37" ht="13.05" customHeight="1" x14ac:dyDescent="0.25">
      <c r="A3641"/>
      <c r="C3641" s="191"/>
      <c r="D3641" s="191"/>
      <c r="F3641"/>
      <c r="G3641"/>
      <c r="H3641" s="36"/>
      <c r="I3641" s="125"/>
      <c r="S3641" s="4"/>
      <c r="T3641" s="124"/>
      <c r="U3641" s="22"/>
      <c r="V3641" s="22"/>
      <c r="W3641" s="78"/>
      <c r="X3641" s="78"/>
      <c r="AF3641"/>
      <c r="AG3641"/>
      <c r="AH3641"/>
      <c r="AI3641"/>
      <c r="AJ3641"/>
      <c r="AK3641"/>
    </row>
    <row r="3642" spans="1:37" ht="13.05" customHeight="1" x14ac:dyDescent="0.25">
      <c r="A3642"/>
      <c r="C3642" s="191"/>
      <c r="D3642" s="191"/>
      <c r="F3642"/>
      <c r="G3642"/>
      <c r="H3642" s="36"/>
      <c r="I3642" s="125"/>
      <c r="S3642" s="4"/>
      <c r="T3642" s="124"/>
      <c r="U3642" s="22"/>
      <c r="V3642" s="22"/>
      <c r="W3642" s="78"/>
      <c r="X3642" s="78"/>
      <c r="AF3642"/>
      <c r="AG3642"/>
      <c r="AH3642"/>
      <c r="AI3642"/>
      <c r="AJ3642"/>
      <c r="AK3642"/>
    </row>
    <row r="3643" spans="1:37" ht="13.05" customHeight="1" x14ac:dyDescent="0.25">
      <c r="A3643"/>
      <c r="C3643" s="191"/>
      <c r="D3643" s="191"/>
      <c r="F3643"/>
      <c r="G3643"/>
      <c r="H3643" s="36"/>
      <c r="I3643" s="125"/>
      <c r="S3643" s="4"/>
      <c r="T3643" s="124"/>
      <c r="U3643" s="22"/>
      <c r="V3643" s="22"/>
      <c r="W3643" s="78"/>
      <c r="X3643" s="78"/>
      <c r="AF3643"/>
      <c r="AG3643"/>
      <c r="AH3643"/>
      <c r="AI3643"/>
      <c r="AJ3643"/>
      <c r="AK3643"/>
    </row>
    <row r="3644" spans="1:37" ht="13.05" customHeight="1" x14ac:dyDescent="0.25">
      <c r="A3644"/>
      <c r="C3644" s="191"/>
      <c r="D3644" s="191"/>
      <c r="F3644"/>
      <c r="G3644"/>
      <c r="H3644" s="36"/>
      <c r="I3644" s="125"/>
      <c r="S3644" s="4"/>
      <c r="T3644" s="124"/>
      <c r="U3644" s="22"/>
      <c r="V3644" s="22"/>
      <c r="W3644" s="78"/>
      <c r="X3644" s="78"/>
      <c r="AF3644"/>
      <c r="AG3644"/>
      <c r="AH3644"/>
      <c r="AI3644"/>
      <c r="AJ3644"/>
      <c r="AK3644"/>
    </row>
    <row r="3645" spans="1:37" ht="13.05" customHeight="1" x14ac:dyDescent="0.25">
      <c r="A3645"/>
      <c r="C3645" s="191"/>
      <c r="D3645" s="191"/>
      <c r="F3645"/>
      <c r="G3645"/>
      <c r="H3645" s="36"/>
      <c r="I3645" s="125"/>
      <c r="S3645" s="4"/>
      <c r="T3645" s="124"/>
      <c r="U3645" s="22"/>
      <c r="V3645" s="22"/>
      <c r="W3645" s="78"/>
      <c r="X3645" s="78"/>
      <c r="AF3645"/>
      <c r="AG3645"/>
      <c r="AH3645"/>
      <c r="AI3645"/>
      <c r="AJ3645"/>
      <c r="AK3645"/>
    </row>
    <row r="3646" spans="1:37" ht="13.05" customHeight="1" x14ac:dyDescent="0.25">
      <c r="A3646"/>
      <c r="C3646" s="191"/>
      <c r="D3646" s="191"/>
      <c r="F3646"/>
      <c r="G3646"/>
      <c r="H3646" s="36"/>
      <c r="I3646" s="125"/>
      <c r="S3646" s="4"/>
      <c r="T3646" s="124"/>
      <c r="U3646" s="22"/>
      <c r="V3646" s="22"/>
      <c r="W3646" s="78"/>
      <c r="X3646" s="78"/>
      <c r="AF3646"/>
      <c r="AG3646"/>
      <c r="AH3646"/>
      <c r="AI3646"/>
      <c r="AJ3646"/>
      <c r="AK3646"/>
    </row>
    <row r="3647" spans="1:37" ht="13.05" customHeight="1" x14ac:dyDescent="0.25">
      <c r="A3647"/>
      <c r="C3647" s="191"/>
      <c r="D3647" s="191"/>
      <c r="F3647"/>
      <c r="G3647"/>
      <c r="H3647" s="36"/>
      <c r="I3647" s="125"/>
      <c r="S3647" s="4"/>
      <c r="T3647" s="124"/>
      <c r="U3647" s="22"/>
      <c r="V3647" s="22"/>
      <c r="W3647" s="78"/>
      <c r="X3647" s="78"/>
      <c r="AF3647"/>
      <c r="AG3647"/>
      <c r="AH3647"/>
      <c r="AI3647"/>
      <c r="AJ3647"/>
      <c r="AK3647"/>
    </row>
    <row r="3648" spans="1:37" ht="13.05" customHeight="1" x14ac:dyDescent="0.25">
      <c r="A3648"/>
      <c r="C3648" s="191"/>
      <c r="D3648" s="191"/>
      <c r="F3648"/>
      <c r="G3648"/>
      <c r="H3648" s="36"/>
      <c r="I3648" s="125"/>
      <c r="S3648" s="4"/>
      <c r="T3648" s="124"/>
      <c r="U3648" s="22"/>
      <c r="V3648" s="22"/>
      <c r="W3648" s="78"/>
      <c r="X3648" s="78"/>
      <c r="AF3648"/>
      <c r="AG3648"/>
      <c r="AH3648"/>
      <c r="AI3648"/>
      <c r="AJ3648"/>
      <c r="AK3648"/>
    </row>
    <row r="3649" spans="1:37" ht="13.05" customHeight="1" x14ac:dyDescent="0.25">
      <c r="A3649"/>
      <c r="C3649" s="191"/>
      <c r="D3649" s="191"/>
      <c r="F3649"/>
      <c r="G3649"/>
      <c r="H3649" s="36"/>
      <c r="I3649" s="125"/>
      <c r="S3649" s="4"/>
      <c r="T3649" s="124"/>
      <c r="U3649" s="22"/>
      <c r="V3649" s="22"/>
      <c r="W3649" s="78"/>
      <c r="X3649" s="78"/>
      <c r="AF3649"/>
      <c r="AG3649"/>
      <c r="AH3649"/>
      <c r="AI3649"/>
      <c r="AJ3649"/>
      <c r="AK3649"/>
    </row>
    <row r="3650" spans="1:37" ht="13.05" customHeight="1" x14ac:dyDescent="0.25">
      <c r="A3650"/>
      <c r="C3650" s="191"/>
      <c r="D3650" s="191"/>
      <c r="F3650"/>
      <c r="G3650"/>
      <c r="H3650" s="36"/>
      <c r="I3650" s="125"/>
      <c r="S3650" s="4"/>
      <c r="T3650" s="124"/>
      <c r="U3650" s="22"/>
      <c r="V3650" s="22"/>
      <c r="W3650" s="78"/>
      <c r="X3650" s="78"/>
      <c r="AF3650"/>
      <c r="AG3650"/>
      <c r="AH3650"/>
      <c r="AI3650"/>
      <c r="AJ3650"/>
      <c r="AK3650"/>
    </row>
    <row r="3651" spans="1:37" ht="13.05" customHeight="1" x14ac:dyDescent="0.25">
      <c r="A3651"/>
      <c r="C3651" s="191"/>
      <c r="D3651" s="191"/>
      <c r="F3651"/>
      <c r="G3651"/>
      <c r="H3651" s="36"/>
      <c r="I3651" s="125"/>
      <c r="S3651" s="4"/>
      <c r="T3651" s="124"/>
      <c r="U3651" s="22"/>
      <c r="V3651" s="22"/>
      <c r="W3651" s="78"/>
      <c r="X3651" s="78"/>
      <c r="AF3651"/>
      <c r="AG3651"/>
      <c r="AH3651"/>
      <c r="AI3651"/>
      <c r="AJ3651"/>
      <c r="AK3651"/>
    </row>
    <row r="3652" spans="1:37" ht="13.05" customHeight="1" x14ac:dyDescent="0.25">
      <c r="A3652"/>
      <c r="C3652" s="191"/>
      <c r="D3652" s="191"/>
      <c r="F3652"/>
      <c r="G3652"/>
      <c r="H3652" s="36"/>
      <c r="I3652" s="125"/>
      <c r="S3652" s="4"/>
      <c r="T3652" s="124"/>
      <c r="U3652" s="22"/>
      <c r="V3652" s="22"/>
      <c r="W3652" s="78"/>
      <c r="X3652" s="78"/>
      <c r="AF3652"/>
      <c r="AG3652"/>
      <c r="AH3652"/>
      <c r="AI3652"/>
      <c r="AJ3652"/>
      <c r="AK3652"/>
    </row>
    <row r="3653" spans="1:37" ht="13.05" customHeight="1" x14ac:dyDescent="0.25">
      <c r="A3653"/>
      <c r="C3653" s="191"/>
      <c r="D3653" s="191"/>
      <c r="F3653"/>
      <c r="G3653"/>
      <c r="H3653" s="36"/>
      <c r="I3653" s="125"/>
      <c r="S3653" s="4"/>
      <c r="T3653" s="124"/>
      <c r="U3653" s="22"/>
      <c r="V3653" s="22"/>
      <c r="W3653" s="78"/>
      <c r="X3653" s="78"/>
      <c r="AF3653"/>
      <c r="AG3653"/>
      <c r="AH3653"/>
      <c r="AI3653"/>
      <c r="AJ3653"/>
      <c r="AK3653"/>
    </row>
    <row r="3654" spans="1:37" ht="13.05" customHeight="1" x14ac:dyDescent="0.25">
      <c r="A3654"/>
      <c r="C3654" s="191"/>
      <c r="D3654" s="191"/>
      <c r="F3654"/>
      <c r="G3654"/>
      <c r="H3654" s="36"/>
      <c r="I3654" s="125"/>
      <c r="S3654" s="4"/>
      <c r="T3654" s="124"/>
      <c r="U3654" s="22"/>
      <c r="V3654" s="22"/>
      <c r="W3654" s="78"/>
      <c r="X3654" s="78"/>
      <c r="AF3654"/>
      <c r="AG3654"/>
      <c r="AH3654"/>
      <c r="AI3654"/>
      <c r="AJ3654"/>
      <c r="AK3654"/>
    </row>
    <row r="3655" spans="1:37" ht="13.05" customHeight="1" x14ac:dyDescent="0.25">
      <c r="A3655"/>
      <c r="C3655" s="191"/>
      <c r="D3655" s="191"/>
      <c r="F3655"/>
      <c r="G3655"/>
      <c r="H3655" s="36"/>
      <c r="I3655" s="125"/>
      <c r="S3655" s="4"/>
      <c r="T3655" s="124"/>
      <c r="U3655" s="22"/>
      <c r="V3655" s="22"/>
      <c r="W3655" s="78"/>
      <c r="X3655" s="78"/>
      <c r="AF3655"/>
      <c r="AG3655"/>
      <c r="AH3655"/>
      <c r="AI3655"/>
      <c r="AJ3655"/>
      <c r="AK3655"/>
    </row>
    <row r="3656" spans="1:37" ht="13.05" customHeight="1" x14ac:dyDescent="0.25">
      <c r="A3656"/>
      <c r="C3656" s="191"/>
      <c r="D3656" s="191"/>
      <c r="F3656"/>
      <c r="G3656"/>
      <c r="H3656" s="36"/>
      <c r="I3656" s="125"/>
      <c r="S3656" s="4"/>
      <c r="T3656" s="124"/>
      <c r="U3656" s="22"/>
      <c r="V3656" s="22"/>
      <c r="W3656" s="78"/>
      <c r="X3656" s="78"/>
      <c r="AF3656"/>
      <c r="AG3656"/>
      <c r="AH3656"/>
      <c r="AI3656"/>
      <c r="AJ3656"/>
      <c r="AK3656"/>
    </row>
    <row r="3657" spans="1:37" ht="13.05" customHeight="1" x14ac:dyDescent="0.25">
      <c r="A3657"/>
      <c r="C3657" s="191"/>
      <c r="D3657" s="191"/>
      <c r="F3657"/>
      <c r="G3657"/>
      <c r="H3657" s="36"/>
      <c r="I3657" s="125"/>
      <c r="S3657" s="4"/>
      <c r="T3657" s="124"/>
      <c r="U3657" s="22"/>
      <c r="V3657" s="22"/>
      <c r="W3657" s="78"/>
      <c r="X3657" s="78"/>
      <c r="AF3657"/>
      <c r="AG3657"/>
      <c r="AH3657"/>
      <c r="AI3657"/>
      <c r="AJ3657"/>
      <c r="AK3657"/>
    </row>
    <row r="3658" spans="1:37" ht="13.05" customHeight="1" x14ac:dyDescent="0.25">
      <c r="A3658"/>
      <c r="C3658" s="191"/>
      <c r="D3658" s="191"/>
      <c r="F3658"/>
      <c r="G3658"/>
      <c r="H3658" s="36"/>
      <c r="I3658" s="125"/>
      <c r="S3658" s="4"/>
      <c r="T3658" s="124"/>
      <c r="U3658" s="22"/>
      <c r="V3658" s="22"/>
      <c r="W3658" s="78"/>
      <c r="X3658" s="78"/>
      <c r="AF3658"/>
      <c r="AG3658"/>
      <c r="AH3658"/>
      <c r="AI3658"/>
      <c r="AJ3658"/>
      <c r="AK3658"/>
    </row>
    <row r="3659" spans="1:37" ht="13.05" customHeight="1" x14ac:dyDescent="0.25">
      <c r="A3659"/>
      <c r="C3659" s="191"/>
      <c r="D3659" s="191"/>
      <c r="F3659"/>
      <c r="G3659"/>
      <c r="H3659" s="36"/>
      <c r="I3659" s="125"/>
      <c r="S3659" s="4"/>
      <c r="T3659" s="124"/>
      <c r="U3659" s="22"/>
      <c r="V3659" s="22"/>
      <c r="W3659" s="78"/>
      <c r="X3659" s="78"/>
      <c r="AF3659"/>
      <c r="AG3659"/>
      <c r="AH3659"/>
      <c r="AI3659"/>
      <c r="AJ3659"/>
      <c r="AK3659"/>
    </row>
    <row r="3660" spans="1:37" ht="13.05" customHeight="1" x14ac:dyDescent="0.25">
      <c r="A3660"/>
      <c r="C3660" s="191"/>
      <c r="D3660" s="191"/>
      <c r="F3660"/>
      <c r="G3660"/>
      <c r="H3660" s="36"/>
      <c r="I3660" s="125"/>
      <c r="S3660" s="4"/>
      <c r="T3660" s="124"/>
      <c r="U3660" s="22"/>
      <c r="V3660" s="22"/>
      <c r="W3660" s="78"/>
      <c r="X3660" s="78"/>
      <c r="AF3660"/>
      <c r="AG3660"/>
      <c r="AH3660"/>
      <c r="AI3660"/>
      <c r="AJ3660"/>
      <c r="AK3660"/>
    </row>
    <row r="3661" spans="1:37" ht="13.05" customHeight="1" x14ac:dyDescent="0.25">
      <c r="A3661"/>
      <c r="C3661" s="191"/>
      <c r="D3661" s="191"/>
      <c r="F3661"/>
      <c r="G3661"/>
      <c r="H3661" s="36"/>
      <c r="I3661" s="125"/>
      <c r="S3661" s="4"/>
      <c r="T3661" s="124"/>
      <c r="U3661" s="22"/>
      <c r="V3661" s="22"/>
      <c r="W3661" s="78"/>
      <c r="X3661" s="78"/>
      <c r="AF3661"/>
      <c r="AG3661"/>
      <c r="AH3661"/>
      <c r="AI3661"/>
      <c r="AJ3661"/>
      <c r="AK3661"/>
    </row>
    <row r="3662" spans="1:37" ht="13.05" customHeight="1" x14ac:dyDescent="0.25">
      <c r="A3662"/>
      <c r="C3662" s="191"/>
      <c r="D3662" s="191"/>
      <c r="F3662"/>
      <c r="G3662"/>
      <c r="H3662" s="36"/>
      <c r="I3662" s="125"/>
      <c r="S3662" s="4"/>
      <c r="T3662" s="124"/>
      <c r="U3662" s="22"/>
      <c r="V3662" s="22"/>
      <c r="W3662" s="78"/>
      <c r="X3662" s="78"/>
      <c r="AF3662"/>
      <c r="AG3662"/>
      <c r="AH3662"/>
      <c r="AI3662"/>
      <c r="AJ3662"/>
      <c r="AK3662"/>
    </row>
    <row r="3663" spans="1:37" ht="13.05" customHeight="1" x14ac:dyDescent="0.25">
      <c r="A3663"/>
      <c r="C3663" s="191"/>
      <c r="D3663" s="191"/>
      <c r="F3663"/>
      <c r="G3663"/>
      <c r="H3663" s="36"/>
      <c r="I3663" s="125"/>
      <c r="S3663" s="4"/>
      <c r="T3663" s="124"/>
      <c r="U3663" s="22"/>
      <c r="V3663" s="22"/>
      <c r="W3663" s="78"/>
      <c r="X3663" s="78"/>
      <c r="AF3663"/>
      <c r="AG3663"/>
      <c r="AH3663"/>
      <c r="AI3663"/>
      <c r="AJ3663"/>
      <c r="AK3663"/>
    </row>
    <row r="3664" spans="1:37" ht="13.05" customHeight="1" x14ac:dyDescent="0.25">
      <c r="A3664"/>
      <c r="C3664" s="191"/>
      <c r="D3664" s="191"/>
      <c r="F3664"/>
      <c r="G3664"/>
      <c r="H3664" s="36"/>
      <c r="I3664" s="125"/>
      <c r="S3664" s="4"/>
      <c r="T3664" s="124"/>
      <c r="U3664" s="22"/>
      <c r="V3664" s="22"/>
      <c r="W3664" s="78"/>
      <c r="X3664" s="78"/>
      <c r="AF3664"/>
      <c r="AG3664"/>
      <c r="AH3664"/>
      <c r="AI3664"/>
      <c r="AJ3664"/>
      <c r="AK3664"/>
    </row>
    <row r="3665" spans="1:37" ht="13.05" customHeight="1" x14ac:dyDescent="0.25">
      <c r="A3665"/>
      <c r="C3665" s="191"/>
      <c r="D3665" s="191"/>
      <c r="F3665"/>
      <c r="G3665"/>
      <c r="H3665" s="36"/>
      <c r="I3665" s="125"/>
      <c r="S3665" s="4"/>
      <c r="T3665" s="124"/>
      <c r="U3665" s="22"/>
      <c r="V3665" s="22"/>
      <c r="W3665" s="78"/>
      <c r="X3665" s="78"/>
      <c r="AF3665"/>
      <c r="AG3665"/>
      <c r="AH3665"/>
      <c r="AI3665"/>
      <c r="AJ3665"/>
      <c r="AK3665"/>
    </row>
    <row r="3666" spans="1:37" ht="13.05" customHeight="1" x14ac:dyDescent="0.25">
      <c r="A3666"/>
      <c r="C3666" s="191"/>
      <c r="D3666" s="191"/>
      <c r="F3666"/>
      <c r="G3666"/>
      <c r="H3666" s="36"/>
      <c r="I3666" s="125"/>
      <c r="S3666" s="4"/>
      <c r="T3666" s="124"/>
      <c r="U3666" s="22"/>
      <c r="V3666" s="22"/>
      <c r="W3666" s="78"/>
      <c r="X3666" s="78"/>
      <c r="AF3666"/>
      <c r="AG3666"/>
      <c r="AH3666"/>
      <c r="AI3666"/>
      <c r="AJ3666"/>
      <c r="AK3666"/>
    </row>
    <row r="3667" spans="1:37" ht="13.05" customHeight="1" x14ac:dyDescent="0.25">
      <c r="A3667"/>
      <c r="C3667" s="191"/>
      <c r="D3667" s="191"/>
      <c r="F3667"/>
      <c r="G3667"/>
      <c r="H3667" s="36"/>
      <c r="I3667" s="125"/>
      <c r="S3667" s="4"/>
      <c r="T3667" s="124"/>
      <c r="U3667" s="22"/>
      <c r="V3667" s="22"/>
      <c r="W3667" s="78"/>
      <c r="X3667" s="78"/>
      <c r="AF3667"/>
      <c r="AG3667"/>
      <c r="AH3667"/>
      <c r="AI3667"/>
      <c r="AJ3667"/>
      <c r="AK3667"/>
    </row>
    <row r="3668" spans="1:37" ht="13.05" customHeight="1" x14ac:dyDescent="0.25">
      <c r="A3668"/>
      <c r="C3668" s="191"/>
      <c r="D3668" s="191"/>
      <c r="F3668"/>
      <c r="G3668"/>
      <c r="H3668" s="36"/>
      <c r="I3668" s="125"/>
      <c r="S3668" s="4"/>
      <c r="T3668" s="124"/>
      <c r="U3668" s="22"/>
      <c r="V3668" s="22"/>
      <c r="W3668" s="78"/>
      <c r="X3668" s="78"/>
      <c r="AF3668"/>
      <c r="AG3668"/>
      <c r="AH3668"/>
      <c r="AI3668"/>
      <c r="AJ3668"/>
      <c r="AK3668"/>
    </row>
    <row r="3669" spans="1:37" ht="13.05" customHeight="1" x14ac:dyDescent="0.25">
      <c r="A3669"/>
      <c r="C3669" s="191"/>
      <c r="D3669" s="191"/>
      <c r="F3669"/>
      <c r="G3669"/>
      <c r="H3669" s="36"/>
      <c r="I3669" s="125"/>
      <c r="S3669" s="4"/>
      <c r="T3669" s="124"/>
      <c r="U3669" s="22"/>
      <c r="V3669" s="22"/>
      <c r="W3669" s="78"/>
      <c r="X3669" s="78"/>
      <c r="AF3669"/>
      <c r="AG3669"/>
      <c r="AH3669"/>
      <c r="AI3669"/>
      <c r="AJ3669"/>
      <c r="AK3669"/>
    </row>
    <row r="3670" spans="1:37" ht="13.05" customHeight="1" x14ac:dyDescent="0.25">
      <c r="A3670"/>
      <c r="C3670" s="191"/>
      <c r="D3670" s="191"/>
      <c r="F3670"/>
      <c r="G3670"/>
      <c r="H3670" s="36"/>
      <c r="I3670" s="125"/>
      <c r="S3670" s="4"/>
      <c r="T3670" s="124"/>
      <c r="U3670" s="22"/>
      <c r="V3670" s="22"/>
      <c r="W3670" s="78"/>
      <c r="X3670" s="78"/>
      <c r="AF3670"/>
      <c r="AG3670"/>
      <c r="AH3670"/>
      <c r="AI3670"/>
      <c r="AJ3670"/>
      <c r="AK3670"/>
    </row>
    <row r="3671" spans="1:37" ht="13.05" customHeight="1" x14ac:dyDescent="0.25">
      <c r="A3671"/>
      <c r="C3671" s="191"/>
      <c r="D3671" s="191"/>
      <c r="F3671"/>
      <c r="G3671"/>
      <c r="H3671" s="36"/>
      <c r="I3671" s="125"/>
      <c r="S3671" s="4"/>
      <c r="T3671" s="124"/>
      <c r="U3671" s="22"/>
      <c r="V3671" s="22"/>
      <c r="W3671" s="78"/>
      <c r="X3671" s="78"/>
      <c r="AF3671"/>
      <c r="AG3671"/>
      <c r="AH3671"/>
      <c r="AI3671"/>
      <c r="AJ3671"/>
      <c r="AK3671"/>
    </row>
    <row r="3672" spans="1:37" ht="13.05" customHeight="1" x14ac:dyDescent="0.25">
      <c r="A3672"/>
      <c r="C3672" s="191"/>
      <c r="D3672" s="191"/>
      <c r="F3672"/>
      <c r="G3672"/>
      <c r="H3672" s="36"/>
      <c r="I3672" s="125"/>
      <c r="S3672" s="4"/>
      <c r="T3672" s="124"/>
      <c r="U3672" s="22"/>
      <c r="V3672" s="22"/>
      <c r="W3672" s="78"/>
      <c r="X3672" s="78"/>
      <c r="AF3672"/>
      <c r="AG3672"/>
      <c r="AH3672"/>
      <c r="AI3672"/>
      <c r="AJ3672"/>
      <c r="AK3672"/>
    </row>
    <row r="3673" spans="1:37" ht="13.05" customHeight="1" x14ac:dyDescent="0.25">
      <c r="A3673"/>
      <c r="C3673" s="191"/>
      <c r="D3673" s="191"/>
      <c r="F3673"/>
      <c r="G3673"/>
      <c r="H3673" s="36"/>
      <c r="I3673" s="125"/>
      <c r="S3673" s="4"/>
      <c r="T3673" s="124"/>
      <c r="U3673" s="22"/>
      <c r="V3673" s="22"/>
      <c r="W3673" s="78"/>
      <c r="X3673" s="78"/>
      <c r="AF3673"/>
      <c r="AG3673"/>
      <c r="AH3673"/>
      <c r="AI3673"/>
      <c r="AJ3673"/>
      <c r="AK3673"/>
    </row>
    <row r="3674" spans="1:37" ht="13.05" customHeight="1" x14ac:dyDescent="0.25">
      <c r="A3674"/>
      <c r="C3674" s="191"/>
      <c r="D3674" s="191"/>
      <c r="F3674"/>
      <c r="G3674"/>
      <c r="H3674" s="36"/>
      <c r="I3674" s="125"/>
      <c r="S3674" s="4"/>
      <c r="T3674" s="124"/>
      <c r="U3674" s="22"/>
      <c r="V3674" s="22"/>
      <c r="W3674" s="78"/>
      <c r="X3674" s="78"/>
      <c r="AF3674"/>
      <c r="AG3674"/>
      <c r="AH3674"/>
      <c r="AI3674"/>
      <c r="AJ3674"/>
      <c r="AK3674"/>
    </row>
    <row r="3675" spans="1:37" ht="13.05" customHeight="1" x14ac:dyDescent="0.25">
      <c r="A3675"/>
      <c r="C3675" s="191"/>
      <c r="D3675" s="191"/>
      <c r="F3675"/>
      <c r="G3675"/>
      <c r="H3675" s="36"/>
      <c r="I3675" s="125"/>
      <c r="S3675" s="4"/>
      <c r="T3675" s="124"/>
      <c r="U3675" s="22"/>
      <c r="V3675" s="22"/>
      <c r="W3675" s="78"/>
      <c r="X3675" s="78"/>
      <c r="AF3675"/>
      <c r="AG3675"/>
      <c r="AH3675"/>
      <c r="AI3675"/>
      <c r="AJ3675"/>
      <c r="AK3675"/>
    </row>
    <row r="3676" spans="1:37" ht="13.05" customHeight="1" x14ac:dyDescent="0.25">
      <c r="A3676"/>
      <c r="C3676" s="191"/>
      <c r="D3676" s="191"/>
      <c r="F3676"/>
      <c r="G3676"/>
      <c r="H3676" s="36"/>
      <c r="I3676" s="125"/>
      <c r="S3676" s="4"/>
      <c r="T3676" s="124"/>
      <c r="U3676" s="22"/>
      <c r="V3676" s="22"/>
      <c r="W3676" s="78"/>
      <c r="X3676" s="78"/>
      <c r="AF3676"/>
      <c r="AG3676"/>
      <c r="AH3676"/>
      <c r="AI3676"/>
      <c r="AJ3676"/>
      <c r="AK3676"/>
    </row>
    <row r="3677" spans="1:37" ht="13.05" customHeight="1" x14ac:dyDescent="0.25">
      <c r="A3677"/>
      <c r="C3677" s="191"/>
      <c r="D3677" s="191"/>
      <c r="F3677"/>
      <c r="G3677"/>
      <c r="H3677" s="36"/>
      <c r="I3677" s="125"/>
      <c r="S3677" s="4"/>
      <c r="T3677" s="124"/>
      <c r="U3677" s="22"/>
      <c r="V3677" s="22"/>
      <c r="W3677" s="78"/>
      <c r="X3677" s="78"/>
      <c r="AF3677"/>
      <c r="AG3677"/>
      <c r="AH3677"/>
      <c r="AI3677"/>
      <c r="AJ3677"/>
      <c r="AK3677"/>
    </row>
    <row r="3678" spans="1:37" ht="13.05" customHeight="1" x14ac:dyDescent="0.25">
      <c r="A3678"/>
      <c r="C3678" s="191"/>
      <c r="D3678" s="191"/>
      <c r="F3678"/>
      <c r="G3678"/>
      <c r="H3678" s="36"/>
      <c r="I3678" s="125"/>
      <c r="S3678" s="4"/>
      <c r="T3678" s="124"/>
      <c r="U3678" s="22"/>
      <c r="V3678" s="22"/>
      <c r="W3678" s="78"/>
      <c r="X3678" s="78"/>
      <c r="AF3678"/>
      <c r="AG3678"/>
      <c r="AH3678"/>
      <c r="AI3678"/>
      <c r="AJ3678"/>
      <c r="AK3678"/>
    </row>
    <row r="3679" spans="1:37" ht="13.05" customHeight="1" x14ac:dyDescent="0.25">
      <c r="A3679"/>
      <c r="C3679" s="191"/>
      <c r="D3679" s="191"/>
      <c r="F3679"/>
      <c r="G3679"/>
      <c r="H3679" s="36"/>
      <c r="I3679" s="125"/>
      <c r="S3679" s="4"/>
      <c r="T3679" s="124"/>
      <c r="U3679" s="22"/>
      <c r="V3679" s="22"/>
      <c r="W3679" s="78"/>
      <c r="X3679" s="78"/>
      <c r="AF3679"/>
      <c r="AG3679"/>
      <c r="AH3679"/>
      <c r="AI3679"/>
      <c r="AJ3679"/>
      <c r="AK3679"/>
    </row>
    <row r="3680" spans="1:37" ht="13.05" customHeight="1" x14ac:dyDescent="0.25">
      <c r="A3680"/>
      <c r="C3680" s="191"/>
      <c r="D3680" s="191"/>
      <c r="F3680"/>
      <c r="G3680"/>
      <c r="H3680" s="36"/>
      <c r="I3680" s="125"/>
      <c r="S3680" s="4"/>
      <c r="T3680" s="124"/>
      <c r="U3680" s="22"/>
      <c r="V3680" s="22"/>
      <c r="W3680" s="78"/>
      <c r="X3680" s="78"/>
      <c r="AF3680"/>
      <c r="AG3680"/>
      <c r="AH3680"/>
      <c r="AI3680"/>
      <c r="AJ3680"/>
      <c r="AK3680"/>
    </row>
    <row r="3681" spans="1:37" ht="13.05" customHeight="1" x14ac:dyDescent="0.25">
      <c r="A3681"/>
      <c r="C3681" s="191"/>
      <c r="D3681" s="191"/>
      <c r="F3681"/>
      <c r="G3681"/>
      <c r="H3681" s="36"/>
      <c r="I3681" s="125"/>
      <c r="S3681" s="4"/>
      <c r="T3681" s="124"/>
      <c r="U3681" s="22"/>
      <c r="V3681" s="22"/>
      <c r="W3681" s="78"/>
      <c r="X3681" s="78"/>
      <c r="AF3681"/>
      <c r="AG3681"/>
      <c r="AH3681"/>
      <c r="AI3681"/>
      <c r="AJ3681"/>
      <c r="AK3681"/>
    </row>
    <row r="3682" spans="1:37" ht="13.05" customHeight="1" x14ac:dyDescent="0.25">
      <c r="A3682"/>
      <c r="C3682" s="191"/>
      <c r="D3682" s="191"/>
      <c r="F3682"/>
      <c r="G3682"/>
      <c r="H3682" s="36"/>
      <c r="I3682" s="125"/>
      <c r="S3682" s="4"/>
      <c r="T3682" s="124"/>
      <c r="U3682" s="22"/>
      <c r="V3682" s="22"/>
      <c r="W3682" s="78"/>
      <c r="X3682" s="78"/>
      <c r="AF3682"/>
      <c r="AG3682"/>
      <c r="AH3682"/>
      <c r="AI3682"/>
      <c r="AJ3682"/>
      <c r="AK3682"/>
    </row>
    <row r="3683" spans="1:37" ht="13.05" customHeight="1" x14ac:dyDescent="0.25">
      <c r="A3683"/>
      <c r="C3683" s="191"/>
      <c r="D3683" s="191"/>
      <c r="F3683"/>
      <c r="G3683"/>
      <c r="H3683" s="36"/>
      <c r="I3683" s="125"/>
      <c r="S3683" s="4"/>
      <c r="T3683" s="124"/>
      <c r="U3683" s="22"/>
      <c r="V3683" s="22"/>
      <c r="W3683" s="78"/>
      <c r="X3683" s="78"/>
      <c r="AF3683"/>
      <c r="AG3683"/>
      <c r="AH3683"/>
      <c r="AI3683"/>
      <c r="AJ3683"/>
      <c r="AK3683"/>
    </row>
    <row r="3684" spans="1:37" ht="13.05" customHeight="1" x14ac:dyDescent="0.25">
      <c r="A3684"/>
      <c r="C3684" s="191"/>
      <c r="D3684" s="191"/>
      <c r="F3684"/>
      <c r="G3684"/>
      <c r="H3684" s="36"/>
      <c r="I3684" s="125"/>
      <c r="S3684" s="4"/>
      <c r="T3684" s="124"/>
      <c r="U3684" s="22"/>
      <c r="V3684" s="22"/>
      <c r="W3684" s="78"/>
      <c r="X3684" s="78"/>
      <c r="AF3684"/>
      <c r="AG3684"/>
      <c r="AH3684"/>
      <c r="AI3684"/>
      <c r="AJ3684"/>
      <c r="AK3684"/>
    </row>
    <row r="3685" spans="1:37" ht="13.05" customHeight="1" x14ac:dyDescent="0.25">
      <c r="A3685"/>
      <c r="C3685" s="191"/>
      <c r="D3685" s="191"/>
      <c r="F3685"/>
      <c r="G3685"/>
      <c r="H3685" s="36"/>
      <c r="I3685" s="125"/>
      <c r="S3685" s="4"/>
      <c r="T3685" s="124"/>
      <c r="U3685" s="22"/>
      <c r="V3685" s="22"/>
      <c r="W3685" s="78"/>
      <c r="X3685" s="78"/>
      <c r="AF3685"/>
      <c r="AG3685"/>
      <c r="AH3685"/>
      <c r="AI3685"/>
      <c r="AJ3685"/>
      <c r="AK3685"/>
    </row>
    <row r="3686" spans="1:37" ht="13.05" customHeight="1" x14ac:dyDescent="0.25">
      <c r="A3686"/>
      <c r="C3686" s="191"/>
      <c r="D3686" s="191"/>
      <c r="F3686"/>
      <c r="G3686"/>
      <c r="H3686" s="36"/>
      <c r="I3686" s="125"/>
      <c r="S3686" s="4"/>
      <c r="T3686" s="124"/>
      <c r="U3686" s="22"/>
      <c r="V3686" s="22"/>
      <c r="W3686" s="78"/>
      <c r="X3686" s="78"/>
      <c r="AF3686"/>
      <c r="AG3686"/>
      <c r="AH3686"/>
      <c r="AI3686"/>
      <c r="AJ3686"/>
      <c r="AK3686"/>
    </row>
    <row r="3687" spans="1:37" ht="13.05" customHeight="1" x14ac:dyDescent="0.25">
      <c r="A3687"/>
      <c r="C3687" s="191"/>
      <c r="D3687" s="191"/>
      <c r="F3687"/>
      <c r="G3687"/>
      <c r="H3687" s="36"/>
      <c r="I3687" s="125"/>
      <c r="S3687" s="4"/>
      <c r="T3687" s="124"/>
      <c r="U3687" s="22"/>
      <c r="V3687" s="22"/>
      <c r="W3687" s="78"/>
      <c r="X3687" s="78"/>
      <c r="AF3687"/>
      <c r="AG3687"/>
      <c r="AH3687"/>
      <c r="AI3687"/>
      <c r="AJ3687"/>
      <c r="AK3687"/>
    </row>
    <row r="3688" spans="1:37" ht="13.05" customHeight="1" x14ac:dyDescent="0.25">
      <c r="A3688"/>
      <c r="C3688" s="191"/>
      <c r="D3688" s="191"/>
      <c r="F3688"/>
      <c r="G3688"/>
      <c r="H3688" s="36"/>
      <c r="I3688" s="125"/>
      <c r="S3688" s="4"/>
      <c r="T3688" s="124"/>
      <c r="U3688" s="22"/>
      <c r="V3688" s="22"/>
      <c r="W3688" s="78"/>
      <c r="X3688" s="78"/>
      <c r="AF3688"/>
      <c r="AG3688"/>
      <c r="AH3688"/>
      <c r="AI3688"/>
      <c r="AJ3688"/>
      <c r="AK3688"/>
    </row>
    <row r="3689" spans="1:37" ht="13.05" customHeight="1" x14ac:dyDescent="0.25">
      <c r="A3689"/>
      <c r="C3689" s="191"/>
      <c r="D3689" s="191"/>
      <c r="F3689"/>
      <c r="G3689"/>
      <c r="H3689" s="36"/>
      <c r="I3689" s="125"/>
      <c r="S3689" s="4"/>
      <c r="T3689" s="124"/>
      <c r="U3689" s="22"/>
      <c r="V3689" s="22"/>
      <c r="W3689" s="78"/>
      <c r="X3689" s="78"/>
      <c r="AF3689"/>
      <c r="AG3689"/>
      <c r="AH3689"/>
      <c r="AI3689"/>
      <c r="AJ3689"/>
      <c r="AK3689"/>
    </row>
    <row r="3690" spans="1:37" ht="13.05" customHeight="1" x14ac:dyDescent="0.25">
      <c r="A3690"/>
      <c r="C3690" s="191"/>
      <c r="D3690" s="191"/>
      <c r="F3690"/>
      <c r="G3690"/>
      <c r="H3690" s="36"/>
      <c r="I3690" s="125"/>
      <c r="S3690" s="4"/>
      <c r="T3690" s="124"/>
      <c r="U3690" s="22"/>
      <c r="V3690" s="22"/>
      <c r="W3690" s="78"/>
      <c r="X3690" s="78"/>
      <c r="AF3690"/>
      <c r="AG3690"/>
      <c r="AH3690"/>
      <c r="AI3690"/>
      <c r="AJ3690"/>
      <c r="AK3690"/>
    </row>
    <row r="3691" spans="1:37" ht="13.05" customHeight="1" x14ac:dyDescent="0.25">
      <c r="A3691"/>
      <c r="C3691" s="191"/>
      <c r="D3691" s="191"/>
      <c r="F3691"/>
      <c r="G3691"/>
      <c r="H3691" s="36"/>
      <c r="I3691" s="125"/>
      <c r="S3691" s="4"/>
      <c r="T3691" s="124"/>
      <c r="U3691" s="22"/>
      <c r="V3691" s="22"/>
      <c r="W3691" s="78"/>
      <c r="X3691" s="78"/>
      <c r="AF3691"/>
      <c r="AG3691"/>
      <c r="AH3691"/>
      <c r="AI3691"/>
      <c r="AJ3691"/>
      <c r="AK3691"/>
    </row>
    <row r="3692" spans="1:37" ht="13.05" customHeight="1" x14ac:dyDescent="0.25">
      <c r="A3692"/>
      <c r="C3692" s="191"/>
      <c r="D3692" s="191"/>
      <c r="F3692"/>
      <c r="G3692"/>
      <c r="H3692" s="36"/>
      <c r="I3692" s="125"/>
      <c r="S3692" s="4"/>
      <c r="T3692" s="124"/>
      <c r="U3692" s="22"/>
      <c r="V3692" s="22"/>
      <c r="W3692" s="78"/>
      <c r="X3692" s="78"/>
      <c r="AF3692"/>
      <c r="AG3692"/>
      <c r="AH3692"/>
      <c r="AI3692"/>
      <c r="AJ3692"/>
      <c r="AK3692"/>
    </row>
    <row r="3693" spans="1:37" ht="13.05" customHeight="1" x14ac:dyDescent="0.25">
      <c r="A3693"/>
      <c r="C3693" s="191"/>
      <c r="D3693" s="191"/>
      <c r="F3693"/>
      <c r="G3693"/>
      <c r="H3693" s="36"/>
      <c r="I3693" s="125"/>
      <c r="S3693" s="4"/>
      <c r="T3693" s="124"/>
      <c r="U3693" s="22"/>
      <c r="V3693" s="22"/>
      <c r="W3693" s="78"/>
      <c r="X3693" s="78"/>
      <c r="AF3693"/>
      <c r="AG3693"/>
      <c r="AH3693"/>
      <c r="AI3693"/>
      <c r="AJ3693"/>
      <c r="AK3693"/>
    </row>
    <row r="3694" spans="1:37" ht="13.05" customHeight="1" x14ac:dyDescent="0.25">
      <c r="A3694"/>
      <c r="C3694" s="191"/>
      <c r="D3694" s="191"/>
      <c r="F3694"/>
      <c r="G3694"/>
      <c r="H3694" s="36"/>
      <c r="I3694" s="125"/>
      <c r="S3694" s="4"/>
      <c r="T3694" s="124"/>
      <c r="U3694" s="22"/>
      <c r="V3694" s="22"/>
      <c r="W3694" s="78"/>
      <c r="X3694" s="78"/>
      <c r="AF3694"/>
      <c r="AG3694"/>
      <c r="AH3694"/>
      <c r="AI3694"/>
      <c r="AJ3694"/>
      <c r="AK3694"/>
    </row>
    <row r="3695" spans="1:37" ht="13.05" customHeight="1" x14ac:dyDescent="0.25">
      <c r="A3695"/>
      <c r="C3695" s="191"/>
      <c r="D3695" s="191"/>
      <c r="F3695"/>
      <c r="G3695"/>
      <c r="H3695" s="36"/>
      <c r="I3695" s="125"/>
      <c r="S3695" s="4"/>
      <c r="T3695" s="124"/>
      <c r="U3695" s="22"/>
      <c r="V3695" s="22"/>
      <c r="W3695" s="78"/>
      <c r="X3695" s="78"/>
      <c r="AF3695"/>
      <c r="AG3695"/>
      <c r="AH3695"/>
      <c r="AI3695"/>
      <c r="AJ3695"/>
      <c r="AK3695"/>
    </row>
    <row r="3696" spans="1:37" ht="13.05" customHeight="1" x14ac:dyDescent="0.25">
      <c r="A3696"/>
      <c r="C3696" s="191"/>
      <c r="D3696" s="191"/>
      <c r="F3696"/>
      <c r="G3696"/>
      <c r="H3696" s="36"/>
      <c r="I3696" s="125"/>
      <c r="S3696" s="4"/>
      <c r="T3696" s="124"/>
      <c r="U3696" s="22"/>
      <c r="V3696" s="22"/>
      <c r="W3696" s="78"/>
      <c r="X3696" s="78"/>
      <c r="AF3696"/>
      <c r="AG3696"/>
      <c r="AH3696"/>
      <c r="AI3696"/>
      <c r="AJ3696"/>
      <c r="AK3696"/>
    </row>
    <row r="3697" spans="1:37" ht="13.05" customHeight="1" x14ac:dyDescent="0.25">
      <c r="A3697"/>
      <c r="C3697" s="191"/>
      <c r="D3697" s="191"/>
      <c r="F3697"/>
      <c r="G3697"/>
      <c r="H3697" s="36"/>
      <c r="I3697" s="125"/>
      <c r="S3697" s="4"/>
      <c r="T3697" s="124"/>
      <c r="U3697" s="22"/>
      <c r="V3697" s="22"/>
      <c r="W3697" s="78"/>
      <c r="X3697" s="78"/>
      <c r="AF3697"/>
      <c r="AG3697"/>
      <c r="AH3697"/>
      <c r="AI3697"/>
      <c r="AJ3697"/>
      <c r="AK3697"/>
    </row>
    <row r="3698" spans="1:37" ht="13.05" customHeight="1" x14ac:dyDescent="0.25">
      <c r="A3698"/>
      <c r="C3698" s="191"/>
      <c r="D3698" s="191"/>
      <c r="F3698"/>
      <c r="G3698"/>
      <c r="H3698" s="36"/>
      <c r="I3698" s="125"/>
      <c r="S3698" s="4"/>
      <c r="T3698" s="124"/>
      <c r="U3698" s="22"/>
      <c r="V3698" s="22"/>
      <c r="W3698" s="78"/>
      <c r="X3698" s="78"/>
      <c r="AF3698"/>
      <c r="AG3698"/>
      <c r="AH3698"/>
      <c r="AI3698"/>
      <c r="AJ3698"/>
      <c r="AK3698"/>
    </row>
    <row r="3699" spans="1:37" ht="13.05" customHeight="1" x14ac:dyDescent="0.25">
      <c r="A3699"/>
      <c r="C3699" s="191"/>
      <c r="D3699" s="191"/>
      <c r="F3699"/>
      <c r="G3699"/>
      <c r="H3699" s="36"/>
      <c r="I3699" s="125"/>
      <c r="S3699" s="4"/>
      <c r="T3699" s="124"/>
      <c r="U3699" s="22"/>
      <c r="V3699" s="22"/>
      <c r="W3699" s="78"/>
      <c r="X3699" s="78"/>
      <c r="AF3699"/>
      <c r="AG3699"/>
      <c r="AH3699"/>
      <c r="AI3699"/>
      <c r="AJ3699"/>
      <c r="AK3699"/>
    </row>
    <row r="3700" spans="1:37" ht="13.05" customHeight="1" x14ac:dyDescent="0.25">
      <c r="A3700"/>
      <c r="C3700" s="191"/>
      <c r="D3700" s="191"/>
      <c r="F3700"/>
      <c r="G3700"/>
      <c r="H3700" s="36"/>
      <c r="I3700" s="125"/>
      <c r="S3700" s="4"/>
      <c r="T3700" s="124"/>
      <c r="U3700" s="22"/>
      <c r="V3700" s="22"/>
      <c r="W3700" s="78"/>
      <c r="X3700" s="78"/>
      <c r="AF3700"/>
      <c r="AG3700"/>
      <c r="AH3700"/>
      <c r="AI3700"/>
      <c r="AJ3700"/>
      <c r="AK3700"/>
    </row>
    <row r="3701" spans="1:37" ht="13.05" customHeight="1" x14ac:dyDescent="0.25">
      <c r="A3701"/>
      <c r="C3701" s="191"/>
      <c r="D3701" s="191"/>
      <c r="F3701"/>
      <c r="G3701"/>
      <c r="H3701" s="36"/>
      <c r="I3701" s="125"/>
      <c r="S3701" s="4"/>
      <c r="T3701" s="124"/>
      <c r="U3701" s="22"/>
      <c r="V3701" s="22"/>
      <c r="W3701" s="78"/>
      <c r="X3701" s="78"/>
      <c r="AF3701"/>
      <c r="AG3701"/>
      <c r="AH3701"/>
      <c r="AI3701"/>
      <c r="AJ3701"/>
      <c r="AK3701"/>
    </row>
    <row r="3702" spans="1:37" ht="13.05" customHeight="1" x14ac:dyDescent="0.25">
      <c r="A3702"/>
      <c r="C3702" s="191"/>
      <c r="D3702" s="191"/>
      <c r="F3702"/>
      <c r="G3702"/>
      <c r="H3702" s="36"/>
      <c r="I3702" s="125"/>
      <c r="S3702" s="4"/>
      <c r="T3702" s="124"/>
      <c r="U3702" s="22"/>
      <c r="V3702" s="22"/>
      <c r="W3702" s="78"/>
      <c r="X3702" s="78"/>
      <c r="AF3702"/>
      <c r="AG3702"/>
      <c r="AH3702"/>
      <c r="AI3702"/>
      <c r="AJ3702"/>
      <c r="AK3702"/>
    </row>
    <row r="3703" spans="1:37" ht="13.05" customHeight="1" x14ac:dyDescent="0.25">
      <c r="A3703"/>
      <c r="C3703" s="191"/>
      <c r="D3703" s="191"/>
      <c r="F3703"/>
      <c r="G3703"/>
      <c r="H3703" s="36"/>
      <c r="I3703" s="125"/>
      <c r="S3703" s="4"/>
      <c r="T3703" s="124"/>
      <c r="U3703" s="22"/>
      <c r="V3703" s="22"/>
      <c r="W3703" s="78"/>
      <c r="X3703" s="78"/>
      <c r="AF3703"/>
      <c r="AG3703"/>
      <c r="AH3703"/>
      <c r="AI3703"/>
      <c r="AJ3703"/>
      <c r="AK3703"/>
    </row>
    <row r="3704" spans="1:37" ht="13.05" customHeight="1" x14ac:dyDescent="0.25">
      <c r="A3704"/>
      <c r="C3704" s="191"/>
      <c r="D3704" s="191"/>
      <c r="F3704"/>
      <c r="G3704"/>
      <c r="H3704" s="36"/>
      <c r="I3704" s="125"/>
      <c r="S3704" s="4"/>
      <c r="T3704" s="124"/>
      <c r="U3704" s="22"/>
      <c r="V3704" s="22"/>
      <c r="W3704" s="78"/>
      <c r="X3704" s="78"/>
      <c r="AF3704"/>
      <c r="AG3704"/>
      <c r="AH3704"/>
      <c r="AI3704"/>
      <c r="AJ3704"/>
      <c r="AK3704"/>
    </row>
    <row r="3705" spans="1:37" ht="13.05" customHeight="1" x14ac:dyDescent="0.25">
      <c r="A3705"/>
      <c r="C3705" s="191"/>
      <c r="D3705" s="191"/>
      <c r="F3705"/>
      <c r="G3705"/>
      <c r="H3705" s="36"/>
      <c r="I3705" s="125"/>
      <c r="S3705" s="4"/>
      <c r="T3705" s="124"/>
      <c r="U3705" s="22"/>
      <c r="V3705" s="22"/>
      <c r="W3705" s="78"/>
      <c r="X3705" s="78"/>
      <c r="AF3705"/>
      <c r="AG3705"/>
      <c r="AH3705"/>
      <c r="AI3705"/>
      <c r="AJ3705"/>
      <c r="AK3705"/>
    </row>
    <row r="3706" spans="1:37" ht="13.05" customHeight="1" x14ac:dyDescent="0.25">
      <c r="A3706"/>
      <c r="C3706" s="191"/>
      <c r="D3706" s="191"/>
      <c r="F3706"/>
      <c r="G3706"/>
      <c r="H3706" s="36"/>
      <c r="I3706" s="125"/>
      <c r="S3706" s="4"/>
      <c r="T3706" s="124"/>
      <c r="U3706" s="22"/>
      <c r="V3706" s="22"/>
      <c r="W3706" s="78"/>
      <c r="X3706" s="78"/>
      <c r="AF3706"/>
      <c r="AG3706"/>
      <c r="AH3706"/>
      <c r="AI3706"/>
      <c r="AJ3706"/>
      <c r="AK3706"/>
    </row>
    <row r="3707" spans="1:37" ht="13.05" customHeight="1" x14ac:dyDescent="0.25">
      <c r="A3707"/>
      <c r="C3707" s="191"/>
      <c r="D3707" s="191"/>
      <c r="F3707"/>
      <c r="G3707"/>
      <c r="H3707" s="36"/>
      <c r="I3707" s="125"/>
      <c r="S3707" s="4"/>
      <c r="T3707" s="124"/>
      <c r="U3707" s="22"/>
      <c r="V3707" s="22"/>
      <c r="W3707" s="78"/>
      <c r="X3707" s="78"/>
      <c r="AF3707"/>
      <c r="AG3707"/>
      <c r="AH3707"/>
      <c r="AI3707"/>
      <c r="AJ3707"/>
      <c r="AK3707"/>
    </row>
    <row r="3708" spans="1:37" ht="13.05" customHeight="1" x14ac:dyDescent="0.25">
      <c r="A3708"/>
      <c r="C3708" s="191"/>
      <c r="D3708" s="191"/>
      <c r="F3708"/>
      <c r="G3708"/>
      <c r="H3708" s="36"/>
      <c r="I3708" s="125"/>
      <c r="S3708" s="4"/>
      <c r="T3708" s="124"/>
      <c r="U3708" s="22"/>
      <c r="V3708" s="22"/>
      <c r="W3708" s="78"/>
      <c r="X3708" s="78"/>
      <c r="AF3708"/>
      <c r="AG3708"/>
      <c r="AH3708"/>
      <c r="AI3708"/>
      <c r="AJ3708"/>
      <c r="AK3708"/>
    </row>
    <row r="3709" spans="1:37" ht="13.05" customHeight="1" x14ac:dyDescent="0.25">
      <c r="A3709"/>
      <c r="C3709" s="191"/>
      <c r="D3709" s="191"/>
      <c r="F3709"/>
      <c r="G3709"/>
      <c r="H3709" s="36"/>
      <c r="I3709" s="125"/>
      <c r="S3709" s="4"/>
      <c r="T3709" s="124"/>
      <c r="U3709" s="22"/>
      <c r="V3709" s="22"/>
      <c r="W3709" s="78"/>
      <c r="X3709" s="78"/>
      <c r="AF3709"/>
      <c r="AG3709"/>
      <c r="AH3709"/>
      <c r="AI3709"/>
      <c r="AJ3709"/>
      <c r="AK3709"/>
    </row>
    <row r="3710" spans="1:37" ht="13.05" customHeight="1" x14ac:dyDescent="0.25">
      <c r="A3710"/>
      <c r="C3710" s="191"/>
      <c r="D3710" s="191"/>
      <c r="F3710"/>
      <c r="G3710"/>
      <c r="H3710" s="36"/>
      <c r="I3710" s="125"/>
      <c r="S3710" s="4"/>
      <c r="T3710" s="124"/>
      <c r="U3710" s="22"/>
      <c r="V3710" s="22"/>
      <c r="W3710" s="78"/>
      <c r="X3710" s="78"/>
      <c r="AF3710"/>
      <c r="AG3710"/>
      <c r="AH3710"/>
      <c r="AI3710"/>
      <c r="AJ3710"/>
      <c r="AK3710"/>
    </row>
    <row r="3711" spans="1:37" ht="13.05" customHeight="1" x14ac:dyDescent="0.25">
      <c r="A3711"/>
      <c r="C3711" s="191"/>
      <c r="D3711" s="191"/>
      <c r="F3711"/>
      <c r="G3711"/>
      <c r="H3711" s="36"/>
      <c r="I3711" s="125"/>
      <c r="S3711" s="4"/>
      <c r="T3711" s="124"/>
      <c r="U3711" s="22"/>
      <c r="V3711" s="22"/>
      <c r="W3711" s="78"/>
      <c r="X3711" s="78"/>
      <c r="AF3711"/>
      <c r="AG3711"/>
      <c r="AH3711"/>
      <c r="AI3711"/>
      <c r="AJ3711"/>
      <c r="AK3711"/>
    </row>
    <row r="3712" spans="1:37" ht="13.05" customHeight="1" x14ac:dyDescent="0.25">
      <c r="A3712"/>
      <c r="C3712" s="191"/>
      <c r="D3712" s="191"/>
      <c r="F3712"/>
      <c r="G3712"/>
      <c r="H3712" s="36"/>
      <c r="I3712" s="125"/>
      <c r="S3712" s="4"/>
      <c r="T3712" s="124"/>
      <c r="U3712" s="22"/>
      <c r="V3712" s="22"/>
      <c r="W3712" s="78"/>
      <c r="X3712" s="78"/>
      <c r="AF3712"/>
      <c r="AG3712"/>
      <c r="AH3712"/>
      <c r="AI3712"/>
      <c r="AJ3712"/>
      <c r="AK3712"/>
    </row>
    <row r="3713" spans="1:37" ht="13.05" customHeight="1" x14ac:dyDescent="0.25">
      <c r="A3713"/>
      <c r="C3713" s="191"/>
      <c r="D3713" s="191"/>
      <c r="F3713"/>
      <c r="G3713"/>
      <c r="H3713" s="36"/>
      <c r="I3713" s="125"/>
      <c r="S3713" s="4"/>
      <c r="T3713" s="124"/>
      <c r="U3713" s="22"/>
      <c r="V3713" s="22"/>
      <c r="W3713" s="78"/>
      <c r="X3713" s="78"/>
      <c r="AF3713"/>
      <c r="AG3713"/>
      <c r="AH3713"/>
      <c r="AI3713"/>
      <c r="AJ3713"/>
      <c r="AK3713"/>
    </row>
    <row r="3714" spans="1:37" ht="13.05" customHeight="1" x14ac:dyDescent="0.25">
      <c r="A3714"/>
      <c r="C3714" s="191"/>
      <c r="D3714" s="191"/>
      <c r="F3714"/>
      <c r="G3714"/>
      <c r="H3714" s="36"/>
      <c r="I3714" s="125"/>
      <c r="S3714" s="4"/>
      <c r="T3714" s="124"/>
      <c r="U3714" s="22"/>
      <c r="V3714" s="22"/>
      <c r="W3714" s="78"/>
      <c r="X3714" s="78"/>
      <c r="AF3714"/>
      <c r="AG3714"/>
      <c r="AH3714"/>
      <c r="AI3714"/>
      <c r="AJ3714"/>
      <c r="AK3714"/>
    </row>
    <row r="3715" spans="1:37" ht="13.05" customHeight="1" x14ac:dyDescent="0.25">
      <c r="A3715"/>
      <c r="C3715" s="191"/>
      <c r="D3715" s="191"/>
      <c r="F3715"/>
      <c r="G3715"/>
      <c r="H3715" s="36"/>
      <c r="I3715" s="125"/>
      <c r="S3715" s="4"/>
      <c r="T3715" s="124"/>
      <c r="U3715" s="22"/>
      <c r="V3715" s="22"/>
      <c r="W3715" s="78"/>
      <c r="X3715" s="78"/>
      <c r="AF3715"/>
      <c r="AG3715"/>
      <c r="AH3715"/>
      <c r="AI3715"/>
      <c r="AJ3715"/>
      <c r="AK3715"/>
    </row>
    <row r="3716" spans="1:37" ht="13.05" customHeight="1" x14ac:dyDescent="0.25">
      <c r="A3716"/>
      <c r="C3716" s="191"/>
      <c r="D3716" s="191"/>
      <c r="F3716"/>
      <c r="G3716"/>
      <c r="H3716" s="36"/>
      <c r="I3716" s="125"/>
      <c r="S3716" s="4"/>
      <c r="T3716" s="124"/>
      <c r="U3716" s="22"/>
      <c r="V3716" s="22"/>
      <c r="W3716" s="78"/>
      <c r="X3716" s="78"/>
      <c r="AF3716"/>
      <c r="AG3716"/>
      <c r="AH3716"/>
      <c r="AI3716"/>
      <c r="AJ3716"/>
      <c r="AK3716"/>
    </row>
    <row r="3717" spans="1:37" ht="13.05" customHeight="1" x14ac:dyDescent="0.25">
      <c r="A3717"/>
      <c r="C3717" s="191"/>
      <c r="D3717" s="191"/>
      <c r="F3717"/>
      <c r="G3717"/>
      <c r="H3717" s="36"/>
      <c r="I3717" s="125"/>
      <c r="S3717" s="4"/>
      <c r="T3717" s="124"/>
      <c r="U3717" s="22"/>
      <c r="V3717" s="22"/>
      <c r="W3717" s="78"/>
      <c r="X3717" s="78"/>
      <c r="AF3717"/>
      <c r="AG3717"/>
      <c r="AH3717"/>
      <c r="AI3717"/>
      <c r="AJ3717"/>
      <c r="AK3717"/>
    </row>
    <row r="3718" spans="1:37" ht="13.05" customHeight="1" x14ac:dyDescent="0.25">
      <c r="A3718"/>
      <c r="C3718" s="191"/>
      <c r="D3718" s="191"/>
      <c r="F3718"/>
      <c r="G3718"/>
      <c r="H3718" s="36"/>
      <c r="I3718" s="125"/>
      <c r="S3718" s="4"/>
      <c r="T3718" s="124"/>
      <c r="U3718" s="22"/>
      <c r="V3718" s="22"/>
      <c r="W3718" s="78"/>
      <c r="X3718" s="78"/>
      <c r="AF3718"/>
      <c r="AG3718"/>
      <c r="AH3718"/>
      <c r="AI3718"/>
      <c r="AJ3718"/>
      <c r="AK3718"/>
    </row>
    <row r="3719" spans="1:37" ht="13.05" customHeight="1" x14ac:dyDescent="0.25">
      <c r="A3719"/>
      <c r="C3719" s="191"/>
      <c r="D3719" s="191"/>
      <c r="F3719"/>
      <c r="G3719"/>
      <c r="H3719" s="36"/>
      <c r="I3719" s="125"/>
      <c r="S3719" s="4"/>
      <c r="T3719" s="124"/>
      <c r="U3719" s="22"/>
      <c r="V3719" s="22"/>
      <c r="W3719" s="78"/>
      <c r="X3719" s="78"/>
      <c r="AF3719"/>
      <c r="AG3719"/>
      <c r="AH3719"/>
      <c r="AI3719"/>
      <c r="AJ3719"/>
      <c r="AK3719"/>
    </row>
    <row r="3720" spans="1:37" ht="13.05" customHeight="1" x14ac:dyDescent="0.25">
      <c r="A3720"/>
      <c r="C3720" s="191"/>
      <c r="D3720" s="191"/>
      <c r="F3720"/>
      <c r="G3720"/>
      <c r="H3720" s="36"/>
      <c r="I3720" s="125"/>
      <c r="S3720" s="4"/>
      <c r="T3720" s="124"/>
      <c r="U3720" s="22"/>
      <c r="V3720" s="22"/>
      <c r="W3720" s="78"/>
      <c r="X3720" s="78"/>
      <c r="AF3720"/>
      <c r="AG3720"/>
      <c r="AH3720"/>
      <c r="AI3720"/>
      <c r="AJ3720"/>
      <c r="AK3720"/>
    </row>
    <row r="3721" spans="1:37" ht="13.05" customHeight="1" x14ac:dyDescent="0.25">
      <c r="A3721"/>
      <c r="C3721" s="191"/>
      <c r="D3721" s="191"/>
      <c r="F3721"/>
      <c r="G3721"/>
      <c r="H3721" s="36"/>
      <c r="I3721" s="125"/>
      <c r="S3721" s="4"/>
      <c r="T3721" s="124"/>
      <c r="U3721" s="22"/>
      <c r="V3721" s="22"/>
      <c r="W3721" s="78"/>
      <c r="X3721" s="78"/>
      <c r="AF3721"/>
      <c r="AG3721"/>
      <c r="AH3721"/>
      <c r="AI3721"/>
      <c r="AJ3721"/>
      <c r="AK3721"/>
    </row>
    <row r="3722" spans="1:37" ht="13.05" customHeight="1" x14ac:dyDescent="0.25">
      <c r="A3722"/>
      <c r="C3722" s="191"/>
      <c r="D3722" s="191"/>
      <c r="F3722"/>
      <c r="G3722"/>
      <c r="H3722" s="36"/>
      <c r="I3722" s="125"/>
      <c r="S3722" s="4"/>
      <c r="T3722" s="124"/>
      <c r="U3722" s="22"/>
      <c r="V3722" s="22"/>
      <c r="W3722" s="78"/>
      <c r="X3722" s="78"/>
      <c r="AF3722"/>
      <c r="AG3722"/>
      <c r="AH3722"/>
      <c r="AI3722"/>
      <c r="AJ3722"/>
      <c r="AK3722"/>
    </row>
    <row r="3723" spans="1:37" ht="13.05" customHeight="1" x14ac:dyDescent="0.25">
      <c r="A3723"/>
      <c r="C3723" s="191"/>
      <c r="D3723" s="191"/>
      <c r="F3723"/>
      <c r="G3723"/>
      <c r="H3723" s="36"/>
      <c r="I3723" s="125"/>
      <c r="S3723" s="4"/>
      <c r="T3723" s="124"/>
      <c r="U3723" s="22"/>
      <c r="V3723" s="22"/>
      <c r="W3723" s="78"/>
      <c r="X3723" s="78"/>
      <c r="AF3723"/>
      <c r="AG3723"/>
      <c r="AH3723"/>
      <c r="AI3723"/>
      <c r="AJ3723"/>
      <c r="AK3723"/>
    </row>
    <row r="3724" spans="1:37" ht="13.05" customHeight="1" x14ac:dyDescent="0.25">
      <c r="A3724"/>
      <c r="C3724" s="191"/>
      <c r="D3724" s="191"/>
      <c r="F3724"/>
      <c r="G3724"/>
      <c r="H3724" s="36"/>
      <c r="I3724" s="125"/>
      <c r="S3724" s="4"/>
      <c r="T3724" s="124"/>
      <c r="U3724" s="22"/>
      <c r="V3724" s="22"/>
      <c r="W3724" s="78"/>
      <c r="X3724" s="78"/>
      <c r="AF3724"/>
      <c r="AG3724"/>
      <c r="AH3724"/>
      <c r="AI3724"/>
      <c r="AJ3724"/>
      <c r="AK3724"/>
    </row>
    <row r="3725" spans="1:37" ht="13.05" customHeight="1" x14ac:dyDescent="0.25">
      <c r="A3725"/>
      <c r="C3725" s="191"/>
      <c r="D3725" s="191"/>
      <c r="F3725"/>
      <c r="G3725"/>
      <c r="H3725" s="36"/>
      <c r="I3725" s="125"/>
      <c r="S3725" s="4"/>
      <c r="T3725" s="124"/>
      <c r="U3725" s="22"/>
      <c r="V3725" s="22"/>
      <c r="W3725" s="78"/>
      <c r="X3725" s="78"/>
      <c r="AF3725"/>
      <c r="AG3725"/>
      <c r="AH3725"/>
      <c r="AI3725"/>
      <c r="AJ3725"/>
      <c r="AK3725"/>
    </row>
    <row r="3726" spans="1:37" ht="13.05" customHeight="1" x14ac:dyDescent="0.25">
      <c r="A3726"/>
      <c r="C3726" s="191"/>
      <c r="D3726" s="191"/>
      <c r="F3726"/>
      <c r="G3726"/>
      <c r="H3726" s="36"/>
      <c r="I3726" s="125"/>
      <c r="S3726" s="4"/>
      <c r="T3726" s="124"/>
      <c r="U3726" s="22"/>
      <c r="V3726" s="22"/>
      <c r="W3726" s="78"/>
      <c r="X3726" s="78"/>
      <c r="AF3726"/>
      <c r="AG3726"/>
      <c r="AH3726"/>
      <c r="AI3726"/>
      <c r="AJ3726"/>
      <c r="AK3726"/>
    </row>
    <row r="3727" spans="1:37" ht="13.05" customHeight="1" x14ac:dyDescent="0.25">
      <c r="A3727"/>
      <c r="C3727" s="191"/>
      <c r="D3727" s="191"/>
      <c r="F3727"/>
      <c r="G3727"/>
      <c r="H3727" s="36"/>
      <c r="I3727" s="125"/>
      <c r="S3727" s="4"/>
      <c r="T3727" s="124"/>
      <c r="U3727" s="22"/>
      <c r="V3727" s="22"/>
      <c r="W3727" s="78"/>
      <c r="X3727" s="78"/>
      <c r="AF3727"/>
      <c r="AG3727"/>
      <c r="AH3727"/>
      <c r="AI3727"/>
      <c r="AJ3727"/>
      <c r="AK3727"/>
    </row>
    <row r="3728" spans="1:37" ht="13.05" customHeight="1" x14ac:dyDescent="0.25">
      <c r="A3728"/>
      <c r="C3728" s="191"/>
      <c r="D3728" s="191"/>
      <c r="F3728"/>
      <c r="G3728"/>
      <c r="H3728" s="36"/>
      <c r="I3728" s="125"/>
      <c r="S3728" s="4"/>
      <c r="T3728" s="124"/>
      <c r="U3728" s="22"/>
      <c r="V3728" s="22"/>
      <c r="W3728" s="78"/>
      <c r="X3728" s="78"/>
      <c r="AF3728"/>
      <c r="AG3728"/>
      <c r="AH3728"/>
      <c r="AI3728"/>
      <c r="AJ3728"/>
      <c r="AK3728"/>
    </row>
    <row r="3729" spans="1:37" ht="13.05" customHeight="1" x14ac:dyDescent="0.25">
      <c r="A3729"/>
      <c r="C3729" s="191"/>
      <c r="D3729" s="191"/>
      <c r="F3729"/>
      <c r="G3729"/>
      <c r="H3729" s="36"/>
      <c r="I3729" s="125"/>
      <c r="S3729" s="4"/>
      <c r="T3729" s="124"/>
      <c r="U3729" s="22"/>
      <c r="V3729" s="22"/>
      <c r="W3729" s="78"/>
      <c r="X3729" s="78"/>
      <c r="AF3729"/>
      <c r="AG3729"/>
      <c r="AH3729"/>
      <c r="AI3729"/>
      <c r="AJ3729"/>
      <c r="AK3729"/>
    </row>
    <row r="3730" spans="1:37" ht="13.05" customHeight="1" x14ac:dyDescent="0.25">
      <c r="A3730"/>
      <c r="C3730" s="191"/>
      <c r="D3730" s="191"/>
      <c r="F3730"/>
      <c r="G3730"/>
      <c r="H3730" s="36"/>
      <c r="I3730" s="125"/>
      <c r="S3730" s="4"/>
      <c r="T3730" s="124"/>
      <c r="U3730" s="22"/>
      <c r="V3730" s="22"/>
      <c r="W3730" s="78"/>
      <c r="X3730" s="78"/>
      <c r="AF3730"/>
      <c r="AG3730"/>
      <c r="AH3730"/>
      <c r="AI3730"/>
      <c r="AJ3730"/>
      <c r="AK3730"/>
    </row>
    <row r="3731" spans="1:37" ht="13.05" customHeight="1" x14ac:dyDescent="0.25">
      <c r="A3731"/>
      <c r="C3731" s="191"/>
      <c r="D3731" s="191"/>
      <c r="F3731"/>
      <c r="G3731"/>
      <c r="H3731" s="36"/>
      <c r="I3731" s="125"/>
      <c r="S3731" s="4"/>
      <c r="T3731" s="124"/>
      <c r="U3731" s="22"/>
      <c r="V3731" s="22"/>
      <c r="W3731" s="78"/>
      <c r="X3731" s="78"/>
      <c r="AF3731"/>
      <c r="AG3731"/>
      <c r="AH3731"/>
      <c r="AI3731"/>
      <c r="AJ3731"/>
      <c r="AK3731"/>
    </row>
    <row r="3732" spans="1:37" ht="13.05" customHeight="1" x14ac:dyDescent="0.25">
      <c r="A3732"/>
      <c r="C3732" s="191"/>
      <c r="D3732" s="191"/>
      <c r="F3732"/>
      <c r="G3732"/>
      <c r="H3732" s="36"/>
      <c r="I3732" s="125"/>
      <c r="S3732" s="4"/>
      <c r="T3732" s="124"/>
      <c r="U3732" s="22"/>
      <c r="V3732" s="22"/>
      <c r="W3732" s="78"/>
      <c r="X3732" s="78"/>
      <c r="AF3732"/>
      <c r="AG3732"/>
      <c r="AH3732"/>
      <c r="AI3732"/>
      <c r="AJ3732"/>
      <c r="AK3732"/>
    </row>
    <row r="3733" spans="1:37" ht="13.05" customHeight="1" x14ac:dyDescent="0.25">
      <c r="A3733"/>
      <c r="C3733" s="191"/>
      <c r="D3733" s="191"/>
      <c r="F3733"/>
      <c r="G3733"/>
      <c r="H3733" s="36"/>
      <c r="I3733" s="125"/>
      <c r="S3733" s="4"/>
      <c r="T3733" s="124"/>
      <c r="U3733" s="22"/>
      <c r="V3733" s="22"/>
      <c r="W3733" s="78"/>
      <c r="X3733" s="78"/>
      <c r="AF3733"/>
      <c r="AG3733"/>
      <c r="AH3733"/>
      <c r="AI3733"/>
      <c r="AJ3733"/>
      <c r="AK3733"/>
    </row>
    <row r="3734" spans="1:37" ht="13.05" customHeight="1" x14ac:dyDescent="0.25">
      <c r="A3734"/>
      <c r="C3734" s="191"/>
      <c r="D3734" s="191"/>
      <c r="F3734"/>
      <c r="G3734"/>
      <c r="H3734" s="36"/>
      <c r="I3734" s="125"/>
      <c r="S3734" s="4"/>
      <c r="T3734" s="124"/>
      <c r="U3734" s="22"/>
      <c r="V3734" s="22"/>
      <c r="W3734" s="78"/>
      <c r="X3734" s="78"/>
      <c r="AF3734"/>
      <c r="AG3734"/>
      <c r="AH3734"/>
      <c r="AI3734"/>
      <c r="AJ3734"/>
      <c r="AK3734"/>
    </row>
    <row r="3735" spans="1:37" ht="13.05" customHeight="1" x14ac:dyDescent="0.25">
      <c r="A3735"/>
      <c r="C3735" s="191"/>
      <c r="D3735" s="191"/>
      <c r="F3735"/>
      <c r="G3735"/>
      <c r="H3735" s="36"/>
      <c r="I3735" s="125"/>
      <c r="S3735" s="4"/>
      <c r="T3735" s="124"/>
      <c r="U3735" s="22"/>
      <c r="V3735" s="22"/>
      <c r="W3735" s="78"/>
      <c r="X3735" s="78"/>
      <c r="AF3735"/>
      <c r="AG3735"/>
      <c r="AH3735"/>
      <c r="AI3735"/>
      <c r="AJ3735"/>
      <c r="AK3735"/>
    </row>
    <row r="3736" spans="1:37" ht="13.05" customHeight="1" x14ac:dyDescent="0.25">
      <c r="A3736"/>
      <c r="C3736" s="191"/>
      <c r="D3736" s="191"/>
      <c r="F3736"/>
      <c r="G3736"/>
      <c r="H3736" s="36"/>
      <c r="I3736" s="125"/>
      <c r="S3736" s="4"/>
      <c r="T3736" s="124"/>
      <c r="U3736" s="22"/>
      <c r="V3736" s="22"/>
      <c r="W3736" s="78"/>
      <c r="X3736" s="78"/>
      <c r="AF3736"/>
      <c r="AG3736"/>
      <c r="AH3736"/>
      <c r="AI3736"/>
      <c r="AJ3736"/>
      <c r="AK3736"/>
    </row>
    <row r="3737" spans="1:37" ht="13.05" customHeight="1" x14ac:dyDescent="0.25">
      <c r="A3737"/>
      <c r="C3737" s="191"/>
      <c r="D3737" s="191"/>
      <c r="F3737"/>
      <c r="G3737"/>
      <c r="H3737" s="36"/>
      <c r="I3737" s="125"/>
      <c r="S3737" s="4"/>
      <c r="T3737" s="124"/>
      <c r="U3737" s="22"/>
      <c r="V3737" s="22"/>
      <c r="W3737" s="78"/>
      <c r="X3737" s="78"/>
      <c r="AF3737"/>
      <c r="AG3737"/>
      <c r="AH3737"/>
      <c r="AI3737"/>
      <c r="AJ3737"/>
      <c r="AK3737"/>
    </row>
    <row r="3738" spans="1:37" ht="13.05" customHeight="1" x14ac:dyDescent="0.25">
      <c r="A3738"/>
      <c r="C3738" s="191"/>
      <c r="D3738" s="191"/>
      <c r="F3738"/>
      <c r="G3738"/>
      <c r="H3738" s="36"/>
      <c r="I3738" s="125"/>
      <c r="S3738" s="4"/>
      <c r="T3738" s="124"/>
      <c r="U3738" s="22"/>
      <c r="V3738" s="22"/>
      <c r="W3738" s="78"/>
      <c r="X3738" s="78"/>
      <c r="AF3738"/>
      <c r="AG3738"/>
      <c r="AH3738"/>
      <c r="AI3738"/>
      <c r="AJ3738"/>
      <c r="AK3738"/>
    </row>
    <row r="3739" spans="1:37" ht="13.05" customHeight="1" x14ac:dyDescent="0.25">
      <c r="A3739"/>
      <c r="C3739" s="191"/>
      <c r="D3739" s="191"/>
      <c r="F3739"/>
      <c r="G3739"/>
      <c r="H3739" s="36"/>
      <c r="I3739" s="125"/>
      <c r="S3739" s="4"/>
      <c r="T3739" s="124"/>
      <c r="U3739" s="22"/>
      <c r="V3739" s="22"/>
      <c r="W3739" s="78"/>
      <c r="X3739" s="78"/>
      <c r="AF3739"/>
      <c r="AG3739"/>
      <c r="AH3739"/>
      <c r="AI3739"/>
      <c r="AJ3739"/>
      <c r="AK3739"/>
    </row>
    <row r="3740" spans="1:37" ht="13.05" customHeight="1" x14ac:dyDescent="0.25">
      <c r="A3740"/>
      <c r="C3740" s="191"/>
      <c r="D3740" s="191"/>
      <c r="F3740"/>
      <c r="G3740"/>
      <c r="H3740" s="36"/>
      <c r="I3740" s="125"/>
      <c r="S3740" s="4"/>
      <c r="T3740" s="124"/>
      <c r="U3740" s="22"/>
      <c r="V3740" s="22"/>
      <c r="W3740" s="78"/>
      <c r="X3740" s="78"/>
      <c r="AF3740"/>
      <c r="AG3740"/>
      <c r="AH3740"/>
      <c r="AI3740"/>
      <c r="AJ3740"/>
      <c r="AK3740"/>
    </row>
    <row r="3741" spans="1:37" ht="13.05" customHeight="1" x14ac:dyDescent="0.25">
      <c r="A3741"/>
      <c r="C3741" s="191"/>
      <c r="D3741" s="191"/>
      <c r="F3741"/>
      <c r="G3741"/>
      <c r="H3741" s="36"/>
      <c r="I3741" s="125"/>
      <c r="S3741" s="4"/>
      <c r="T3741" s="124"/>
      <c r="U3741" s="22"/>
      <c r="V3741" s="22"/>
      <c r="W3741" s="78"/>
      <c r="X3741" s="78"/>
      <c r="AF3741"/>
      <c r="AG3741"/>
      <c r="AH3741"/>
      <c r="AI3741"/>
      <c r="AJ3741"/>
      <c r="AK3741"/>
    </row>
    <row r="3742" spans="1:37" ht="13.05" customHeight="1" x14ac:dyDescent="0.25">
      <c r="A3742"/>
      <c r="C3742" s="191"/>
      <c r="D3742" s="191"/>
      <c r="F3742"/>
      <c r="G3742"/>
      <c r="H3742" s="36"/>
      <c r="I3742" s="125"/>
      <c r="S3742" s="4"/>
      <c r="T3742" s="124"/>
      <c r="U3742" s="22"/>
      <c r="V3742" s="22"/>
      <c r="W3742" s="78"/>
      <c r="X3742" s="78"/>
      <c r="AF3742"/>
      <c r="AG3742"/>
      <c r="AH3742"/>
      <c r="AI3742"/>
      <c r="AJ3742"/>
      <c r="AK3742"/>
    </row>
    <row r="3743" spans="1:37" ht="13.05" customHeight="1" x14ac:dyDescent="0.25">
      <c r="A3743"/>
      <c r="C3743" s="191"/>
      <c r="D3743" s="191"/>
      <c r="F3743"/>
      <c r="G3743"/>
      <c r="H3743" s="36"/>
      <c r="I3743" s="125"/>
      <c r="S3743" s="4"/>
      <c r="T3743" s="124"/>
      <c r="U3743" s="22"/>
      <c r="V3743" s="22"/>
      <c r="W3743" s="78"/>
      <c r="X3743" s="78"/>
      <c r="AF3743"/>
      <c r="AG3743"/>
      <c r="AH3743"/>
      <c r="AI3743"/>
      <c r="AJ3743"/>
      <c r="AK3743"/>
    </row>
    <row r="3744" spans="1:37" ht="13.05" customHeight="1" x14ac:dyDescent="0.25">
      <c r="A3744"/>
      <c r="C3744" s="191"/>
      <c r="D3744" s="191"/>
      <c r="F3744"/>
      <c r="G3744"/>
      <c r="H3744" s="36"/>
      <c r="I3744" s="125"/>
      <c r="S3744" s="4"/>
      <c r="T3744" s="124"/>
      <c r="U3744" s="22"/>
      <c r="V3744" s="22"/>
      <c r="W3744" s="78"/>
      <c r="X3744" s="78"/>
      <c r="AF3744"/>
      <c r="AG3744"/>
      <c r="AH3744"/>
      <c r="AI3744"/>
      <c r="AJ3744"/>
      <c r="AK3744"/>
    </row>
    <row r="3745" spans="1:37" ht="13.05" customHeight="1" x14ac:dyDescent="0.25">
      <c r="A3745"/>
      <c r="C3745" s="191"/>
      <c r="D3745" s="191"/>
      <c r="F3745"/>
      <c r="G3745"/>
      <c r="H3745" s="36"/>
      <c r="I3745" s="125"/>
      <c r="S3745" s="4"/>
      <c r="T3745" s="124"/>
      <c r="U3745" s="22"/>
      <c r="V3745" s="22"/>
      <c r="W3745" s="78"/>
      <c r="X3745" s="78"/>
      <c r="AF3745"/>
      <c r="AG3745"/>
      <c r="AH3745"/>
      <c r="AI3745"/>
      <c r="AJ3745"/>
      <c r="AK3745"/>
    </row>
    <row r="3746" spans="1:37" ht="13.05" customHeight="1" x14ac:dyDescent="0.25">
      <c r="A3746"/>
      <c r="C3746" s="191"/>
      <c r="D3746" s="191"/>
      <c r="F3746"/>
      <c r="G3746"/>
      <c r="H3746" s="36"/>
      <c r="I3746" s="125"/>
      <c r="S3746" s="4"/>
      <c r="T3746" s="124"/>
      <c r="U3746" s="22"/>
      <c r="V3746" s="22"/>
      <c r="W3746" s="78"/>
      <c r="X3746" s="78"/>
      <c r="AF3746"/>
      <c r="AG3746"/>
      <c r="AH3746"/>
      <c r="AI3746"/>
      <c r="AJ3746"/>
      <c r="AK3746"/>
    </row>
    <row r="3747" spans="1:37" ht="13.05" customHeight="1" x14ac:dyDescent="0.25">
      <c r="A3747"/>
      <c r="C3747" s="191"/>
      <c r="D3747" s="191"/>
      <c r="F3747"/>
      <c r="G3747"/>
      <c r="H3747" s="36"/>
      <c r="I3747" s="125"/>
      <c r="S3747" s="4"/>
      <c r="T3747" s="124"/>
      <c r="U3747" s="22"/>
      <c r="V3747" s="22"/>
      <c r="W3747" s="78"/>
      <c r="X3747" s="78"/>
      <c r="AF3747"/>
      <c r="AG3747"/>
      <c r="AH3747"/>
      <c r="AI3747"/>
      <c r="AJ3747"/>
      <c r="AK3747"/>
    </row>
    <row r="3748" spans="1:37" ht="13.05" customHeight="1" x14ac:dyDescent="0.25">
      <c r="A3748"/>
      <c r="C3748" s="191"/>
      <c r="D3748" s="191"/>
      <c r="F3748"/>
      <c r="G3748"/>
      <c r="H3748" s="36"/>
      <c r="I3748" s="125"/>
      <c r="S3748" s="4"/>
      <c r="T3748" s="124"/>
      <c r="U3748" s="22"/>
      <c r="V3748" s="22"/>
      <c r="W3748" s="78"/>
      <c r="X3748" s="78"/>
      <c r="AF3748"/>
      <c r="AG3748"/>
      <c r="AH3748"/>
      <c r="AI3748"/>
      <c r="AJ3748"/>
      <c r="AK3748"/>
    </row>
    <row r="3749" spans="1:37" ht="13.05" customHeight="1" x14ac:dyDescent="0.25">
      <c r="A3749"/>
      <c r="C3749" s="191"/>
      <c r="D3749" s="191"/>
      <c r="F3749"/>
      <c r="G3749"/>
      <c r="H3749" s="36"/>
      <c r="I3749" s="125"/>
      <c r="S3749" s="4"/>
      <c r="T3749" s="124"/>
      <c r="U3749" s="22"/>
      <c r="V3749" s="22"/>
      <c r="W3749" s="78"/>
      <c r="X3749" s="78"/>
      <c r="AF3749"/>
      <c r="AG3749"/>
      <c r="AH3749"/>
      <c r="AI3749"/>
      <c r="AJ3749"/>
      <c r="AK3749"/>
    </row>
    <row r="3750" spans="1:37" ht="13.05" customHeight="1" x14ac:dyDescent="0.25">
      <c r="A3750"/>
      <c r="C3750" s="191"/>
      <c r="D3750" s="191"/>
      <c r="F3750"/>
      <c r="G3750"/>
      <c r="H3750" s="36"/>
      <c r="I3750" s="125"/>
      <c r="S3750" s="4"/>
      <c r="T3750" s="124"/>
      <c r="U3750" s="22"/>
      <c r="V3750" s="22"/>
      <c r="W3750" s="78"/>
      <c r="X3750" s="78"/>
      <c r="AF3750"/>
      <c r="AG3750"/>
      <c r="AH3750"/>
      <c r="AI3750"/>
      <c r="AJ3750"/>
      <c r="AK3750"/>
    </row>
    <row r="3751" spans="1:37" ht="13.05" customHeight="1" x14ac:dyDescent="0.25">
      <c r="A3751"/>
      <c r="C3751" s="191"/>
      <c r="D3751" s="191"/>
      <c r="F3751"/>
      <c r="G3751"/>
      <c r="H3751" s="36"/>
      <c r="I3751" s="125"/>
      <c r="S3751" s="4"/>
      <c r="T3751" s="124"/>
      <c r="U3751" s="22"/>
      <c r="V3751" s="22"/>
      <c r="W3751" s="78"/>
      <c r="X3751" s="78"/>
      <c r="AF3751"/>
      <c r="AG3751"/>
      <c r="AH3751"/>
      <c r="AI3751"/>
      <c r="AJ3751"/>
      <c r="AK3751"/>
    </row>
    <row r="3752" spans="1:37" ht="13.05" customHeight="1" x14ac:dyDescent="0.25">
      <c r="A3752"/>
      <c r="C3752" s="191"/>
      <c r="D3752" s="191"/>
      <c r="F3752"/>
      <c r="G3752"/>
      <c r="H3752" s="36"/>
      <c r="I3752" s="125"/>
      <c r="S3752" s="4"/>
      <c r="T3752" s="124"/>
      <c r="U3752" s="22"/>
      <c r="V3752" s="22"/>
      <c r="W3752" s="78"/>
      <c r="X3752" s="78"/>
      <c r="AF3752"/>
      <c r="AG3752"/>
      <c r="AH3752"/>
      <c r="AI3752"/>
      <c r="AJ3752"/>
      <c r="AK3752"/>
    </row>
    <row r="3753" spans="1:37" ht="13.05" customHeight="1" x14ac:dyDescent="0.25">
      <c r="A3753"/>
      <c r="C3753" s="191"/>
      <c r="D3753" s="191"/>
      <c r="F3753"/>
      <c r="G3753"/>
      <c r="H3753" s="36"/>
      <c r="I3753" s="125"/>
      <c r="S3753" s="4"/>
      <c r="T3753" s="124"/>
      <c r="U3753" s="22"/>
      <c r="V3753" s="22"/>
      <c r="W3753" s="78"/>
      <c r="X3753" s="78"/>
      <c r="AF3753"/>
      <c r="AG3753"/>
      <c r="AH3753"/>
      <c r="AI3753"/>
      <c r="AJ3753"/>
      <c r="AK3753"/>
    </row>
    <row r="3754" spans="1:37" ht="13.05" customHeight="1" x14ac:dyDescent="0.25">
      <c r="A3754"/>
      <c r="C3754" s="191"/>
      <c r="D3754" s="191"/>
      <c r="F3754"/>
      <c r="G3754"/>
      <c r="H3754" s="36"/>
      <c r="I3754" s="125"/>
      <c r="S3754" s="4"/>
      <c r="T3754" s="124"/>
      <c r="U3754" s="22"/>
      <c r="V3754" s="22"/>
      <c r="W3754" s="78"/>
      <c r="X3754" s="78"/>
      <c r="AF3754"/>
      <c r="AG3754"/>
      <c r="AH3754"/>
      <c r="AI3754"/>
      <c r="AJ3754"/>
      <c r="AK3754"/>
    </row>
    <row r="3755" spans="1:37" ht="13.05" customHeight="1" x14ac:dyDescent="0.25">
      <c r="A3755"/>
      <c r="C3755" s="191"/>
      <c r="D3755" s="191"/>
      <c r="F3755"/>
      <c r="G3755"/>
      <c r="H3755" s="36"/>
      <c r="I3755" s="125"/>
      <c r="S3755" s="4"/>
      <c r="T3755" s="124"/>
      <c r="U3755" s="22"/>
      <c r="V3755" s="22"/>
      <c r="W3755" s="78"/>
      <c r="X3755" s="78"/>
      <c r="AF3755"/>
      <c r="AG3755"/>
      <c r="AH3755"/>
      <c r="AI3755"/>
      <c r="AJ3755"/>
      <c r="AK3755"/>
    </row>
    <row r="3756" spans="1:37" ht="13.05" customHeight="1" x14ac:dyDescent="0.25">
      <c r="A3756"/>
      <c r="C3756" s="191"/>
      <c r="D3756" s="191"/>
      <c r="F3756"/>
      <c r="G3756"/>
      <c r="H3756" s="36"/>
      <c r="I3756" s="125"/>
      <c r="S3756" s="4"/>
      <c r="T3756" s="124"/>
      <c r="U3756" s="22"/>
      <c r="V3756" s="22"/>
      <c r="W3756" s="78"/>
      <c r="X3756" s="78"/>
      <c r="AF3756"/>
      <c r="AG3756"/>
      <c r="AH3756"/>
      <c r="AI3756"/>
      <c r="AJ3756"/>
      <c r="AK3756"/>
    </row>
    <row r="3757" spans="1:37" ht="13.05" customHeight="1" x14ac:dyDescent="0.25">
      <c r="A3757"/>
      <c r="C3757" s="191"/>
      <c r="D3757" s="191"/>
      <c r="F3757"/>
      <c r="G3757"/>
      <c r="H3757" s="36"/>
      <c r="I3757" s="125"/>
      <c r="S3757" s="4"/>
      <c r="T3757" s="124"/>
      <c r="U3757" s="22"/>
      <c r="V3757" s="22"/>
      <c r="W3757" s="78"/>
      <c r="X3757" s="78"/>
      <c r="AF3757"/>
      <c r="AG3757"/>
      <c r="AH3757"/>
      <c r="AI3757"/>
      <c r="AJ3757"/>
      <c r="AK3757"/>
    </row>
    <row r="3758" spans="1:37" ht="13.05" customHeight="1" x14ac:dyDescent="0.25">
      <c r="A3758"/>
      <c r="C3758" s="191"/>
      <c r="D3758" s="191"/>
      <c r="F3758"/>
      <c r="G3758"/>
      <c r="H3758" s="36"/>
      <c r="I3758" s="125"/>
      <c r="S3758" s="4"/>
      <c r="T3758" s="124"/>
      <c r="U3758" s="22"/>
      <c r="V3758" s="22"/>
      <c r="W3758" s="78"/>
      <c r="X3758" s="78"/>
      <c r="AF3758"/>
      <c r="AG3758"/>
      <c r="AH3758"/>
      <c r="AI3758"/>
      <c r="AJ3758"/>
      <c r="AK3758"/>
    </row>
    <row r="3759" spans="1:37" ht="13.05" customHeight="1" x14ac:dyDescent="0.25">
      <c r="A3759"/>
      <c r="C3759" s="191"/>
      <c r="D3759" s="191"/>
      <c r="F3759"/>
      <c r="G3759"/>
      <c r="H3759" s="36"/>
      <c r="I3759" s="125"/>
      <c r="S3759" s="4"/>
      <c r="T3759" s="124"/>
      <c r="U3759" s="22"/>
      <c r="V3759" s="22"/>
      <c r="W3759" s="78"/>
      <c r="X3759" s="78"/>
      <c r="AF3759"/>
      <c r="AG3759"/>
      <c r="AH3759"/>
      <c r="AI3759"/>
      <c r="AJ3759"/>
      <c r="AK3759"/>
    </row>
    <row r="3760" spans="1:37" ht="13.05" customHeight="1" x14ac:dyDescent="0.25">
      <c r="A3760"/>
      <c r="C3760" s="191"/>
      <c r="D3760" s="191"/>
      <c r="F3760"/>
      <c r="G3760"/>
      <c r="H3760" s="36"/>
      <c r="I3760" s="125"/>
      <c r="S3760" s="4"/>
      <c r="T3760" s="124"/>
      <c r="U3760" s="22"/>
      <c r="V3760" s="22"/>
      <c r="W3760" s="78"/>
      <c r="X3760" s="78"/>
      <c r="AF3760"/>
      <c r="AG3760"/>
      <c r="AH3760"/>
      <c r="AI3760"/>
      <c r="AJ3760"/>
      <c r="AK3760"/>
    </row>
    <row r="3761" spans="1:37" ht="13.05" customHeight="1" x14ac:dyDescent="0.25">
      <c r="A3761"/>
      <c r="C3761" s="191"/>
      <c r="D3761" s="191"/>
      <c r="F3761"/>
      <c r="G3761"/>
      <c r="H3761" s="36"/>
      <c r="I3761" s="125"/>
      <c r="S3761" s="4"/>
      <c r="T3761" s="124"/>
      <c r="U3761" s="22"/>
      <c r="V3761" s="22"/>
      <c r="W3761" s="78"/>
      <c r="X3761" s="78"/>
      <c r="AF3761"/>
      <c r="AG3761"/>
      <c r="AH3761"/>
      <c r="AI3761"/>
      <c r="AJ3761"/>
      <c r="AK3761"/>
    </row>
    <row r="3762" spans="1:37" ht="13.05" customHeight="1" x14ac:dyDescent="0.25">
      <c r="A3762"/>
      <c r="C3762" s="191"/>
      <c r="D3762" s="191"/>
      <c r="F3762"/>
      <c r="G3762"/>
      <c r="H3762" s="36"/>
      <c r="I3762" s="125"/>
      <c r="S3762" s="4"/>
      <c r="T3762" s="124"/>
      <c r="U3762" s="22"/>
      <c r="V3762" s="22"/>
      <c r="W3762" s="78"/>
      <c r="X3762" s="78"/>
      <c r="AF3762"/>
      <c r="AG3762"/>
      <c r="AH3762"/>
      <c r="AI3762"/>
      <c r="AJ3762"/>
      <c r="AK3762"/>
    </row>
    <row r="3763" spans="1:37" ht="13.05" customHeight="1" x14ac:dyDescent="0.25">
      <c r="A3763"/>
      <c r="C3763" s="191"/>
      <c r="D3763" s="191"/>
      <c r="F3763"/>
      <c r="G3763"/>
      <c r="H3763" s="36"/>
      <c r="I3763" s="125"/>
      <c r="S3763" s="4"/>
      <c r="T3763" s="124"/>
      <c r="U3763" s="22"/>
      <c r="V3763" s="22"/>
      <c r="W3763" s="78"/>
      <c r="X3763" s="78"/>
      <c r="AF3763"/>
      <c r="AG3763"/>
      <c r="AH3763"/>
      <c r="AI3763"/>
      <c r="AJ3763"/>
      <c r="AK3763"/>
    </row>
    <row r="3764" spans="1:37" ht="13.05" customHeight="1" x14ac:dyDescent="0.25">
      <c r="A3764"/>
      <c r="C3764" s="191"/>
      <c r="D3764" s="191"/>
      <c r="F3764"/>
      <c r="G3764"/>
      <c r="H3764" s="36"/>
      <c r="I3764" s="125"/>
      <c r="S3764" s="4"/>
      <c r="T3764" s="124"/>
      <c r="U3764" s="22"/>
      <c r="V3764" s="22"/>
      <c r="W3764" s="78"/>
      <c r="X3764" s="78"/>
      <c r="AF3764"/>
      <c r="AG3764"/>
      <c r="AH3764"/>
      <c r="AI3764"/>
      <c r="AJ3764"/>
      <c r="AK3764"/>
    </row>
    <row r="3765" spans="1:37" ht="13.05" customHeight="1" x14ac:dyDescent="0.25">
      <c r="A3765"/>
      <c r="C3765" s="191"/>
      <c r="D3765" s="191"/>
      <c r="F3765"/>
      <c r="G3765"/>
      <c r="H3765" s="36"/>
      <c r="I3765" s="125"/>
      <c r="S3765" s="4"/>
      <c r="T3765" s="124"/>
      <c r="U3765" s="22"/>
      <c r="V3765" s="22"/>
      <c r="W3765" s="78"/>
      <c r="X3765" s="78"/>
      <c r="AF3765"/>
      <c r="AG3765"/>
      <c r="AH3765"/>
      <c r="AI3765"/>
      <c r="AJ3765"/>
      <c r="AK3765"/>
    </row>
    <row r="3766" spans="1:37" ht="13.05" customHeight="1" x14ac:dyDescent="0.25">
      <c r="A3766"/>
      <c r="C3766" s="191"/>
      <c r="D3766" s="191"/>
      <c r="F3766"/>
      <c r="G3766"/>
      <c r="H3766" s="36"/>
      <c r="I3766" s="125"/>
      <c r="S3766" s="4"/>
      <c r="T3766" s="124"/>
      <c r="U3766" s="22"/>
      <c r="V3766" s="22"/>
      <c r="W3766" s="78"/>
      <c r="X3766" s="78"/>
      <c r="AF3766"/>
      <c r="AG3766"/>
      <c r="AH3766"/>
      <c r="AI3766"/>
      <c r="AJ3766"/>
      <c r="AK3766"/>
    </row>
    <row r="3767" spans="1:37" ht="13.05" customHeight="1" x14ac:dyDescent="0.25">
      <c r="A3767"/>
      <c r="C3767" s="191"/>
      <c r="D3767" s="191"/>
      <c r="F3767"/>
      <c r="G3767"/>
      <c r="H3767" s="36"/>
      <c r="I3767" s="125"/>
      <c r="S3767" s="4"/>
      <c r="T3767" s="124"/>
      <c r="U3767" s="22"/>
      <c r="V3767" s="22"/>
      <c r="W3767" s="78"/>
      <c r="X3767" s="78"/>
      <c r="AF3767"/>
      <c r="AG3767"/>
      <c r="AH3767"/>
      <c r="AI3767"/>
      <c r="AJ3767"/>
      <c r="AK3767"/>
    </row>
    <row r="3768" spans="1:37" ht="13.05" customHeight="1" x14ac:dyDescent="0.25">
      <c r="A3768"/>
      <c r="C3768" s="191"/>
      <c r="D3768" s="191"/>
      <c r="F3768"/>
      <c r="G3768"/>
      <c r="H3768" s="36"/>
      <c r="I3768" s="125"/>
      <c r="S3768" s="4"/>
      <c r="T3768" s="124"/>
      <c r="U3768" s="22"/>
      <c r="V3768" s="22"/>
      <c r="W3768" s="78"/>
      <c r="X3768" s="78"/>
      <c r="AF3768"/>
      <c r="AG3768"/>
      <c r="AH3768"/>
      <c r="AI3768"/>
      <c r="AJ3768"/>
      <c r="AK3768"/>
    </row>
    <row r="3769" spans="1:37" ht="13.05" customHeight="1" x14ac:dyDescent="0.25">
      <c r="A3769"/>
      <c r="C3769" s="191"/>
      <c r="D3769" s="191"/>
      <c r="F3769"/>
      <c r="G3769"/>
      <c r="H3769" s="36"/>
      <c r="I3769" s="125"/>
      <c r="S3769" s="4"/>
      <c r="T3769" s="124"/>
      <c r="U3769" s="22"/>
      <c r="V3769" s="22"/>
      <c r="W3769" s="78"/>
      <c r="X3769" s="78"/>
      <c r="AF3769"/>
      <c r="AG3769"/>
      <c r="AH3769"/>
      <c r="AI3769"/>
      <c r="AJ3769"/>
      <c r="AK3769"/>
    </row>
    <row r="3770" spans="1:37" ht="13.05" customHeight="1" x14ac:dyDescent="0.25">
      <c r="A3770"/>
      <c r="C3770" s="191"/>
      <c r="D3770" s="191"/>
      <c r="F3770"/>
      <c r="G3770"/>
      <c r="H3770" s="36"/>
      <c r="I3770" s="125"/>
      <c r="S3770" s="4"/>
      <c r="T3770" s="124"/>
      <c r="U3770" s="22"/>
      <c r="V3770" s="22"/>
      <c r="W3770" s="78"/>
      <c r="X3770" s="78"/>
      <c r="AF3770"/>
      <c r="AG3770"/>
      <c r="AH3770"/>
      <c r="AI3770"/>
      <c r="AJ3770"/>
      <c r="AK3770"/>
    </row>
    <row r="3771" spans="1:37" ht="13.05" customHeight="1" x14ac:dyDescent="0.25">
      <c r="A3771"/>
      <c r="C3771" s="191"/>
      <c r="D3771" s="191"/>
      <c r="F3771"/>
      <c r="G3771"/>
      <c r="H3771" s="36"/>
      <c r="I3771" s="125"/>
      <c r="S3771" s="4"/>
      <c r="T3771" s="124"/>
      <c r="U3771" s="22"/>
      <c r="V3771" s="22"/>
      <c r="W3771" s="78"/>
      <c r="X3771" s="78"/>
      <c r="AF3771"/>
      <c r="AG3771"/>
      <c r="AH3771"/>
      <c r="AI3771"/>
      <c r="AJ3771"/>
      <c r="AK3771"/>
    </row>
    <row r="3772" spans="1:37" ht="13.05" customHeight="1" x14ac:dyDescent="0.25">
      <c r="A3772"/>
      <c r="C3772" s="191"/>
      <c r="D3772" s="191"/>
      <c r="F3772"/>
      <c r="G3772"/>
      <c r="H3772" s="36"/>
      <c r="I3772" s="125"/>
      <c r="S3772" s="4"/>
      <c r="T3772" s="124"/>
      <c r="U3772" s="22"/>
      <c r="V3772" s="22"/>
      <c r="W3772" s="78"/>
      <c r="X3772" s="78"/>
      <c r="AF3772"/>
      <c r="AG3772"/>
      <c r="AH3772"/>
      <c r="AI3772"/>
      <c r="AJ3772"/>
      <c r="AK3772"/>
    </row>
    <row r="3773" spans="1:37" ht="13.05" customHeight="1" x14ac:dyDescent="0.25">
      <c r="A3773"/>
      <c r="C3773" s="191"/>
      <c r="D3773" s="191"/>
      <c r="F3773"/>
      <c r="G3773"/>
      <c r="H3773" s="36"/>
      <c r="I3773" s="125"/>
      <c r="S3773" s="4"/>
      <c r="T3773" s="124"/>
      <c r="U3773" s="22"/>
      <c r="V3773" s="22"/>
      <c r="W3773" s="78"/>
      <c r="X3773" s="78"/>
      <c r="AF3773"/>
      <c r="AG3773"/>
      <c r="AH3773"/>
      <c r="AI3773"/>
      <c r="AJ3773"/>
      <c r="AK3773"/>
    </row>
    <row r="3774" spans="1:37" ht="13.05" customHeight="1" x14ac:dyDescent="0.25">
      <c r="A3774"/>
      <c r="C3774" s="191"/>
      <c r="D3774" s="191"/>
      <c r="F3774"/>
      <c r="G3774"/>
      <c r="H3774" s="36"/>
      <c r="I3774" s="125"/>
      <c r="S3774" s="4"/>
      <c r="T3774" s="124"/>
      <c r="U3774" s="22"/>
      <c r="V3774" s="22"/>
      <c r="W3774" s="78"/>
      <c r="X3774" s="78"/>
      <c r="AF3774"/>
      <c r="AG3774"/>
      <c r="AH3774"/>
      <c r="AI3774"/>
      <c r="AJ3774"/>
      <c r="AK3774"/>
    </row>
    <row r="3775" spans="1:37" ht="13.05" customHeight="1" x14ac:dyDescent="0.25">
      <c r="A3775"/>
      <c r="C3775" s="191"/>
      <c r="D3775" s="191"/>
      <c r="F3775"/>
      <c r="G3775"/>
      <c r="H3775" s="36"/>
      <c r="I3775" s="125"/>
      <c r="S3775" s="4"/>
      <c r="T3775" s="124"/>
      <c r="U3775" s="22"/>
      <c r="V3775" s="22"/>
      <c r="W3775" s="78"/>
      <c r="X3775" s="78"/>
      <c r="AF3775"/>
      <c r="AG3775"/>
      <c r="AH3775"/>
      <c r="AI3775"/>
      <c r="AJ3775"/>
      <c r="AK3775"/>
    </row>
    <row r="3776" spans="1:37" ht="13.05" customHeight="1" x14ac:dyDescent="0.25">
      <c r="A3776"/>
      <c r="C3776" s="191"/>
      <c r="D3776" s="191"/>
      <c r="F3776"/>
      <c r="G3776"/>
      <c r="H3776" s="36"/>
      <c r="I3776" s="125"/>
      <c r="S3776" s="4"/>
      <c r="T3776" s="124"/>
      <c r="U3776" s="22"/>
      <c r="V3776" s="22"/>
      <c r="W3776" s="78"/>
      <c r="X3776" s="78"/>
      <c r="AF3776"/>
      <c r="AG3776"/>
      <c r="AH3776"/>
      <c r="AI3776"/>
      <c r="AJ3776"/>
      <c r="AK3776"/>
    </row>
    <row r="3777" spans="1:37" ht="13.05" customHeight="1" x14ac:dyDescent="0.25">
      <c r="A3777"/>
      <c r="C3777" s="191"/>
      <c r="D3777" s="191"/>
      <c r="F3777"/>
      <c r="G3777"/>
      <c r="H3777" s="36"/>
      <c r="I3777" s="125"/>
      <c r="S3777" s="4"/>
      <c r="T3777" s="124"/>
      <c r="U3777" s="22"/>
      <c r="V3777" s="22"/>
      <c r="W3777" s="78"/>
      <c r="X3777" s="78"/>
      <c r="AF3777"/>
      <c r="AG3777"/>
      <c r="AH3777"/>
      <c r="AI3777"/>
      <c r="AJ3777"/>
      <c r="AK3777"/>
    </row>
    <row r="3778" spans="1:37" ht="13.05" customHeight="1" x14ac:dyDescent="0.25">
      <c r="A3778"/>
      <c r="C3778" s="191"/>
      <c r="D3778" s="191"/>
      <c r="F3778"/>
      <c r="G3778"/>
      <c r="H3778" s="36"/>
      <c r="I3778" s="125"/>
      <c r="S3778" s="4"/>
      <c r="T3778" s="124"/>
      <c r="U3778" s="22"/>
      <c r="V3778" s="22"/>
      <c r="W3778" s="78"/>
      <c r="X3778" s="78"/>
      <c r="AF3778"/>
      <c r="AG3778"/>
      <c r="AH3778"/>
      <c r="AI3778"/>
      <c r="AJ3778"/>
      <c r="AK3778"/>
    </row>
    <row r="3779" spans="1:37" ht="13.05" customHeight="1" x14ac:dyDescent="0.25">
      <c r="A3779"/>
      <c r="C3779" s="191"/>
      <c r="D3779" s="191"/>
      <c r="F3779"/>
      <c r="G3779"/>
      <c r="H3779" s="36"/>
      <c r="I3779" s="125"/>
      <c r="S3779" s="4"/>
      <c r="T3779" s="124"/>
      <c r="U3779" s="22"/>
      <c r="V3779" s="22"/>
      <c r="W3779" s="78"/>
      <c r="X3779" s="78"/>
      <c r="AF3779"/>
      <c r="AG3779"/>
      <c r="AH3779"/>
      <c r="AI3779"/>
      <c r="AJ3779"/>
      <c r="AK3779"/>
    </row>
    <row r="3780" spans="1:37" ht="13.05" customHeight="1" x14ac:dyDescent="0.25">
      <c r="A3780"/>
      <c r="C3780" s="191"/>
      <c r="D3780" s="191"/>
      <c r="F3780"/>
      <c r="G3780"/>
      <c r="H3780" s="36"/>
      <c r="I3780" s="125"/>
      <c r="S3780" s="4"/>
      <c r="T3780" s="124"/>
      <c r="U3780" s="22"/>
      <c r="V3780" s="22"/>
      <c r="W3780" s="78"/>
      <c r="X3780" s="78"/>
      <c r="AF3780"/>
      <c r="AG3780"/>
      <c r="AH3780"/>
      <c r="AI3780"/>
      <c r="AJ3780"/>
      <c r="AK3780"/>
    </row>
    <row r="3781" spans="1:37" ht="13.05" customHeight="1" x14ac:dyDescent="0.25">
      <c r="A3781"/>
      <c r="C3781" s="191"/>
      <c r="D3781" s="191"/>
      <c r="F3781"/>
      <c r="G3781"/>
      <c r="H3781" s="36"/>
      <c r="I3781" s="125"/>
      <c r="S3781" s="4"/>
      <c r="T3781" s="124"/>
      <c r="U3781" s="22"/>
      <c r="V3781" s="22"/>
      <c r="W3781" s="78"/>
      <c r="X3781" s="78"/>
      <c r="AF3781"/>
      <c r="AG3781"/>
      <c r="AH3781"/>
      <c r="AI3781"/>
      <c r="AJ3781"/>
      <c r="AK3781"/>
    </row>
    <row r="3782" spans="1:37" ht="13.05" customHeight="1" x14ac:dyDescent="0.25">
      <c r="A3782"/>
      <c r="C3782" s="191"/>
      <c r="D3782" s="191"/>
      <c r="F3782"/>
      <c r="G3782"/>
      <c r="H3782" s="36"/>
      <c r="I3782" s="125"/>
      <c r="S3782" s="4"/>
      <c r="T3782" s="124"/>
      <c r="U3782" s="22"/>
      <c r="V3782" s="22"/>
      <c r="W3782" s="78"/>
      <c r="X3782" s="78"/>
      <c r="AF3782"/>
      <c r="AG3782"/>
      <c r="AH3782"/>
      <c r="AI3782"/>
      <c r="AJ3782"/>
      <c r="AK3782"/>
    </row>
    <row r="3783" spans="1:37" ht="13.05" customHeight="1" x14ac:dyDescent="0.25">
      <c r="A3783"/>
      <c r="C3783" s="191"/>
      <c r="D3783" s="191"/>
      <c r="F3783"/>
      <c r="G3783"/>
      <c r="H3783" s="36"/>
      <c r="I3783" s="125"/>
      <c r="S3783" s="4"/>
      <c r="T3783" s="124"/>
      <c r="U3783" s="22"/>
      <c r="V3783" s="22"/>
      <c r="W3783" s="78"/>
      <c r="X3783" s="78"/>
      <c r="AF3783"/>
      <c r="AG3783"/>
      <c r="AH3783"/>
      <c r="AI3783"/>
      <c r="AJ3783"/>
      <c r="AK3783"/>
    </row>
    <row r="3784" spans="1:37" ht="13.05" customHeight="1" x14ac:dyDescent="0.25">
      <c r="A3784"/>
      <c r="C3784" s="191"/>
      <c r="D3784" s="191"/>
      <c r="F3784"/>
      <c r="G3784"/>
      <c r="H3784" s="36"/>
      <c r="I3784" s="125"/>
      <c r="S3784" s="4"/>
      <c r="T3784" s="124"/>
      <c r="U3784" s="22"/>
      <c r="V3784" s="22"/>
      <c r="W3784" s="78"/>
      <c r="X3784" s="78"/>
      <c r="AF3784"/>
      <c r="AG3784"/>
      <c r="AH3784"/>
      <c r="AI3784"/>
      <c r="AJ3784"/>
      <c r="AK3784"/>
    </row>
    <row r="3785" spans="1:37" ht="13.05" customHeight="1" x14ac:dyDescent="0.25">
      <c r="A3785"/>
      <c r="C3785" s="191"/>
      <c r="D3785" s="191"/>
      <c r="F3785"/>
      <c r="G3785"/>
      <c r="H3785" s="36"/>
      <c r="I3785" s="125"/>
      <c r="S3785" s="4"/>
      <c r="T3785" s="124"/>
      <c r="U3785" s="22"/>
      <c r="V3785" s="22"/>
      <c r="W3785" s="78"/>
      <c r="X3785" s="78"/>
      <c r="AF3785"/>
      <c r="AG3785"/>
      <c r="AH3785"/>
      <c r="AI3785"/>
      <c r="AJ3785"/>
      <c r="AK3785"/>
    </row>
    <row r="3786" spans="1:37" ht="13.05" customHeight="1" x14ac:dyDescent="0.25">
      <c r="A3786"/>
      <c r="C3786" s="191"/>
      <c r="D3786" s="191"/>
      <c r="F3786"/>
      <c r="G3786"/>
      <c r="H3786" s="36"/>
      <c r="I3786" s="125"/>
      <c r="S3786" s="4"/>
      <c r="T3786" s="124"/>
      <c r="U3786" s="22"/>
      <c r="V3786" s="22"/>
      <c r="W3786" s="78"/>
      <c r="X3786" s="78"/>
      <c r="AF3786"/>
      <c r="AG3786"/>
      <c r="AH3786"/>
      <c r="AI3786"/>
      <c r="AJ3786"/>
      <c r="AK3786"/>
    </row>
    <row r="3787" spans="1:37" ht="13.05" customHeight="1" x14ac:dyDescent="0.25">
      <c r="A3787"/>
      <c r="C3787" s="191"/>
      <c r="D3787" s="191"/>
      <c r="F3787"/>
      <c r="G3787"/>
      <c r="H3787" s="36"/>
      <c r="I3787" s="125"/>
      <c r="S3787" s="4"/>
      <c r="T3787" s="124"/>
      <c r="U3787" s="22"/>
      <c r="V3787" s="22"/>
      <c r="W3787" s="78"/>
      <c r="X3787" s="78"/>
      <c r="AF3787"/>
      <c r="AG3787"/>
      <c r="AH3787"/>
      <c r="AI3787"/>
      <c r="AJ3787"/>
      <c r="AK3787"/>
    </row>
    <row r="3788" spans="1:37" ht="13.05" customHeight="1" x14ac:dyDescent="0.25">
      <c r="A3788"/>
      <c r="C3788" s="191"/>
      <c r="D3788" s="191"/>
      <c r="F3788"/>
      <c r="G3788"/>
      <c r="H3788" s="36"/>
      <c r="I3788" s="125"/>
      <c r="S3788" s="4"/>
      <c r="T3788" s="124"/>
      <c r="U3788" s="22"/>
      <c r="V3788" s="22"/>
      <c r="W3788" s="78"/>
      <c r="X3788" s="78"/>
      <c r="AF3788"/>
      <c r="AG3788"/>
      <c r="AH3788"/>
      <c r="AI3788"/>
      <c r="AJ3788"/>
      <c r="AK3788"/>
    </row>
    <row r="3789" spans="1:37" ht="13.05" customHeight="1" x14ac:dyDescent="0.25">
      <c r="A3789"/>
      <c r="C3789" s="191"/>
      <c r="D3789" s="191"/>
      <c r="F3789"/>
      <c r="G3789"/>
      <c r="H3789" s="36"/>
      <c r="I3789" s="125"/>
      <c r="S3789" s="4"/>
      <c r="T3789" s="124"/>
      <c r="U3789" s="22"/>
      <c r="V3789" s="22"/>
      <c r="W3789" s="78"/>
      <c r="X3789" s="78"/>
      <c r="AF3789"/>
      <c r="AG3789"/>
      <c r="AH3789"/>
      <c r="AI3789"/>
      <c r="AJ3789"/>
      <c r="AK3789"/>
    </row>
    <row r="3790" spans="1:37" ht="13.05" customHeight="1" x14ac:dyDescent="0.25">
      <c r="A3790"/>
      <c r="C3790" s="191"/>
      <c r="D3790" s="191"/>
      <c r="F3790"/>
      <c r="G3790"/>
      <c r="H3790" s="36"/>
      <c r="I3790" s="125"/>
      <c r="S3790" s="4"/>
      <c r="T3790" s="124"/>
      <c r="U3790" s="22"/>
      <c r="V3790" s="22"/>
      <c r="W3790" s="78"/>
      <c r="X3790" s="78"/>
      <c r="AF3790"/>
      <c r="AG3790"/>
      <c r="AH3790"/>
      <c r="AI3790"/>
      <c r="AJ3790"/>
      <c r="AK3790"/>
    </row>
    <row r="3791" spans="1:37" ht="13.05" customHeight="1" x14ac:dyDescent="0.25">
      <c r="A3791"/>
      <c r="C3791" s="191"/>
      <c r="D3791" s="191"/>
      <c r="F3791"/>
      <c r="G3791"/>
      <c r="H3791" s="36"/>
      <c r="I3791" s="125"/>
      <c r="S3791" s="4"/>
      <c r="T3791" s="124"/>
      <c r="U3791" s="22"/>
      <c r="V3791" s="22"/>
      <c r="W3791" s="78"/>
      <c r="X3791" s="78"/>
      <c r="AF3791"/>
      <c r="AG3791"/>
      <c r="AH3791"/>
      <c r="AI3791"/>
      <c r="AJ3791"/>
      <c r="AK3791"/>
    </row>
    <row r="3792" spans="1:37" ht="13.05" customHeight="1" x14ac:dyDescent="0.25">
      <c r="A3792"/>
      <c r="C3792" s="191"/>
      <c r="D3792" s="191"/>
      <c r="F3792"/>
      <c r="G3792"/>
      <c r="H3792" s="36"/>
      <c r="I3792" s="125"/>
      <c r="S3792" s="4"/>
      <c r="T3792" s="124"/>
      <c r="U3792" s="22"/>
      <c r="V3792" s="22"/>
      <c r="W3792" s="78"/>
      <c r="X3792" s="78"/>
      <c r="AF3792"/>
      <c r="AG3792"/>
      <c r="AH3792"/>
      <c r="AI3792"/>
      <c r="AJ3792"/>
      <c r="AK3792"/>
    </row>
    <row r="3793" spans="1:37" ht="13.05" customHeight="1" x14ac:dyDescent="0.25">
      <c r="A3793"/>
      <c r="C3793" s="191"/>
      <c r="D3793" s="191"/>
      <c r="F3793"/>
      <c r="G3793"/>
      <c r="H3793" s="36"/>
      <c r="I3793" s="125"/>
      <c r="S3793" s="4"/>
      <c r="T3793" s="124"/>
      <c r="U3793" s="22"/>
      <c r="V3793" s="22"/>
      <c r="W3793" s="78"/>
      <c r="X3793" s="78"/>
      <c r="AF3793"/>
      <c r="AG3793"/>
      <c r="AH3793"/>
      <c r="AI3793"/>
      <c r="AJ3793"/>
      <c r="AK3793"/>
    </row>
    <row r="3794" spans="1:37" ht="13.05" customHeight="1" x14ac:dyDescent="0.25">
      <c r="A3794"/>
      <c r="C3794" s="191"/>
      <c r="D3794" s="191"/>
      <c r="F3794"/>
      <c r="G3794"/>
      <c r="H3794" s="36"/>
      <c r="I3794" s="125"/>
      <c r="S3794" s="4"/>
      <c r="T3794" s="124"/>
      <c r="U3794" s="22"/>
      <c r="V3794" s="22"/>
      <c r="W3794" s="78"/>
      <c r="X3794" s="78"/>
      <c r="AF3794"/>
      <c r="AG3794"/>
      <c r="AH3794"/>
      <c r="AI3794"/>
      <c r="AJ3794"/>
      <c r="AK3794"/>
    </row>
    <row r="3795" spans="1:37" ht="13.05" customHeight="1" x14ac:dyDescent="0.25">
      <c r="A3795"/>
      <c r="C3795" s="191"/>
      <c r="D3795" s="191"/>
      <c r="F3795"/>
      <c r="G3795"/>
      <c r="H3795" s="36"/>
      <c r="I3795" s="125"/>
      <c r="S3795" s="4"/>
      <c r="T3795" s="124"/>
      <c r="U3795" s="22"/>
      <c r="V3795" s="22"/>
      <c r="W3795" s="78"/>
      <c r="X3795" s="78"/>
      <c r="AF3795"/>
      <c r="AG3795"/>
      <c r="AH3795"/>
      <c r="AI3795"/>
      <c r="AJ3795"/>
      <c r="AK3795"/>
    </row>
    <row r="3796" spans="1:37" ht="13.05" customHeight="1" x14ac:dyDescent="0.25">
      <c r="A3796"/>
      <c r="C3796" s="191"/>
      <c r="D3796" s="191"/>
      <c r="F3796"/>
      <c r="G3796"/>
      <c r="H3796" s="36"/>
      <c r="I3796" s="125"/>
      <c r="S3796" s="4"/>
      <c r="T3796" s="124"/>
      <c r="U3796" s="22"/>
      <c r="V3796" s="22"/>
      <c r="W3796" s="78"/>
      <c r="X3796" s="78"/>
      <c r="AF3796"/>
      <c r="AG3796"/>
      <c r="AH3796"/>
      <c r="AI3796"/>
      <c r="AJ3796"/>
      <c r="AK3796"/>
    </row>
    <row r="3797" spans="1:37" ht="13.05" customHeight="1" x14ac:dyDescent="0.25">
      <c r="A3797"/>
      <c r="C3797" s="191"/>
      <c r="D3797" s="191"/>
      <c r="F3797"/>
      <c r="G3797"/>
      <c r="H3797" s="36"/>
      <c r="I3797" s="125"/>
      <c r="S3797" s="4"/>
      <c r="T3797" s="124"/>
      <c r="U3797" s="22"/>
      <c r="V3797" s="22"/>
      <c r="W3797" s="78"/>
      <c r="X3797" s="78"/>
      <c r="AF3797"/>
      <c r="AG3797"/>
      <c r="AH3797"/>
      <c r="AI3797"/>
      <c r="AJ3797"/>
      <c r="AK3797"/>
    </row>
    <row r="3798" spans="1:37" ht="13.05" customHeight="1" x14ac:dyDescent="0.25">
      <c r="A3798"/>
      <c r="C3798" s="191"/>
      <c r="D3798" s="191"/>
      <c r="F3798"/>
      <c r="G3798"/>
      <c r="H3798" s="36"/>
      <c r="I3798" s="125"/>
      <c r="S3798" s="4"/>
      <c r="T3798" s="124"/>
      <c r="U3798" s="22"/>
      <c r="V3798" s="22"/>
      <c r="W3798" s="78"/>
      <c r="X3798" s="78"/>
      <c r="AF3798"/>
      <c r="AG3798"/>
      <c r="AH3798"/>
      <c r="AI3798"/>
      <c r="AJ3798"/>
      <c r="AK3798"/>
    </row>
    <row r="3799" spans="1:37" ht="13.05" customHeight="1" x14ac:dyDescent="0.25">
      <c r="A3799"/>
      <c r="C3799" s="191"/>
      <c r="D3799" s="191"/>
      <c r="F3799"/>
      <c r="G3799"/>
      <c r="H3799" s="36"/>
      <c r="I3799" s="125"/>
      <c r="S3799" s="4"/>
      <c r="T3799" s="124"/>
      <c r="U3799" s="22"/>
      <c r="V3799" s="22"/>
      <c r="W3799" s="78"/>
      <c r="X3799" s="78"/>
      <c r="AF3799"/>
      <c r="AG3799"/>
      <c r="AH3799"/>
      <c r="AI3799"/>
      <c r="AJ3799"/>
      <c r="AK3799"/>
    </row>
    <row r="3800" spans="1:37" ht="13.05" customHeight="1" x14ac:dyDescent="0.25">
      <c r="A3800"/>
      <c r="C3800" s="191"/>
      <c r="D3800" s="191"/>
      <c r="F3800"/>
      <c r="G3800"/>
      <c r="H3800" s="36"/>
      <c r="I3800" s="125"/>
      <c r="S3800" s="4"/>
      <c r="T3800" s="124"/>
      <c r="U3800" s="22"/>
      <c r="V3800" s="22"/>
      <c r="W3800" s="78"/>
      <c r="X3800" s="78"/>
      <c r="AF3800"/>
      <c r="AG3800"/>
      <c r="AH3800"/>
      <c r="AI3800"/>
      <c r="AJ3800"/>
      <c r="AK3800"/>
    </row>
    <row r="3801" spans="1:37" ht="13.05" customHeight="1" x14ac:dyDescent="0.25">
      <c r="A3801"/>
      <c r="C3801" s="191"/>
      <c r="D3801" s="191"/>
      <c r="F3801"/>
      <c r="G3801"/>
      <c r="H3801" s="36"/>
      <c r="I3801" s="125"/>
      <c r="S3801" s="4"/>
      <c r="T3801" s="124"/>
      <c r="U3801" s="22"/>
      <c r="V3801" s="22"/>
      <c r="W3801" s="78"/>
      <c r="X3801" s="78"/>
      <c r="AF3801"/>
      <c r="AG3801"/>
      <c r="AH3801"/>
      <c r="AI3801"/>
      <c r="AJ3801"/>
      <c r="AK3801"/>
    </row>
    <row r="3802" spans="1:37" ht="13.05" customHeight="1" x14ac:dyDescent="0.25">
      <c r="A3802"/>
      <c r="C3802" s="191"/>
      <c r="D3802" s="191"/>
      <c r="F3802"/>
      <c r="G3802"/>
      <c r="H3802" s="36"/>
      <c r="I3802" s="125"/>
      <c r="S3802" s="4"/>
      <c r="T3802" s="124"/>
      <c r="U3802" s="22"/>
      <c r="V3802" s="22"/>
      <c r="W3802" s="78"/>
      <c r="X3802" s="78"/>
      <c r="AF3802"/>
      <c r="AG3802"/>
      <c r="AH3802"/>
      <c r="AI3802"/>
      <c r="AJ3802"/>
      <c r="AK3802"/>
    </row>
    <row r="3803" spans="1:37" ht="13.05" customHeight="1" x14ac:dyDescent="0.25">
      <c r="A3803"/>
      <c r="C3803" s="191"/>
      <c r="D3803" s="191"/>
      <c r="F3803"/>
      <c r="G3803"/>
      <c r="H3803" s="36"/>
      <c r="I3803" s="125"/>
      <c r="S3803" s="4"/>
      <c r="T3803" s="124"/>
      <c r="U3803" s="22"/>
      <c r="V3803" s="22"/>
      <c r="W3803" s="78"/>
      <c r="X3803" s="78"/>
      <c r="AF3803"/>
      <c r="AG3803"/>
      <c r="AH3803"/>
      <c r="AI3803"/>
      <c r="AJ3803"/>
      <c r="AK3803"/>
    </row>
    <row r="3804" spans="1:37" ht="13.05" customHeight="1" x14ac:dyDescent="0.25">
      <c r="A3804"/>
      <c r="C3804" s="191"/>
      <c r="D3804" s="191"/>
      <c r="F3804"/>
      <c r="G3804"/>
      <c r="H3804" s="36"/>
      <c r="I3804" s="125"/>
      <c r="S3804" s="4"/>
      <c r="T3804" s="124"/>
      <c r="U3804" s="22"/>
      <c r="V3804" s="22"/>
      <c r="W3804" s="78"/>
      <c r="X3804" s="78"/>
      <c r="AF3804"/>
      <c r="AG3804"/>
      <c r="AH3804"/>
      <c r="AI3804"/>
      <c r="AJ3804"/>
      <c r="AK3804"/>
    </row>
    <row r="3805" spans="1:37" ht="13.05" customHeight="1" x14ac:dyDescent="0.25">
      <c r="A3805"/>
      <c r="C3805" s="191"/>
      <c r="D3805" s="191"/>
      <c r="F3805"/>
      <c r="G3805"/>
      <c r="H3805" s="36"/>
      <c r="I3805" s="125"/>
      <c r="S3805" s="4"/>
      <c r="T3805" s="124"/>
      <c r="U3805" s="22"/>
      <c r="V3805" s="22"/>
      <c r="W3805" s="78"/>
      <c r="X3805" s="78"/>
      <c r="AF3805"/>
      <c r="AG3805"/>
      <c r="AH3805"/>
      <c r="AI3805"/>
      <c r="AJ3805"/>
      <c r="AK3805"/>
    </row>
    <row r="3806" spans="1:37" ht="13.05" customHeight="1" x14ac:dyDescent="0.25">
      <c r="A3806"/>
      <c r="C3806" s="191"/>
      <c r="D3806" s="191"/>
      <c r="F3806"/>
      <c r="G3806"/>
      <c r="H3806" s="36"/>
      <c r="I3806" s="125"/>
      <c r="S3806" s="4"/>
      <c r="T3806" s="124"/>
      <c r="U3806" s="22"/>
      <c r="V3806" s="22"/>
      <c r="W3806" s="78"/>
      <c r="X3806" s="78"/>
      <c r="AF3806"/>
      <c r="AG3806"/>
      <c r="AH3806"/>
      <c r="AI3806"/>
      <c r="AJ3806"/>
      <c r="AK3806"/>
    </row>
    <row r="3807" spans="1:37" ht="13.05" customHeight="1" x14ac:dyDescent="0.25">
      <c r="A3807"/>
      <c r="C3807" s="191"/>
      <c r="D3807" s="191"/>
      <c r="F3807"/>
      <c r="G3807"/>
      <c r="H3807" s="36"/>
      <c r="I3807" s="125"/>
      <c r="S3807" s="4"/>
      <c r="T3807" s="124"/>
      <c r="U3807" s="22"/>
      <c r="V3807" s="22"/>
      <c r="W3807" s="78"/>
      <c r="X3807" s="78"/>
      <c r="AF3807"/>
      <c r="AG3807"/>
      <c r="AH3807"/>
      <c r="AI3807"/>
      <c r="AJ3807"/>
      <c r="AK3807"/>
    </row>
    <row r="3808" spans="1:37" ht="13.05" customHeight="1" x14ac:dyDescent="0.25">
      <c r="A3808"/>
      <c r="C3808" s="191"/>
      <c r="D3808" s="191"/>
      <c r="F3808"/>
      <c r="G3808"/>
      <c r="H3808" s="36"/>
      <c r="I3808" s="125"/>
      <c r="S3808" s="4"/>
      <c r="T3808" s="124"/>
      <c r="U3808" s="22"/>
      <c r="V3808" s="22"/>
      <c r="W3808" s="78"/>
      <c r="X3808" s="78"/>
      <c r="AF3808"/>
      <c r="AG3808"/>
      <c r="AH3808"/>
      <c r="AI3808"/>
      <c r="AJ3808"/>
      <c r="AK3808"/>
    </row>
    <row r="3809" spans="1:37" ht="13.05" customHeight="1" x14ac:dyDescent="0.25">
      <c r="A3809"/>
      <c r="C3809" s="191"/>
      <c r="D3809" s="191"/>
      <c r="F3809"/>
      <c r="G3809"/>
      <c r="H3809" s="36"/>
      <c r="I3809" s="125"/>
      <c r="S3809" s="4"/>
      <c r="T3809" s="124"/>
      <c r="U3809" s="22"/>
      <c r="V3809" s="22"/>
      <c r="W3809" s="78"/>
      <c r="X3809" s="78"/>
      <c r="AF3809"/>
      <c r="AG3809"/>
      <c r="AH3809"/>
      <c r="AI3809"/>
      <c r="AJ3809"/>
      <c r="AK3809"/>
    </row>
    <row r="3810" spans="1:37" ht="13.05" customHeight="1" x14ac:dyDescent="0.25">
      <c r="A3810"/>
      <c r="C3810" s="191"/>
      <c r="D3810" s="191"/>
      <c r="F3810"/>
      <c r="G3810"/>
      <c r="H3810" s="36"/>
      <c r="I3810" s="125"/>
      <c r="S3810" s="4"/>
      <c r="T3810" s="124"/>
      <c r="U3810" s="22"/>
      <c r="V3810" s="22"/>
      <c r="W3810" s="78"/>
      <c r="X3810" s="78"/>
      <c r="AF3810"/>
      <c r="AG3810"/>
      <c r="AH3810"/>
      <c r="AI3810"/>
      <c r="AJ3810"/>
      <c r="AK3810"/>
    </row>
    <row r="3811" spans="1:37" ht="13.05" customHeight="1" x14ac:dyDescent="0.25">
      <c r="A3811"/>
      <c r="C3811" s="191"/>
      <c r="D3811" s="191"/>
      <c r="F3811"/>
      <c r="G3811"/>
      <c r="H3811" s="36"/>
      <c r="I3811" s="125"/>
      <c r="S3811" s="4"/>
      <c r="T3811" s="124"/>
      <c r="U3811" s="22"/>
      <c r="V3811" s="22"/>
      <c r="W3811" s="78"/>
      <c r="X3811" s="78"/>
      <c r="AF3811"/>
      <c r="AG3811"/>
      <c r="AH3811"/>
      <c r="AI3811"/>
      <c r="AJ3811"/>
      <c r="AK3811"/>
    </row>
    <row r="3812" spans="1:37" ht="13.05" customHeight="1" x14ac:dyDescent="0.25">
      <c r="A3812"/>
      <c r="C3812" s="191"/>
      <c r="D3812" s="191"/>
      <c r="F3812"/>
      <c r="G3812"/>
      <c r="H3812" s="36"/>
      <c r="I3812" s="125"/>
      <c r="S3812" s="4"/>
      <c r="T3812" s="124"/>
      <c r="U3812" s="22"/>
      <c r="V3812" s="22"/>
      <c r="W3812" s="78"/>
      <c r="X3812" s="78"/>
      <c r="AF3812"/>
      <c r="AG3812"/>
      <c r="AH3812"/>
      <c r="AI3812"/>
      <c r="AJ3812"/>
      <c r="AK3812"/>
    </row>
    <row r="3813" spans="1:37" ht="13.05" customHeight="1" x14ac:dyDescent="0.25">
      <c r="A3813"/>
      <c r="C3813" s="191"/>
      <c r="D3813" s="191"/>
      <c r="F3813"/>
      <c r="G3813"/>
      <c r="H3813" s="36"/>
      <c r="I3813" s="125"/>
      <c r="S3813" s="4"/>
      <c r="T3813" s="124"/>
      <c r="U3813" s="22"/>
      <c r="V3813" s="22"/>
      <c r="W3813" s="78"/>
      <c r="X3813" s="78"/>
      <c r="AF3813"/>
      <c r="AG3813"/>
      <c r="AH3813"/>
      <c r="AI3813"/>
      <c r="AJ3813"/>
      <c r="AK3813"/>
    </row>
    <row r="3814" spans="1:37" ht="13.05" customHeight="1" x14ac:dyDescent="0.25">
      <c r="A3814"/>
      <c r="C3814" s="191"/>
      <c r="D3814" s="191"/>
      <c r="F3814"/>
      <c r="G3814"/>
      <c r="H3814" s="36"/>
      <c r="I3814" s="125"/>
      <c r="S3814" s="4"/>
      <c r="T3814" s="124"/>
      <c r="U3814" s="22"/>
      <c r="V3814" s="22"/>
      <c r="W3814" s="78"/>
      <c r="X3814" s="78"/>
      <c r="AF3814"/>
      <c r="AG3814"/>
      <c r="AH3814"/>
      <c r="AI3814"/>
      <c r="AJ3814"/>
      <c r="AK3814"/>
    </row>
    <row r="3815" spans="1:37" ht="13.05" customHeight="1" x14ac:dyDescent="0.25">
      <c r="A3815"/>
      <c r="C3815" s="191"/>
      <c r="D3815" s="191"/>
      <c r="F3815"/>
      <c r="G3815"/>
      <c r="H3815" s="36"/>
      <c r="I3815" s="125"/>
      <c r="S3815" s="4"/>
      <c r="T3815" s="124"/>
      <c r="U3815" s="22"/>
      <c r="V3815" s="22"/>
      <c r="W3815" s="78"/>
      <c r="X3815" s="78"/>
      <c r="AF3815"/>
      <c r="AG3815"/>
      <c r="AH3815"/>
      <c r="AI3815"/>
      <c r="AJ3815"/>
      <c r="AK3815"/>
    </row>
    <row r="3816" spans="1:37" ht="13.05" customHeight="1" x14ac:dyDescent="0.25">
      <c r="A3816"/>
      <c r="C3816" s="191"/>
      <c r="D3816" s="191"/>
      <c r="F3816"/>
      <c r="G3816"/>
      <c r="H3816" s="36"/>
      <c r="I3816" s="125"/>
      <c r="S3816" s="4"/>
      <c r="T3816" s="124"/>
      <c r="U3816" s="22"/>
      <c r="V3816" s="22"/>
      <c r="W3816" s="78"/>
      <c r="X3816" s="78"/>
      <c r="AF3816"/>
      <c r="AG3816"/>
      <c r="AH3816"/>
      <c r="AI3816"/>
      <c r="AJ3816"/>
      <c r="AK3816"/>
    </row>
    <row r="3817" spans="1:37" ht="13.05" customHeight="1" x14ac:dyDescent="0.25">
      <c r="A3817"/>
      <c r="C3817" s="191"/>
      <c r="D3817" s="191"/>
      <c r="F3817"/>
      <c r="G3817"/>
      <c r="H3817" s="36"/>
      <c r="I3817" s="125"/>
      <c r="S3817" s="4"/>
      <c r="T3817" s="124"/>
      <c r="U3817" s="22"/>
      <c r="V3817" s="22"/>
      <c r="W3817" s="78"/>
      <c r="X3817" s="78"/>
      <c r="AF3817"/>
      <c r="AG3817"/>
      <c r="AH3817"/>
      <c r="AI3817"/>
      <c r="AJ3817"/>
      <c r="AK3817"/>
    </row>
    <row r="3818" spans="1:37" ht="13.05" customHeight="1" x14ac:dyDescent="0.25">
      <c r="A3818"/>
      <c r="C3818" s="191"/>
      <c r="D3818" s="191"/>
      <c r="F3818"/>
      <c r="G3818"/>
      <c r="H3818" s="36"/>
      <c r="I3818" s="125"/>
      <c r="S3818" s="4"/>
      <c r="T3818" s="124"/>
      <c r="U3818" s="22"/>
      <c r="V3818" s="22"/>
      <c r="W3818" s="78"/>
      <c r="X3818" s="78"/>
      <c r="AF3818"/>
      <c r="AG3818"/>
      <c r="AH3818"/>
      <c r="AI3818"/>
      <c r="AJ3818"/>
      <c r="AK3818"/>
    </row>
    <row r="3819" spans="1:37" ht="13.05" customHeight="1" x14ac:dyDescent="0.25">
      <c r="A3819"/>
      <c r="C3819" s="191"/>
      <c r="D3819" s="191"/>
      <c r="F3819"/>
      <c r="G3819"/>
      <c r="H3819" s="36"/>
      <c r="I3819" s="125"/>
      <c r="S3819" s="4"/>
      <c r="T3819" s="124"/>
      <c r="U3819" s="22"/>
      <c r="V3819" s="22"/>
      <c r="W3819" s="78"/>
      <c r="X3819" s="78"/>
      <c r="AF3819"/>
      <c r="AG3819"/>
      <c r="AH3819"/>
      <c r="AI3819"/>
      <c r="AJ3819"/>
      <c r="AK3819"/>
    </row>
    <row r="3820" spans="1:37" ht="13.05" customHeight="1" x14ac:dyDescent="0.25">
      <c r="A3820"/>
      <c r="C3820" s="191"/>
      <c r="D3820" s="191"/>
      <c r="F3820"/>
      <c r="G3820"/>
      <c r="H3820" s="36"/>
      <c r="I3820" s="125"/>
      <c r="S3820" s="4"/>
      <c r="T3820" s="124"/>
      <c r="U3820" s="22"/>
      <c r="V3820" s="22"/>
      <c r="W3820" s="78"/>
      <c r="X3820" s="78"/>
      <c r="AF3820"/>
      <c r="AG3820"/>
      <c r="AH3820"/>
      <c r="AI3820"/>
      <c r="AJ3820"/>
      <c r="AK3820"/>
    </row>
    <row r="3821" spans="1:37" ht="13.05" customHeight="1" x14ac:dyDescent="0.25">
      <c r="A3821"/>
      <c r="C3821" s="191"/>
      <c r="D3821" s="191"/>
      <c r="F3821"/>
      <c r="G3821"/>
      <c r="H3821" s="36"/>
      <c r="I3821" s="125"/>
      <c r="S3821" s="4"/>
      <c r="T3821" s="124"/>
      <c r="U3821" s="22"/>
      <c r="V3821" s="22"/>
      <c r="W3821" s="78"/>
      <c r="X3821" s="78"/>
      <c r="AF3821"/>
      <c r="AG3821"/>
      <c r="AH3821"/>
      <c r="AI3821"/>
      <c r="AJ3821"/>
      <c r="AK3821"/>
    </row>
    <row r="3822" spans="1:37" ht="13.05" customHeight="1" x14ac:dyDescent="0.25">
      <c r="A3822"/>
      <c r="C3822" s="191"/>
      <c r="D3822" s="191"/>
      <c r="F3822"/>
      <c r="G3822"/>
      <c r="H3822" s="36"/>
      <c r="I3822" s="125"/>
      <c r="S3822" s="4"/>
      <c r="T3822" s="124"/>
      <c r="U3822" s="22"/>
      <c r="V3822" s="22"/>
      <c r="W3822" s="78"/>
      <c r="X3822" s="78"/>
      <c r="AF3822"/>
      <c r="AG3822"/>
      <c r="AH3822"/>
      <c r="AI3822"/>
      <c r="AJ3822"/>
      <c r="AK3822"/>
    </row>
    <row r="3823" spans="1:37" ht="13.05" customHeight="1" x14ac:dyDescent="0.25">
      <c r="A3823"/>
      <c r="C3823" s="191"/>
      <c r="D3823" s="191"/>
      <c r="F3823"/>
      <c r="G3823"/>
      <c r="H3823" s="36"/>
      <c r="I3823" s="125"/>
      <c r="S3823" s="4"/>
      <c r="T3823" s="124"/>
      <c r="U3823" s="22"/>
      <c r="V3823" s="22"/>
      <c r="W3823" s="78"/>
      <c r="X3823" s="78"/>
      <c r="AF3823"/>
      <c r="AG3823"/>
      <c r="AH3823"/>
      <c r="AI3823"/>
      <c r="AJ3823"/>
      <c r="AK3823"/>
    </row>
    <row r="3824" spans="1:37" ht="13.05" customHeight="1" x14ac:dyDescent="0.25">
      <c r="A3824"/>
      <c r="C3824" s="191"/>
      <c r="D3824" s="191"/>
      <c r="F3824"/>
      <c r="G3824"/>
      <c r="H3824" s="36"/>
      <c r="I3824" s="125"/>
      <c r="S3824" s="4"/>
      <c r="T3824" s="124"/>
      <c r="U3824" s="22"/>
      <c r="V3824" s="22"/>
      <c r="W3824" s="78"/>
      <c r="X3824" s="78"/>
      <c r="AF3824"/>
      <c r="AG3824"/>
      <c r="AH3824"/>
      <c r="AI3824"/>
      <c r="AJ3824"/>
      <c r="AK3824"/>
    </row>
    <row r="3825" spans="1:37" ht="13.05" customHeight="1" x14ac:dyDescent="0.25">
      <c r="A3825"/>
      <c r="C3825" s="191"/>
      <c r="D3825" s="191"/>
      <c r="F3825"/>
      <c r="G3825"/>
      <c r="H3825" s="36"/>
      <c r="I3825" s="125"/>
      <c r="S3825" s="4"/>
      <c r="T3825" s="124"/>
      <c r="U3825" s="22"/>
      <c r="V3825" s="22"/>
      <c r="W3825" s="78"/>
      <c r="X3825" s="78"/>
      <c r="AF3825"/>
      <c r="AG3825"/>
      <c r="AH3825"/>
      <c r="AI3825"/>
      <c r="AJ3825"/>
      <c r="AK3825"/>
    </row>
    <row r="3826" spans="1:37" ht="13.05" customHeight="1" x14ac:dyDescent="0.25">
      <c r="A3826"/>
      <c r="C3826" s="191"/>
      <c r="D3826" s="191"/>
      <c r="F3826"/>
      <c r="G3826"/>
      <c r="H3826" s="36"/>
      <c r="I3826" s="125"/>
      <c r="S3826" s="4"/>
      <c r="T3826" s="124"/>
      <c r="U3826" s="22"/>
      <c r="V3826" s="22"/>
      <c r="W3826" s="78"/>
      <c r="X3826" s="78"/>
      <c r="AF3826"/>
      <c r="AG3826"/>
      <c r="AH3826"/>
      <c r="AI3826"/>
      <c r="AJ3826"/>
      <c r="AK3826"/>
    </row>
    <row r="3827" spans="1:37" ht="13.05" customHeight="1" x14ac:dyDescent="0.25">
      <c r="A3827"/>
      <c r="C3827" s="191"/>
      <c r="D3827" s="191"/>
      <c r="F3827"/>
      <c r="G3827"/>
      <c r="H3827" s="36"/>
      <c r="I3827" s="125"/>
      <c r="S3827" s="4"/>
      <c r="T3827" s="124"/>
      <c r="U3827" s="22"/>
      <c r="V3827" s="22"/>
      <c r="W3827" s="78"/>
      <c r="X3827" s="78"/>
      <c r="AF3827"/>
      <c r="AG3827"/>
      <c r="AH3827"/>
      <c r="AI3827"/>
      <c r="AJ3827"/>
      <c r="AK3827"/>
    </row>
    <row r="3828" spans="1:37" ht="13.05" customHeight="1" x14ac:dyDescent="0.25">
      <c r="A3828"/>
      <c r="C3828" s="191"/>
      <c r="D3828" s="191"/>
      <c r="F3828"/>
      <c r="G3828"/>
      <c r="H3828" s="36"/>
      <c r="I3828" s="125"/>
      <c r="S3828" s="4"/>
      <c r="T3828" s="124"/>
      <c r="U3828" s="22"/>
      <c r="V3828" s="22"/>
      <c r="W3828" s="78"/>
      <c r="X3828" s="78"/>
      <c r="AF3828"/>
      <c r="AG3828"/>
      <c r="AH3828"/>
      <c r="AI3828"/>
      <c r="AJ3828"/>
      <c r="AK3828"/>
    </row>
    <row r="3829" spans="1:37" ht="13.05" customHeight="1" x14ac:dyDescent="0.25">
      <c r="A3829"/>
      <c r="C3829" s="191"/>
      <c r="D3829" s="191"/>
      <c r="F3829"/>
      <c r="G3829"/>
      <c r="H3829" s="36"/>
      <c r="I3829" s="125"/>
      <c r="S3829" s="4"/>
      <c r="T3829" s="124"/>
      <c r="U3829" s="22"/>
      <c r="V3829" s="22"/>
      <c r="W3829" s="78"/>
      <c r="X3829" s="78"/>
      <c r="AF3829"/>
      <c r="AG3829"/>
      <c r="AH3829"/>
      <c r="AI3829"/>
      <c r="AJ3829"/>
      <c r="AK3829"/>
    </row>
    <row r="3830" spans="1:37" ht="13.05" customHeight="1" x14ac:dyDescent="0.25">
      <c r="A3830"/>
      <c r="C3830" s="191"/>
      <c r="D3830" s="191"/>
      <c r="F3830"/>
      <c r="G3830"/>
      <c r="H3830" s="36"/>
      <c r="I3830" s="125"/>
      <c r="S3830" s="4"/>
      <c r="T3830" s="124"/>
      <c r="U3830" s="22"/>
      <c r="V3830" s="22"/>
      <c r="W3830" s="78"/>
      <c r="X3830" s="78"/>
      <c r="AF3830"/>
      <c r="AG3830"/>
      <c r="AH3830"/>
      <c r="AI3830"/>
      <c r="AJ3830"/>
      <c r="AK3830"/>
    </row>
    <row r="3831" spans="1:37" ht="13.05" customHeight="1" x14ac:dyDescent="0.25">
      <c r="A3831"/>
      <c r="C3831" s="191"/>
      <c r="D3831" s="191"/>
      <c r="F3831"/>
      <c r="G3831"/>
      <c r="H3831" s="36"/>
      <c r="I3831" s="125"/>
      <c r="S3831" s="4"/>
      <c r="T3831" s="124"/>
      <c r="U3831" s="22"/>
      <c r="V3831" s="22"/>
      <c r="W3831" s="78"/>
      <c r="X3831" s="78"/>
      <c r="AF3831"/>
      <c r="AG3831"/>
      <c r="AH3831"/>
      <c r="AI3831"/>
      <c r="AJ3831"/>
      <c r="AK3831"/>
    </row>
    <row r="3832" spans="1:37" ht="13.05" customHeight="1" x14ac:dyDescent="0.25">
      <c r="A3832"/>
      <c r="C3832" s="191"/>
      <c r="D3832" s="191"/>
      <c r="F3832"/>
      <c r="G3832"/>
      <c r="H3832" s="36"/>
      <c r="I3832" s="125"/>
      <c r="S3832" s="4"/>
      <c r="T3832" s="124"/>
      <c r="U3832" s="22"/>
      <c r="V3832" s="22"/>
      <c r="W3832" s="78"/>
      <c r="X3832" s="78"/>
      <c r="AF3832"/>
      <c r="AG3832"/>
      <c r="AH3832"/>
      <c r="AI3832"/>
      <c r="AJ3832"/>
      <c r="AK3832"/>
    </row>
    <row r="3833" spans="1:37" ht="13.05" customHeight="1" x14ac:dyDescent="0.25">
      <c r="A3833"/>
      <c r="C3833" s="191"/>
      <c r="D3833" s="191"/>
      <c r="F3833"/>
      <c r="G3833"/>
      <c r="H3833" s="36"/>
      <c r="I3833" s="125"/>
      <c r="S3833" s="4"/>
      <c r="T3833" s="124"/>
      <c r="U3833" s="22"/>
      <c r="V3833" s="22"/>
      <c r="W3833" s="78"/>
      <c r="X3833" s="78"/>
      <c r="AF3833"/>
      <c r="AG3833"/>
      <c r="AH3833"/>
      <c r="AI3833"/>
      <c r="AJ3833"/>
      <c r="AK3833"/>
    </row>
    <row r="3834" spans="1:37" ht="13.05" customHeight="1" x14ac:dyDescent="0.25">
      <c r="A3834"/>
      <c r="C3834" s="191"/>
      <c r="D3834" s="191"/>
      <c r="F3834"/>
      <c r="G3834"/>
      <c r="H3834" s="36"/>
      <c r="I3834" s="125"/>
      <c r="S3834" s="4"/>
      <c r="T3834" s="124"/>
      <c r="U3834" s="22"/>
      <c r="V3834" s="22"/>
      <c r="W3834" s="78"/>
      <c r="X3834" s="78"/>
      <c r="AF3834"/>
      <c r="AG3834"/>
      <c r="AH3834"/>
      <c r="AI3834"/>
      <c r="AJ3834"/>
      <c r="AK3834"/>
    </row>
    <row r="3835" spans="1:37" ht="13.05" customHeight="1" x14ac:dyDescent="0.25">
      <c r="A3835"/>
      <c r="C3835" s="191"/>
      <c r="D3835" s="191"/>
      <c r="F3835"/>
      <c r="G3835"/>
      <c r="H3835" s="36"/>
      <c r="I3835" s="125"/>
      <c r="S3835" s="4"/>
      <c r="T3835" s="124"/>
      <c r="U3835" s="22"/>
      <c r="V3835" s="22"/>
      <c r="W3835" s="78"/>
      <c r="X3835" s="78"/>
      <c r="AF3835"/>
      <c r="AG3835"/>
      <c r="AH3835"/>
      <c r="AI3835"/>
      <c r="AJ3835"/>
      <c r="AK3835"/>
    </row>
    <row r="3836" spans="1:37" ht="13.05" customHeight="1" x14ac:dyDescent="0.25">
      <c r="A3836"/>
      <c r="C3836" s="191"/>
      <c r="D3836" s="191"/>
      <c r="F3836"/>
      <c r="G3836"/>
      <c r="H3836" s="36"/>
      <c r="I3836" s="125"/>
      <c r="S3836" s="4"/>
      <c r="T3836" s="124"/>
      <c r="U3836" s="22"/>
      <c r="V3836" s="22"/>
      <c r="W3836" s="78"/>
      <c r="X3836" s="78"/>
      <c r="AF3836"/>
      <c r="AG3836"/>
      <c r="AH3836"/>
      <c r="AI3836"/>
      <c r="AJ3836"/>
      <c r="AK3836"/>
    </row>
    <row r="3837" spans="1:37" ht="13.05" customHeight="1" x14ac:dyDescent="0.25">
      <c r="A3837"/>
      <c r="C3837" s="191"/>
      <c r="D3837" s="191"/>
      <c r="F3837"/>
      <c r="G3837"/>
      <c r="H3837" s="36"/>
      <c r="I3837" s="125"/>
      <c r="S3837" s="4"/>
      <c r="T3837" s="124"/>
      <c r="U3837" s="22"/>
      <c r="V3837" s="22"/>
      <c r="W3837" s="78"/>
      <c r="X3837" s="78"/>
      <c r="AF3837"/>
      <c r="AG3837"/>
      <c r="AH3837"/>
      <c r="AI3837"/>
      <c r="AJ3837"/>
      <c r="AK3837"/>
    </row>
    <row r="3838" spans="1:37" ht="13.05" customHeight="1" x14ac:dyDescent="0.25">
      <c r="A3838"/>
      <c r="C3838" s="191"/>
      <c r="D3838" s="191"/>
      <c r="F3838"/>
      <c r="G3838"/>
      <c r="H3838" s="36"/>
      <c r="I3838" s="125"/>
      <c r="S3838" s="4"/>
      <c r="T3838" s="124"/>
      <c r="U3838" s="22"/>
      <c r="V3838" s="22"/>
      <c r="W3838" s="78"/>
      <c r="X3838" s="78"/>
      <c r="AF3838"/>
      <c r="AG3838"/>
      <c r="AH3838"/>
      <c r="AI3838"/>
      <c r="AJ3838"/>
      <c r="AK3838"/>
    </row>
    <row r="3839" spans="1:37" ht="13.05" customHeight="1" x14ac:dyDescent="0.25">
      <c r="A3839"/>
      <c r="C3839" s="191"/>
      <c r="D3839" s="191"/>
      <c r="F3839"/>
      <c r="G3839"/>
      <c r="H3839" s="36"/>
      <c r="I3839" s="125"/>
      <c r="S3839" s="4"/>
      <c r="T3839" s="124"/>
      <c r="U3839" s="22"/>
      <c r="V3839" s="22"/>
      <c r="W3839" s="78"/>
      <c r="X3839" s="78"/>
      <c r="AF3839"/>
      <c r="AG3839"/>
      <c r="AH3839"/>
      <c r="AI3839"/>
      <c r="AJ3839"/>
      <c r="AK3839"/>
    </row>
    <row r="3840" spans="1:37" ht="13.05" customHeight="1" x14ac:dyDescent="0.25">
      <c r="A3840"/>
      <c r="C3840" s="191"/>
      <c r="D3840" s="191"/>
      <c r="F3840"/>
      <c r="G3840"/>
      <c r="H3840" s="36"/>
      <c r="I3840" s="125"/>
      <c r="S3840" s="4"/>
      <c r="T3840" s="124"/>
      <c r="U3840" s="22"/>
      <c r="V3840" s="22"/>
      <c r="W3840" s="78"/>
      <c r="X3840" s="78"/>
      <c r="AF3840"/>
      <c r="AG3840"/>
      <c r="AH3840"/>
      <c r="AI3840"/>
      <c r="AJ3840"/>
      <c r="AK3840"/>
    </row>
    <row r="3841" spans="1:37" ht="13.05" customHeight="1" x14ac:dyDescent="0.25">
      <c r="A3841"/>
      <c r="C3841" s="191"/>
      <c r="D3841" s="191"/>
      <c r="F3841"/>
      <c r="G3841"/>
      <c r="H3841" s="36"/>
      <c r="I3841" s="125"/>
      <c r="S3841" s="4"/>
      <c r="T3841" s="124"/>
      <c r="U3841" s="22"/>
      <c r="V3841" s="22"/>
      <c r="W3841" s="78"/>
      <c r="X3841" s="78"/>
      <c r="AF3841"/>
      <c r="AG3841"/>
      <c r="AH3841"/>
      <c r="AI3841"/>
      <c r="AJ3841"/>
      <c r="AK3841"/>
    </row>
    <row r="3842" spans="1:37" ht="13.05" customHeight="1" x14ac:dyDescent="0.25">
      <c r="A3842"/>
      <c r="C3842" s="191"/>
      <c r="D3842" s="191"/>
      <c r="F3842"/>
      <c r="G3842"/>
      <c r="H3842" s="36"/>
      <c r="I3842" s="125"/>
      <c r="S3842" s="4"/>
      <c r="T3842" s="124"/>
      <c r="U3842" s="22"/>
      <c r="V3842" s="22"/>
      <c r="W3842" s="78"/>
      <c r="X3842" s="78"/>
      <c r="AF3842"/>
      <c r="AG3842"/>
      <c r="AH3842"/>
      <c r="AI3842"/>
      <c r="AJ3842"/>
      <c r="AK3842"/>
    </row>
    <row r="3843" spans="1:37" ht="13.05" customHeight="1" x14ac:dyDescent="0.25">
      <c r="A3843"/>
      <c r="C3843" s="191"/>
      <c r="D3843" s="191"/>
      <c r="F3843"/>
      <c r="G3843"/>
      <c r="H3843" s="36"/>
      <c r="I3843" s="125"/>
      <c r="S3843" s="4"/>
      <c r="T3843" s="124"/>
      <c r="U3843" s="22"/>
      <c r="V3843" s="22"/>
      <c r="W3843" s="78"/>
      <c r="X3843" s="78"/>
      <c r="AF3843"/>
      <c r="AG3843"/>
      <c r="AH3843"/>
      <c r="AI3843"/>
      <c r="AJ3843"/>
      <c r="AK3843"/>
    </row>
    <row r="3844" spans="1:37" ht="13.05" customHeight="1" x14ac:dyDescent="0.25">
      <c r="A3844"/>
      <c r="C3844" s="191"/>
      <c r="D3844" s="191"/>
      <c r="F3844"/>
      <c r="G3844"/>
      <c r="H3844" s="36"/>
      <c r="I3844" s="125"/>
      <c r="S3844" s="4"/>
      <c r="T3844" s="124"/>
      <c r="U3844" s="22"/>
      <c r="V3844" s="22"/>
      <c r="W3844" s="78"/>
      <c r="X3844" s="78"/>
      <c r="AF3844"/>
      <c r="AG3844"/>
      <c r="AH3844"/>
      <c r="AI3844"/>
      <c r="AJ3844"/>
      <c r="AK3844"/>
    </row>
    <row r="3845" spans="1:37" ht="13.05" customHeight="1" x14ac:dyDescent="0.25">
      <c r="A3845"/>
      <c r="C3845" s="191"/>
      <c r="D3845" s="191"/>
      <c r="F3845"/>
      <c r="G3845"/>
      <c r="H3845" s="36"/>
      <c r="I3845" s="125"/>
      <c r="S3845" s="4"/>
      <c r="T3845" s="124"/>
      <c r="U3845" s="22"/>
      <c r="V3845" s="22"/>
      <c r="W3845" s="78"/>
      <c r="X3845" s="78"/>
      <c r="AF3845"/>
      <c r="AG3845"/>
      <c r="AH3845"/>
      <c r="AI3845"/>
      <c r="AJ3845"/>
      <c r="AK3845"/>
    </row>
    <row r="3846" spans="1:37" ht="13.05" customHeight="1" x14ac:dyDescent="0.25">
      <c r="A3846"/>
      <c r="C3846" s="191"/>
      <c r="D3846" s="191"/>
      <c r="F3846"/>
      <c r="G3846"/>
      <c r="H3846" s="36"/>
      <c r="I3846" s="125"/>
      <c r="S3846" s="4"/>
      <c r="T3846" s="124"/>
      <c r="U3846" s="22"/>
      <c r="V3846" s="22"/>
      <c r="W3846" s="78"/>
      <c r="X3846" s="78"/>
      <c r="AF3846"/>
      <c r="AG3846"/>
      <c r="AH3846"/>
      <c r="AI3846"/>
      <c r="AJ3846"/>
      <c r="AK3846"/>
    </row>
    <row r="3847" spans="1:37" ht="13.05" customHeight="1" x14ac:dyDescent="0.25">
      <c r="A3847"/>
      <c r="C3847" s="191"/>
      <c r="D3847" s="191"/>
      <c r="F3847"/>
      <c r="G3847"/>
      <c r="H3847" s="36"/>
      <c r="I3847" s="125"/>
      <c r="S3847" s="4"/>
      <c r="T3847" s="124"/>
      <c r="U3847" s="22"/>
      <c r="V3847" s="22"/>
      <c r="W3847" s="78"/>
      <c r="X3847" s="78"/>
      <c r="AF3847"/>
      <c r="AG3847"/>
      <c r="AH3847"/>
      <c r="AI3847"/>
      <c r="AJ3847"/>
      <c r="AK3847"/>
    </row>
    <row r="3848" spans="1:37" ht="13.05" customHeight="1" x14ac:dyDescent="0.25">
      <c r="A3848"/>
      <c r="C3848" s="191"/>
      <c r="D3848" s="191"/>
      <c r="F3848"/>
      <c r="G3848"/>
      <c r="H3848" s="36"/>
      <c r="I3848" s="125"/>
      <c r="S3848" s="4"/>
      <c r="T3848" s="124"/>
      <c r="U3848" s="22"/>
      <c r="V3848" s="22"/>
      <c r="W3848" s="78"/>
      <c r="X3848" s="78"/>
      <c r="AF3848"/>
      <c r="AG3848"/>
      <c r="AH3848"/>
      <c r="AI3848"/>
      <c r="AJ3848"/>
      <c r="AK3848"/>
    </row>
    <row r="3849" spans="1:37" ht="13.05" customHeight="1" x14ac:dyDescent="0.25">
      <c r="A3849"/>
      <c r="C3849" s="191"/>
      <c r="D3849" s="191"/>
      <c r="F3849"/>
      <c r="G3849"/>
      <c r="H3849" s="36"/>
      <c r="I3849" s="125"/>
      <c r="S3849" s="4"/>
      <c r="T3849" s="124"/>
      <c r="U3849" s="22"/>
      <c r="V3849" s="22"/>
      <c r="W3849" s="78"/>
      <c r="X3849" s="78"/>
      <c r="AF3849"/>
      <c r="AG3849"/>
      <c r="AH3849"/>
      <c r="AI3849"/>
      <c r="AJ3849"/>
      <c r="AK3849"/>
    </row>
    <row r="3850" spans="1:37" ht="13.05" customHeight="1" x14ac:dyDescent="0.25">
      <c r="A3850"/>
      <c r="C3850" s="191"/>
      <c r="D3850" s="191"/>
      <c r="F3850"/>
      <c r="G3850"/>
      <c r="H3850" s="36"/>
      <c r="I3850" s="125"/>
      <c r="S3850" s="4"/>
      <c r="T3850" s="124"/>
      <c r="U3850" s="22"/>
      <c r="V3850" s="22"/>
      <c r="W3850" s="78"/>
      <c r="X3850" s="78"/>
      <c r="AF3850"/>
      <c r="AG3850"/>
      <c r="AH3850"/>
      <c r="AI3850"/>
      <c r="AJ3850"/>
      <c r="AK3850"/>
    </row>
    <row r="3851" spans="1:37" ht="13.05" customHeight="1" x14ac:dyDescent="0.25">
      <c r="A3851"/>
      <c r="C3851" s="191"/>
      <c r="D3851" s="191"/>
      <c r="F3851"/>
      <c r="G3851"/>
      <c r="H3851" s="36"/>
      <c r="I3851" s="125"/>
      <c r="S3851" s="4"/>
      <c r="T3851" s="124"/>
      <c r="U3851" s="22"/>
      <c r="V3851" s="22"/>
      <c r="W3851" s="78"/>
      <c r="X3851" s="78"/>
      <c r="AF3851"/>
      <c r="AG3851"/>
      <c r="AH3851"/>
      <c r="AI3851"/>
      <c r="AJ3851"/>
      <c r="AK3851"/>
    </row>
    <row r="3852" spans="1:37" ht="13.05" customHeight="1" x14ac:dyDescent="0.25">
      <c r="A3852"/>
      <c r="C3852" s="191"/>
      <c r="D3852" s="191"/>
      <c r="F3852"/>
      <c r="G3852"/>
      <c r="H3852" s="36"/>
      <c r="I3852" s="125"/>
      <c r="S3852" s="4"/>
      <c r="T3852" s="124"/>
      <c r="U3852" s="22"/>
      <c r="V3852" s="22"/>
      <c r="W3852" s="78"/>
      <c r="X3852" s="78"/>
      <c r="AF3852"/>
      <c r="AG3852"/>
      <c r="AH3852"/>
      <c r="AI3852"/>
      <c r="AJ3852"/>
      <c r="AK3852"/>
    </row>
    <row r="3853" spans="1:37" ht="13.05" customHeight="1" x14ac:dyDescent="0.25">
      <c r="A3853"/>
      <c r="C3853" s="191"/>
      <c r="D3853" s="191"/>
      <c r="F3853"/>
      <c r="G3853"/>
      <c r="H3853" s="36"/>
      <c r="I3853" s="125"/>
      <c r="S3853" s="4"/>
      <c r="T3853" s="124"/>
      <c r="U3853" s="22"/>
      <c r="V3853" s="22"/>
      <c r="W3853" s="78"/>
      <c r="X3853" s="78"/>
      <c r="AF3853"/>
      <c r="AG3853"/>
      <c r="AH3853"/>
      <c r="AI3853"/>
      <c r="AJ3853"/>
      <c r="AK3853"/>
    </row>
    <row r="3854" spans="1:37" ht="13.05" customHeight="1" x14ac:dyDescent="0.25">
      <c r="A3854"/>
      <c r="C3854" s="191"/>
      <c r="D3854" s="191"/>
      <c r="F3854"/>
      <c r="G3854"/>
      <c r="H3854" s="36"/>
      <c r="I3854" s="125"/>
      <c r="S3854" s="4"/>
      <c r="T3854" s="124"/>
      <c r="U3854" s="22"/>
      <c r="V3854" s="22"/>
      <c r="W3854" s="78"/>
      <c r="X3854" s="78"/>
      <c r="AF3854"/>
      <c r="AG3854"/>
      <c r="AH3854"/>
      <c r="AI3854"/>
      <c r="AJ3854"/>
      <c r="AK3854"/>
    </row>
    <row r="3855" spans="1:37" ht="13.05" customHeight="1" x14ac:dyDescent="0.25">
      <c r="A3855"/>
      <c r="C3855" s="191"/>
      <c r="D3855" s="191"/>
      <c r="F3855"/>
      <c r="G3855"/>
      <c r="H3855" s="36"/>
      <c r="I3855" s="125"/>
      <c r="S3855" s="4"/>
      <c r="T3855" s="124"/>
      <c r="U3855" s="22"/>
      <c r="V3855" s="22"/>
      <c r="W3855" s="78"/>
      <c r="X3855" s="78"/>
      <c r="AF3855"/>
      <c r="AG3855"/>
      <c r="AH3855"/>
      <c r="AI3855"/>
      <c r="AJ3855"/>
      <c r="AK3855"/>
    </row>
    <row r="3856" spans="1:37" ht="13.05" customHeight="1" x14ac:dyDescent="0.25">
      <c r="A3856"/>
      <c r="C3856" s="191"/>
      <c r="D3856" s="191"/>
      <c r="F3856"/>
      <c r="G3856"/>
      <c r="H3856" s="36"/>
      <c r="I3856" s="125"/>
      <c r="S3856" s="4"/>
      <c r="T3856" s="124"/>
      <c r="U3856" s="22"/>
      <c r="V3856" s="22"/>
      <c r="W3856" s="78"/>
      <c r="X3856" s="78"/>
      <c r="AF3856"/>
      <c r="AG3856"/>
      <c r="AH3856"/>
      <c r="AI3856"/>
      <c r="AJ3856"/>
      <c r="AK3856"/>
    </row>
    <row r="3857" spans="1:37" ht="13.05" customHeight="1" x14ac:dyDescent="0.25">
      <c r="A3857"/>
      <c r="C3857" s="191"/>
      <c r="D3857" s="191"/>
      <c r="F3857"/>
      <c r="G3857"/>
      <c r="H3857" s="36"/>
      <c r="I3857" s="125"/>
      <c r="S3857" s="4"/>
      <c r="T3857" s="124"/>
      <c r="U3857" s="22"/>
      <c r="V3857" s="22"/>
      <c r="W3857" s="78"/>
      <c r="X3857" s="78"/>
      <c r="AF3857"/>
      <c r="AG3857"/>
      <c r="AH3857"/>
      <c r="AI3857"/>
      <c r="AJ3857"/>
      <c r="AK3857"/>
    </row>
    <row r="3858" spans="1:37" ht="13.05" customHeight="1" x14ac:dyDescent="0.25">
      <c r="A3858"/>
      <c r="C3858" s="191"/>
      <c r="D3858" s="191"/>
      <c r="F3858"/>
      <c r="G3858"/>
      <c r="H3858" s="36"/>
      <c r="I3858" s="125"/>
      <c r="S3858" s="4"/>
      <c r="T3858" s="124"/>
      <c r="U3858" s="22"/>
      <c r="V3858" s="22"/>
      <c r="W3858" s="78"/>
      <c r="X3858" s="78"/>
      <c r="AF3858"/>
      <c r="AG3858"/>
      <c r="AH3858"/>
      <c r="AI3858"/>
      <c r="AJ3858"/>
      <c r="AK3858"/>
    </row>
    <row r="3859" spans="1:37" ht="13.05" customHeight="1" x14ac:dyDescent="0.25">
      <c r="A3859"/>
      <c r="C3859" s="191"/>
      <c r="D3859" s="191"/>
      <c r="F3859"/>
      <c r="G3859"/>
      <c r="H3859" s="36"/>
      <c r="I3859" s="125"/>
      <c r="S3859" s="4"/>
      <c r="T3859" s="124"/>
      <c r="U3859" s="22"/>
      <c r="V3859" s="22"/>
      <c r="W3859" s="78"/>
      <c r="X3859" s="78"/>
      <c r="AF3859"/>
      <c r="AG3859"/>
      <c r="AH3859"/>
      <c r="AI3859"/>
      <c r="AJ3859"/>
      <c r="AK3859"/>
    </row>
    <row r="3860" spans="1:37" ht="13.05" customHeight="1" x14ac:dyDescent="0.25">
      <c r="A3860"/>
      <c r="C3860" s="191"/>
      <c r="D3860" s="191"/>
      <c r="F3860"/>
      <c r="G3860"/>
      <c r="H3860" s="36"/>
      <c r="I3860" s="125"/>
      <c r="S3860" s="4"/>
      <c r="T3860" s="124"/>
      <c r="U3860" s="22"/>
      <c r="V3860" s="22"/>
      <c r="W3860" s="78"/>
      <c r="X3860" s="78"/>
      <c r="AF3860"/>
      <c r="AG3860"/>
      <c r="AH3860"/>
      <c r="AI3860"/>
      <c r="AJ3860"/>
      <c r="AK3860"/>
    </row>
    <row r="3861" spans="1:37" ht="13.05" customHeight="1" x14ac:dyDescent="0.25">
      <c r="A3861"/>
      <c r="C3861" s="191"/>
      <c r="D3861" s="191"/>
      <c r="F3861"/>
      <c r="G3861"/>
      <c r="H3861" s="36"/>
      <c r="I3861" s="125"/>
      <c r="S3861" s="4"/>
      <c r="T3861" s="124"/>
      <c r="U3861" s="22"/>
      <c r="V3861" s="22"/>
      <c r="W3861" s="78"/>
      <c r="X3861" s="78"/>
      <c r="AF3861"/>
      <c r="AG3861"/>
      <c r="AH3861"/>
      <c r="AI3861"/>
      <c r="AJ3861"/>
      <c r="AK3861"/>
    </row>
    <row r="3862" spans="1:37" ht="13.05" customHeight="1" x14ac:dyDescent="0.25">
      <c r="A3862"/>
      <c r="C3862" s="191"/>
      <c r="D3862" s="191"/>
      <c r="F3862"/>
      <c r="G3862"/>
      <c r="H3862" s="36"/>
      <c r="I3862" s="125"/>
      <c r="S3862" s="4"/>
      <c r="T3862" s="124"/>
      <c r="U3862" s="22"/>
      <c r="V3862" s="22"/>
      <c r="W3862" s="78"/>
      <c r="X3862" s="78"/>
      <c r="AF3862"/>
      <c r="AG3862"/>
      <c r="AH3862"/>
      <c r="AI3862"/>
      <c r="AJ3862"/>
      <c r="AK3862"/>
    </row>
    <row r="3863" spans="1:37" ht="13.05" customHeight="1" x14ac:dyDescent="0.25">
      <c r="A3863"/>
      <c r="C3863" s="191"/>
      <c r="D3863" s="191"/>
      <c r="F3863"/>
      <c r="G3863"/>
      <c r="H3863" s="36"/>
      <c r="I3863" s="125"/>
      <c r="S3863" s="4"/>
      <c r="T3863" s="124"/>
      <c r="U3863" s="22"/>
      <c r="V3863" s="22"/>
      <c r="W3863" s="78"/>
      <c r="X3863" s="78"/>
      <c r="AF3863"/>
      <c r="AG3863"/>
      <c r="AH3863"/>
      <c r="AI3863"/>
      <c r="AJ3863"/>
      <c r="AK3863"/>
    </row>
    <row r="3864" spans="1:37" ht="13.05" customHeight="1" x14ac:dyDescent="0.25">
      <c r="A3864"/>
      <c r="C3864" s="191"/>
      <c r="D3864" s="191"/>
      <c r="F3864"/>
      <c r="G3864"/>
      <c r="H3864" s="36"/>
      <c r="I3864" s="125"/>
      <c r="S3864" s="4"/>
      <c r="T3864" s="124"/>
      <c r="U3864" s="22"/>
      <c r="V3864" s="22"/>
      <c r="W3864" s="78"/>
      <c r="X3864" s="78"/>
      <c r="AF3864"/>
      <c r="AG3864"/>
      <c r="AH3864"/>
      <c r="AI3864"/>
      <c r="AJ3864"/>
      <c r="AK3864"/>
    </row>
    <row r="3865" spans="1:37" ht="13.05" customHeight="1" x14ac:dyDescent="0.25">
      <c r="A3865"/>
      <c r="C3865" s="191"/>
      <c r="D3865" s="191"/>
      <c r="F3865"/>
      <c r="G3865"/>
      <c r="H3865" s="36"/>
      <c r="I3865" s="125"/>
      <c r="S3865" s="4"/>
      <c r="T3865" s="124"/>
      <c r="U3865" s="22"/>
      <c r="V3865" s="22"/>
      <c r="W3865" s="78"/>
      <c r="X3865" s="78"/>
      <c r="AF3865"/>
      <c r="AG3865"/>
      <c r="AH3865"/>
      <c r="AI3865"/>
      <c r="AJ3865"/>
      <c r="AK3865"/>
    </row>
    <row r="3866" spans="1:37" ht="13.05" customHeight="1" x14ac:dyDescent="0.25">
      <c r="A3866"/>
      <c r="C3866" s="191"/>
      <c r="D3866" s="191"/>
      <c r="F3866"/>
      <c r="G3866"/>
      <c r="H3866" s="36"/>
      <c r="I3866" s="125"/>
      <c r="S3866" s="4"/>
      <c r="T3866" s="124"/>
      <c r="U3866" s="22"/>
      <c r="V3866" s="22"/>
      <c r="W3866" s="78"/>
      <c r="X3866" s="78"/>
      <c r="AF3866"/>
      <c r="AG3866"/>
      <c r="AH3866"/>
      <c r="AI3866"/>
      <c r="AJ3866"/>
      <c r="AK3866"/>
    </row>
    <row r="3867" spans="1:37" ht="13.05" customHeight="1" x14ac:dyDescent="0.25">
      <c r="A3867"/>
      <c r="C3867" s="191"/>
      <c r="D3867" s="191"/>
      <c r="F3867"/>
      <c r="G3867"/>
      <c r="H3867" s="36"/>
      <c r="I3867" s="125"/>
      <c r="S3867" s="4"/>
      <c r="T3867" s="124"/>
      <c r="U3867" s="22"/>
      <c r="V3867" s="22"/>
      <c r="W3867" s="78"/>
      <c r="X3867" s="78"/>
      <c r="AF3867"/>
      <c r="AG3867"/>
      <c r="AH3867"/>
      <c r="AI3867"/>
      <c r="AJ3867"/>
      <c r="AK3867"/>
    </row>
    <row r="3868" spans="1:37" ht="13.05" customHeight="1" x14ac:dyDescent="0.25">
      <c r="A3868"/>
      <c r="C3868" s="191"/>
      <c r="D3868" s="191"/>
      <c r="F3868"/>
      <c r="G3868"/>
      <c r="H3868" s="36"/>
      <c r="I3868" s="125"/>
      <c r="S3868" s="4"/>
      <c r="T3868" s="124"/>
      <c r="U3868" s="22"/>
      <c r="V3868" s="22"/>
      <c r="W3868" s="78"/>
      <c r="X3868" s="78"/>
      <c r="AF3868"/>
      <c r="AG3868"/>
      <c r="AH3868"/>
      <c r="AI3868"/>
      <c r="AJ3868"/>
      <c r="AK3868"/>
    </row>
    <row r="3869" spans="1:37" ht="13.05" customHeight="1" x14ac:dyDescent="0.25">
      <c r="A3869"/>
      <c r="C3869" s="191"/>
      <c r="D3869" s="191"/>
      <c r="F3869"/>
      <c r="G3869"/>
      <c r="H3869" s="36"/>
      <c r="I3869" s="125"/>
      <c r="S3869" s="4"/>
      <c r="T3869" s="124"/>
      <c r="U3869" s="22"/>
      <c r="V3869" s="22"/>
      <c r="W3869" s="78"/>
      <c r="X3869" s="78"/>
      <c r="AF3869"/>
      <c r="AG3869"/>
      <c r="AH3869"/>
      <c r="AI3869"/>
      <c r="AJ3869"/>
      <c r="AK3869"/>
    </row>
    <row r="3870" spans="1:37" ht="13.05" customHeight="1" x14ac:dyDescent="0.25">
      <c r="A3870"/>
      <c r="C3870" s="191"/>
      <c r="D3870" s="191"/>
      <c r="F3870"/>
      <c r="G3870"/>
      <c r="H3870" s="36"/>
      <c r="I3870" s="125"/>
      <c r="S3870" s="4"/>
      <c r="T3870" s="124"/>
      <c r="U3870" s="22"/>
      <c r="V3870" s="22"/>
      <c r="W3870" s="78"/>
      <c r="X3870" s="78"/>
      <c r="AF3870"/>
      <c r="AG3870"/>
      <c r="AH3870"/>
      <c r="AI3870"/>
      <c r="AJ3870"/>
      <c r="AK3870"/>
    </row>
    <row r="3871" spans="1:37" ht="13.05" customHeight="1" x14ac:dyDescent="0.25">
      <c r="A3871"/>
      <c r="C3871" s="191"/>
      <c r="D3871" s="191"/>
      <c r="F3871"/>
      <c r="G3871"/>
      <c r="H3871" s="36"/>
      <c r="I3871" s="125"/>
      <c r="S3871" s="4"/>
      <c r="T3871" s="124"/>
      <c r="U3871" s="22"/>
      <c r="V3871" s="22"/>
      <c r="W3871" s="78"/>
      <c r="X3871" s="78"/>
      <c r="AF3871"/>
      <c r="AG3871"/>
      <c r="AH3871"/>
      <c r="AI3871"/>
      <c r="AJ3871"/>
      <c r="AK3871"/>
    </row>
    <row r="3872" spans="1:37" ht="13.05" customHeight="1" x14ac:dyDescent="0.25">
      <c r="A3872"/>
      <c r="C3872" s="191"/>
      <c r="D3872" s="191"/>
      <c r="F3872"/>
      <c r="G3872"/>
      <c r="H3872" s="36"/>
      <c r="I3872" s="125"/>
      <c r="S3872" s="4"/>
      <c r="T3872" s="124"/>
      <c r="U3872" s="22"/>
      <c r="V3872" s="22"/>
      <c r="W3872" s="78"/>
      <c r="X3872" s="78"/>
      <c r="AF3872"/>
      <c r="AG3872"/>
      <c r="AH3872"/>
      <c r="AI3872"/>
      <c r="AJ3872"/>
      <c r="AK3872"/>
    </row>
    <row r="3873" spans="1:37" ht="13.05" customHeight="1" x14ac:dyDescent="0.25">
      <c r="A3873"/>
      <c r="C3873" s="191"/>
      <c r="D3873" s="191"/>
      <c r="F3873"/>
      <c r="G3873"/>
      <c r="H3873" s="36"/>
      <c r="I3873" s="125"/>
      <c r="S3873" s="4"/>
      <c r="T3873" s="124"/>
      <c r="U3873" s="22"/>
      <c r="V3873" s="22"/>
      <c r="W3873" s="78"/>
      <c r="X3873" s="78"/>
      <c r="AF3873"/>
      <c r="AG3873"/>
      <c r="AH3873"/>
      <c r="AI3873"/>
      <c r="AJ3873"/>
      <c r="AK3873"/>
    </row>
    <row r="3874" spans="1:37" ht="13.05" customHeight="1" x14ac:dyDescent="0.25">
      <c r="A3874"/>
      <c r="C3874" s="191"/>
      <c r="D3874" s="191"/>
      <c r="F3874"/>
      <c r="G3874"/>
      <c r="H3874" s="36"/>
      <c r="I3874" s="125"/>
      <c r="S3874" s="4"/>
      <c r="T3874" s="124"/>
      <c r="U3874" s="22"/>
      <c r="V3874" s="22"/>
      <c r="W3874" s="78"/>
      <c r="X3874" s="78"/>
      <c r="AF3874"/>
      <c r="AG3874"/>
      <c r="AH3874"/>
      <c r="AI3874"/>
      <c r="AJ3874"/>
      <c r="AK3874"/>
    </row>
    <row r="3875" spans="1:37" ht="13.05" customHeight="1" x14ac:dyDescent="0.25">
      <c r="A3875"/>
      <c r="C3875" s="191"/>
      <c r="D3875" s="191"/>
      <c r="F3875"/>
      <c r="G3875"/>
      <c r="H3875" s="36"/>
      <c r="I3875" s="125"/>
      <c r="S3875" s="4"/>
      <c r="T3875" s="124"/>
      <c r="U3875" s="22"/>
      <c r="V3875" s="22"/>
      <c r="W3875" s="78"/>
      <c r="X3875" s="78"/>
      <c r="AF3875"/>
      <c r="AG3875"/>
      <c r="AH3875"/>
      <c r="AI3875"/>
      <c r="AJ3875"/>
      <c r="AK3875"/>
    </row>
    <row r="3876" spans="1:37" ht="13.05" customHeight="1" x14ac:dyDescent="0.25">
      <c r="A3876"/>
      <c r="C3876" s="191"/>
      <c r="D3876" s="191"/>
      <c r="F3876"/>
      <c r="G3876"/>
      <c r="H3876" s="36"/>
      <c r="I3876" s="125"/>
      <c r="S3876" s="4"/>
      <c r="T3876" s="124"/>
      <c r="U3876" s="22"/>
      <c r="V3876" s="22"/>
      <c r="W3876" s="78"/>
      <c r="X3876" s="78"/>
      <c r="AF3876"/>
      <c r="AG3876"/>
      <c r="AH3876"/>
      <c r="AI3876"/>
      <c r="AJ3876"/>
      <c r="AK3876"/>
    </row>
    <row r="3877" spans="1:37" ht="13.05" customHeight="1" x14ac:dyDescent="0.25">
      <c r="A3877"/>
      <c r="C3877" s="191"/>
      <c r="D3877" s="191"/>
      <c r="F3877"/>
      <c r="G3877"/>
      <c r="H3877" s="36"/>
      <c r="I3877" s="125"/>
      <c r="S3877" s="4"/>
      <c r="T3877" s="124"/>
      <c r="U3877" s="22"/>
      <c r="V3877" s="22"/>
      <c r="W3877" s="78"/>
      <c r="X3877" s="78"/>
      <c r="AF3877"/>
      <c r="AG3877"/>
      <c r="AH3877"/>
      <c r="AI3877"/>
      <c r="AJ3877"/>
      <c r="AK3877"/>
    </row>
    <row r="3878" spans="1:37" ht="13.05" customHeight="1" x14ac:dyDescent="0.25">
      <c r="A3878"/>
      <c r="C3878" s="191"/>
      <c r="D3878" s="191"/>
      <c r="F3878"/>
      <c r="G3878"/>
      <c r="H3878" s="36"/>
      <c r="I3878" s="125"/>
      <c r="S3878" s="4"/>
      <c r="T3878" s="124"/>
      <c r="U3878" s="22"/>
      <c r="V3878" s="22"/>
      <c r="W3878" s="78"/>
      <c r="X3878" s="78"/>
      <c r="AF3878"/>
      <c r="AG3878"/>
      <c r="AH3878"/>
      <c r="AI3878"/>
      <c r="AJ3878"/>
      <c r="AK3878"/>
    </row>
    <row r="3879" spans="1:37" ht="13.05" customHeight="1" x14ac:dyDescent="0.25">
      <c r="A3879"/>
      <c r="C3879" s="191"/>
      <c r="D3879" s="191"/>
      <c r="F3879"/>
      <c r="G3879"/>
      <c r="H3879" s="36"/>
      <c r="I3879" s="125"/>
      <c r="S3879" s="4"/>
      <c r="T3879" s="124"/>
      <c r="U3879" s="22"/>
      <c r="V3879" s="22"/>
      <c r="W3879" s="78"/>
      <c r="X3879" s="78"/>
      <c r="AF3879"/>
      <c r="AG3879"/>
      <c r="AH3879"/>
      <c r="AI3879"/>
      <c r="AJ3879"/>
      <c r="AK3879"/>
    </row>
    <row r="3880" spans="1:37" ht="13.05" customHeight="1" x14ac:dyDescent="0.25">
      <c r="A3880"/>
      <c r="C3880" s="191"/>
      <c r="D3880" s="191"/>
      <c r="F3880"/>
      <c r="G3880"/>
      <c r="H3880" s="36"/>
      <c r="I3880" s="125"/>
      <c r="S3880" s="4"/>
      <c r="T3880" s="124"/>
      <c r="U3880" s="22"/>
      <c r="V3880" s="22"/>
      <c r="W3880" s="78"/>
      <c r="X3880" s="78"/>
      <c r="AF3880"/>
      <c r="AG3880"/>
      <c r="AH3880"/>
      <c r="AI3880"/>
      <c r="AJ3880"/>
      <c r="AK3880"/>
    </row>
    <row r="3881" spans="1:37" ht="13.05" customHeight="1" x14ac:dyDescent="0.25">
      <c r="A3881"/>
      <c r="C3881" s="191"/>
      <c r="D3881" s="191"/>
      <c r="F3881"/>
      <c r="G3881"/>
      <c r="H3881" s="36"/>
      <c r="I3881" s="125"/>
      <c r="S3881" s="4"/>
      <c r="T3881" s="124"/>
      <c r="U3881" s="22"/>
      <c r="V3881" s="22"/>
      <c r="W3881" s="78"/>
      <c r="X3881" s="78"/>
      <c r="AF3881"/>
      <c r="AG3881"/>
      <c r="AH3881"/>
      <c r="AI3881"/>
      <c r="AJ3881"/>
      <c r="AK3881"/>
    </row>
    <row r="3882" spans="1:37" ht="13.05" customHeight="1" x14ac:dyDescent="0.25">
      <c r="A3882"/>
      <c r="C3882" s="191"/>
      <c r="D3882" s="191"/>
      <c r="F3882"/>
      <c r="G3882"/>
      <c r="H3882" s="36"/>
      <c r="I3882" s="125"/>
      <c r="S3882" s="4"/>
      <c r="T3882" s="124"/>
      <c r="U3882" s="22"/>
      <c r="V3882" s="22"/>
      <c r="W3882" s="78"/>
      <c r="X3882" s="78"/>
      <c r="AF3882"/>
      <c r="AG3882"/>
      <c r="AH3882"/>
      <c r="AI3882"/>
      <c r="AJ3882"/>
      <c r="AK3882"/>
    </row>
    <row r="3883" spans="1:37" ht="13.05" customHeight="1" x14ac:dyDescent="0.25">
      <c r="A3883"/>
      <c r="C3883" s="191"/>
      <c r="D3883" s="191"/>
      <c r="F3883"/>
      <c r="G3883"/>
      <c r="H3883" s="36"/>
      <c r="I3883" s="125"/>
      <c r="S3883" s="4"/>
      <c r="T3883" s="124"/>
      <c r="U3883" s="22"/>
      <c r="V3883" s="22"/>
      <c r="W3883" s="78"/>
      <c r="X3883" s="78"/>
      <c r="AF3883"/>
      <c r="AG3883"/>
      <c r="AH3883"/>
      <c r="AI3883"/>
      <c r="AJ3883"/>
      <c r="AK3883"/>
    </row>
    <row r="3884" spans="1:37" ht="13.05" customHeight="1" x14ac:dyDescent="0.25">
      <c r="A3884"/>
      <c r="C3884" s="191"/>
      <c r="D3884" s="191"/>
      <c r="F3884"/>
      <c r="G3884"/>
      <c r="H3884" s="36"/>
      <c r="I3884" s="125"/>
      <c r="S3884" s="4"/>
      <c r="T3884" s="124"/>
      <c r="U3884" s="22"/>
      <c r="V3884" s="22"/>
      <c r="W3884" s="78"/>
      <c r="X3884" s="78"/>
      <c r="AF3884"/>
      <c r="AG3884"/>
      <c r="AH3884"/>
      <c r="AI3884"/>
      <c r="AJ3884"/>
      <c r="AK3884"/>
    </row>
    <row r="3885" spans="1:37" ht="13.05" customHeight="1" x14ac:dyDescent="0.25">
      <c r="A3885"/>
      <c r="C3885" s="191"/>
      <c r="D3885" s="191"/>
      <c r="F3885"/>
      <c r="G3885"/>
      <c r="H3885" s="36"/>
      <c r="I3885" s="125"/>
      <c r="S3885" s="4"/>
      <c r="T3885" s="124"/>
      <c r="U3885" s="22"/>
      <c r="V3885" s="22"/>
      <c r="W3885" s="78"/>
      <c r="X3885" s="78"/>
      <c r="AF3885"/>
      <c r="AG3885"/>
      <c r="AH3885"/>
      <c r="AI3885"/>
      <c r="AJ3885"/>
      <c r="AK3885"/>
    </row>
    <row r="3886" spans="1:37" ht="13.05" customHeight="1" x14ac:dyDescent="0.25">
      <c r="A3886"/>
      <c r="C3886" s="191"/>
      <c r="D3886" s="191"/>
      <c r="F3886"/>
      <c r="G3886"/>
      <c r="H3886" s="36"/>
      <c r="I3886" s="125"/>
      <c r="S3886" s="4"/>
      <c r="T3886" s="124"/>
      <c r="U3886" s="22"/>
      <c r="V3886" s="22"/>
      <c r="W3886" s="78"/>
      <c r="X3886" s="78"/>
      <c r="AF3886"/>
      <c r="AG3886"/>
      <c r="AH3886"/>
      <c r="AI3886"/>
      <c r="AJ3886"/>
      <c r="AK3886"/>
    </row>
    <row r="3887" spans="1:37" ht="13.05" customHeight="1" x14ac:dyDescent="0.25">
      <c r="A3887"/>
      <c r="C3887" s="191"/>
      <c r="D3887" s="191"/>
      <c r="F3887"/>
      <c r="G3887"/>
      <c r="H3887" s="36"/>
      <c r="I3887" s="125"/>
      <c r="S3887" s="4"/>
      <c r="T3887" s="124"/>
      <c r="U3887" s="22"/>
      <c r="V3887" s="22"/>
      <c r="W3887" s="78"/>
      <c r="X3887" s="78"/>
      <c r="AF3887"/>
      <c r="AG3887"/>
      <c r="AH3887"/>
      <c r="AI3887"/>
      <c r="AJ3887"/>
      <c r="AK3887"/>
    </row>
    <row r="3888" spans="1:37" ht="13.05" customHeight="1" x14ac:dyDescent="0.25">
      <c r="A3888"/>
      <c r="C3888" s="191"/>
      <c r="D3888" s="191"/>
      <c r="F3888"/>
      <c r="G3888"/>
      <c r="H3888" s="36"/>
      <c r="I3888" s="125"/>
      <c r="S3888" s="4"/>
      <c r="T3888" s="124"/>
      <c r="U3888" s="22"/>
      <c r="V3888" s="22"/>
      <c r="W3888" s="78"/>
      <c r="X3888" s="78"/>
      <c r="AF3888"/>
      <c r="AG3888"/>
      <c r="AH3888"/>
      <c r="AI3888"/>
      <c r="AJ3888"/>
      <c r="AK3888"/>
    </row>
    <row r="3889" spans="1:37" ht="13.05" customHeight="1" x14ac:dyDescent="0.25">
      <c r="A3889"/>
      <c r="C3889" s="191"/>
      <c r="D3889" s="191"/>
      <c r="F3889"/>
      <c r="G3889"/>
      <c r="H3889" s="36"/>
      <c r="I3889" s="125"/>
      <c r="S3889" s="4"/>
      <c r="T3889" s="124"/>
      <c r="U3889" s="22"/>
      <c r="V3889" s="22"/>
      <c r="W3889" s="78"/>
      <c r="X3889" s="78"/>
      <c r="AF3889"/>
      <c r="AG3889"/>
      <c r="AH3889"/>
      <c r="AI3889"/>
      <c r="AJ3889"/>
      <c r="AK3889"/>
    </row>
    <row r="3890" spans="1:37" ht="13.05" customHeight="1" x14ac:dyDescent="0.25">
      <c r="A3890"/>
      <c r="C3890" s="191"/>
      <c r="D3890" s="191"/>
      <c r="F3890"/>
      <c r="G3890"/>
      <c r="H3890" s="36"/>
      <c r="I3890" s="125"/>
      <c r="S3890" s="4"/>
      <c r="T3890" s="124"/>
      <c r="U3890" s="22"/>
      <c r="V3890" s="22"/>
      <c r="W3890" s="78"/>
      <c r="X3890" s="78"/>
      <c r="AF3890"/>
      <c r="AG3890"/>
      <c r="AH3890"/>
      <c r="AI3890"/>
      <c r="AJ3890"/>
      <c r="AK3890"/>
    </row>
    <row r="3891" spans="1:37" ht="13.05" customHeight="1" x14ac:dyDescent="0.25">
      <c r="A3891"/>
      <c r="C3891" s="191"/>
      <c r="D3891" s="191"/>
      <c r="F3891"/>
      <c r="G3891"/>
      <c r="H3891" s="36"/>
      <c r="I3891" s="125"/>
      <c r="S3891" s="4"/>
      <c r="T3891" s="124"/>
      <c r="U3891" s="22"/>
      <c r="V3891" s="22"/>
      <c r="W3891" s="78"/>
      <c r="X3891" s="78"/>
      <c r="AF3891"/>
      <c r="AG3891"/>
      <c r="AH3891"/>
      <c r="AI3891"/>
      <c r="AJ3891"/>
      <c r="AK3891"/>
    </row>
    <row r="3892" spans="1:37" ht="13.05" customHeight="1" x14ac:dyDescent="0.25">
      <c r="A3892"/>
      <c r="C3892" s="191"/>
      <c r="D3892" s="191"/>
      <c r="F3892"/>
      <c r="G3892"/>
      <c r="H3892" s="36"/>
      <c r="I3892" s="125"/>
      <c r="S3892" s="4"/>
      <c r="T3892" s="124"/>
      <c r="U3892" s="22"/>
      <c r="V3892" s="22"/>
      <c r="W3892" s="78"/>
      <c r="X3892" s="78"/>
      <c r="AF3892"/>
      <c r="AG3892"/>
      <c r="AH3892"/>
      <c r="AI3892"/>
      <c r="AJ3892"/>
      <c r="AK3892"/>
    </row>
    <row r="3893" spans="1:37" ht="13.05" customHeight="1" x14ac:dyDescent="0.25">
      <c r="A3893"/>
      <c r="C3893" s="191"/>
      <c r="D3893" s="191"/>
      <c r="F3893"/>
      <c r="G3893"/>
      <c r="H3893" s="36"/>
      <c r="I3893" s="125"/>
      <c r="S3893" s="4"/>
      <c r="T3893" s="124"/>
      <c r="U3893" s="22"/>
      <c r="V3893" s="22"/>
      <c r="W3893" s="78"/>
      <c r="X3893" s="78"/>
      <c r="AF3893"/>
      <c r="AG3893"/>
      <c r="AH3893"/>
      <c r="AI3893"/>
      <c r="AJ3893"/>
      <c r="AK3893"/>
    </row>
    <row r="3894" spans="1:37" ht="13.05" customHeight="1" x14ac:dyDescent="0.25">
      <c r="A3894"/>
      <c r="C3894" s="191"/>
      <c r="D3894" s="191"/>
      <c r="F3894"/>
      <c r="G3894"/>
      <c r="H3894" s="36"/>
      <c r="I3894" s="125"/>
      <c r="S3894" s="4"/>
      <c r="T3894" s="124"/>
      <c r="U3894" s="22"/>
      <c r="V3894" s="22"/>
      <c r="W3894" s="78"/>
      <c r="X3894" s="78"/>
      <c r="AF3894"/>
      <c r="AG3894"/>
      <c r="AH3894"/>
      <c r="AI3894"/>
      <c r="AJ3894"/>
      <c r="AK3894"/>
    </row>
    <row r="3895" spans="1:37" ht="13.05" customHeight="1" x14ac:dyDescent="0.25">
      <c r="A3895"/>
      <c r="C3895" s="191"/>
      <c r="D3895" s="191"/>
      <c r="F3895"/>
      <c r="G3895"/>
      <c r="H3895" s="36"/>
      <c r="I3895" s="125"/>
      <c r="S3895" s="4"/>
      <c r="T3895" s="124"/>
      <c r="U3895" s="22"/>
      <c r="V3895" s="22"/>
      <c r="W3895" s="78"/>
      <c r="X3895" s="78"/>
      <c r="AF3895"/>
      <c r="AG3895"/>
      <c r="AH3895"/>
      <c r="AI3895"/>
      <c r="AJ3895"/>
      <c r="AK3895"/>
    </row>
    <row r="3896" spans="1:37" ht="13.05" customHeight="1" x14ac:dyDescent="0.25">
      <c r="A3896"/>
      <c r="C3896" s="191"/>
      <c r="D3896" s="191"/>
      <c r="F3896"/>
      <c r="G3896"/>
      <c r="H3896" s="36"/>
      <c r="I3896" s="125"/>
      <c r="S3896" s="4"/>
      <c r="T3896" s="124"/>
      <c r="U3896" s="22"/>
      <c r="V3896" s="22"/>
      <c r="W3896" s="78"/>
      <c r="X3896" s="78"/>
      <c r="AF3896"/>
      <c r="AG3896"/>
      <c r="AH3896"/>
      <c r="AI3896"/>
      <c r="AJ3896"/>
      <c r="AK3896"/>
    </row>
    <row r="3897" spans="1:37" ht="13.05" customHeight="1" x14ac:dyDescent="0.25">
      <c r="A3897"/>
      <c r="C3897" s="191"/>
      <c r="D3897" s="191"/>
      <c r="F3897"/>
      <c r="G3897"/>
      <c r="H3897" s="36"/>
      <c r="I3897" s="125"/>
      <c r="S3897" s="4"/>
      <c r="T3897" s="124"/>
      <c r="U3897" s="22"/>
      <c r="V3897" s="22"/>
      <c r="W3897" s="78"/>
      <c r="X3897" s="78"/>
      <c r="AF3897"/>
      <c r="AG3897"/>
      <c r="AH3897"/>
      <c r="AI3897"/>
      <c r="AJ3897"/>
      <c r="AK3897"/>
    </row>
    <row r="3898" spans="1:37" ht="13.05" customHeight="1" x14ac:dyDescent="0.25">
      <c r="A3898"/>
      <c r="C3898" s="191"/>
      <c r="D3898" s="191"/>
      <c r="F3898"/>
      <c r="G3898"/>
      <c r="H3898" s="36"/>
      <c r="I3898" s="125"/>
      <c r="S3898" s="4"/>
      <c r="T3898" s="124"/>
      <c r="U3898" s="22"/>
      <c r="V3898" s="22"/>
      <c r="W3898" s="78"/>
      <c r="X3898" s="78"/>
      <c r="AF3898"/>
      <c r="AG3898"/>
      <c r="AH3898"/>
      <c r="AI3898"/>
      <c r="AJ3898"/>
      <c r="AK3898"/>
    </row>
    <row r="3899" spans="1:37" ht="13.05" customHeight="1" x14ac:dyDescent="0.25">
      <c r="A3899"/>
      <c r="C3899" s="191"/>
      <c r="D3899" s="191"/>
      <c r="F3899"/>
      <c r="G3899"/>
      <c r="H3899" s="36"/>
      <c r="I3899" s="125"/>
      <c r="S3899" s="4"/>
      <c r="T3899" s="124"/>
      <c r="U3899" s="22"/>
      <c r="V3899" s="22"/>
      <c r="W3899" s="78"/>
      <c r="X3899" s="78"/>
      <c r="AF3899"/>
      <c r="AG3899"/>
      <c r="AH3899"/>
      <c r="AI3899"/>
      <c r="AJ3899"/>
      <c r="AK3899"/>
    </row>
    <row r="3900" spans="1:37" ht="13.05" customHeight="1" x14ac:dyDescent="0.25">
      <c r="A3900"/>
      <c r="C3900" s="191"/>
      <c r="D3900" s="191"/>
      <c r="F3900"/>
      <c r="G3900"/>
      <c r="H3900" s="36"/>
      <c r="I3900" s="125"/>
      <c r="S3900" s="4"/>
      <c r="T3900" s="124"/>
      <c r="U3900" s="22"/>
      <c r="V3900" s="22"/>
      <c r="W3900" s="78"/>
      <c r="X3900" s="78"/>
      <c r="AF3900"/>
      <c r="AG3900"/>
      <c r="AH3900"/>
      <c r="AI3900"/>
      <c r="AJ3900"/>
      <c r="AK3900"/>
    </row>
    <row r="3901" spans="1:37" ht="13.05" customHeight="1" x14ac:dyDescent="0.25">
      <c r="A3901"/>
      <c r="C3901" s="191"/>
      <c r="D3901" s="191"/>
      <c r="F3901"/>
      <c r="G3901"/>
      <c r="H3901" s="36"/>
      <c r="I3901" s="125"/>
      <c r="S3901" s="4"/>
      <c r="T3901" s="124"/>
      <c r="U3901" s="22"/>
      <c r="V3901" s="22"/>
      <c r="W3901" s="78"/>
      <c r="X3901" s="78"/>
      <c r="AF3901"/>
      <c r="AG3901"/>
      <c r="AH3901"/>
      <c r="AI3901"/>
      <c r="AJ3901"/>
      <c r="AK3901"/>
    </row>
    <row r="3902" spans="1:37" ht="13.05" customHeight="1" x14ac:dyDescent="0.25">
      <c r="A3902"/>
      <c r="C3902" s="191"/>
      <c r="D3902" s="191"/>
      <c r="F3902"/>
      <c r="G3902"/>
      <c r="H3902" s="36"/>
      <c r="I3902" s="125"/>
      <c r="S3902" s="4"/>
      <c r="T3902" s="124"/>
      <c r="U3902" s="22"/>
      <c r="V3902" s="22"/>
      <c r="W3902" s="78"/>
      <c r="X3902" s="78"/>
      <c r="AF3902"/>
      <c r="AG3902"/>
      <c r="AH3902"/>
      <c r="AI3902"/>
      <c r="AJ3902"/>
      <c r="AK3902"/>
    </row>
    <row r="3903" spans="1:37" ht="13.05" customHeight="1" x14ac:dyDescent="0.25">
      <c r="A3903"/>
      <c r="C3903" s="191"/>
      <c r="D3903" s="191"/>
      <c r="F3903"/>
      <c r="G3903"/>
      <c r="H3903" s="36"/>
      <c r="I3903" s="125"/>
      <c r="S3903" s="4"/>
      <c r="T3903" s="124"/>
      <c r="U3903" s="22"/>
      <c r="V3903" s="22"/>
      <c r="W3903" s="78"/>
      <c r="X3903" s="78"/>
      <c r="AF3903"/>
      <c r="AG3903"/>
      <c r="AH3903"/>
      <c r="AI3903"/>
      <c r="AJ3903"/>
      <c r="AK3903"/>
    </row>
    <row r="3904" spans="1:37" ht="13.05" customHeight="1" x14ac:dyDescent="0.25">
      <c r="A3904"/>
      <c r="C3904" s="191"/>
      <c r="D3904" s="191"/>
      <c r="F3904"/>
      <c r="G3904"/>
      <c r="H3904" s="36"/>
      <c r="I3904" s="125"/>
      <c r="S3904" s="4"/>
      <c r="T3904" s="124"/>
      <c r="U3904" s="22"/>
      <c r="V3904" s="22"/>
      <c r="W3904" s="78"/>
      <c r="X3904" s="78"/>
      <c r="AF3904"/>
      <c r="AG3904"/>
      <c r="AH3904"/>
      <c r="AI3904"/>
      <c r="AJ3904"/>
      <c r="AK3904"/>
    </row>
    <row r="3905" spans="1:37" ht="13.05" customHeight="1" x14ac:dyDescent="0.25">
      <c r="A3905"/>
      <c r="C3905" s="191"/>
      <c r="D3905" s="191"/>
      <c r="F3905"/>
      <c r="G3905"/>
      <c r="H3905" s="36"/>
      <c r="I3905" s="125"/>
      <c r="S3905" s="4"/>
      <c r="T3905" s="124"/>
      <c r="U3905" s="22"/>
      <c r="V3905" s="22"/>
      <c r="W3905" s="78"/>
      <c r="X3905" s="78"/>
      <c r="AF3905"/>
      <c r="AG3905"/>
      <c r="AH3905"/>
      <c r="AI3905"/>
      <c r="AJ3905"/>
      <c r="AK3905"/>
    </row>
    <row r="3906" spans="1:37" ht="13.05" customHeight="1" x14ac:dyDescent="0.25">
      <c r="A3906"/>
      <c r="C3906" s="191"/>
      <c r="D3906" s="191"/>
      <c r="F3906"/>
      <c r="G3906"/>
      <c r="H3906" s="36"/>
      <c r="I3906" s="125"/>
      <c r="S3906" s="4"/>
      <c r="T3906" s="124"/>
      <c r="U3906" s="22"/>
      <c r="V3906" s="22"/>
      <c r="W3906" s="78"/>
      <c r="X3906" s="78"/>
      <c r="AF3906"/>
      <c r="AG3906"/>
      <c r="AH3906"/>
      <c r="AI3906"/>
      <c r="AJ3906"/>
      <c r="AK3906"/>
    </row>
    <row r="3907" spans="1:37" ht="13.05" customHeight="1" x14ac:dyDescent="0.25">
      <c r="A3907"/>
      <c r="C3907" s="191"/>
      <c r="D3907" s="191"/>
      <c r="F3907"/>
      <c r="G3907"/>
      <c r="H3907" s="36"/>
      <c r="I3907" s="125"/>
      <c r="S3907" s="4"/>
      <c r="T3907" s="124"/>
      <c r="U3907" s="22"/>
      <c r="V3907" s="22"/>
      <c r="W3907" s="78"/>
      <c r="X3907" s="78"/>
      <c r="AF3907"/>
      <c r="AG3907"/>
      <c r="AH3907"/>
      <c r="AI3907"/>
      <c r="AJ3907"/>
      <c r="AK3907"/>
    </row>
    <row r="3908" spans="1:37" ht="13.05" customHeight="1" x14ac:dyDescent="0.25">
      <c r="A3908"/>
      <c r="C3908" s="191"/>
      <c r="D3908" s="191"/>
      <c r="F3908"/>
      <c r="G3908"/>
      <c r="H3908" s="36"/>
      <c r="I3908" s="125"/>
      <c r="S3908" s="4"/>
      <c r="T3908" s="124"/>
      <c r="U3908" s="22"/>
      <c r="V3908" s="22"/>
      <c r="W3908" s="78"/>
      <c r="X3908" s="78"/>
      <c r="AF3908"/>
      <c r="AG3908"/>
      <c r="AH3908"/>
      <c r="AI3908"/>
      <c r="AJ3908"/>
      <c r="AK3908"/>
    </row>
    <row r="3909" spans="1:37" ht="13.05" customHeight="1" x14ac:dyDescent="0.25">
      <c r="A3909"/>
      <c r="C3909" s="191"/>
      <c r="D3909" s="191"/>
      <c r="F3909"/>
      <c r="G3909"/>
      <c r="H3909" s="36"/>
      <c r="I3909" s="125"/>
      <c r="S3909" s="4"/>
      <c r="T3909" s="124"/>
      <c r="U3909" s="22"/>
      <c r="V3909" s="22"/>
      <c r="W3909" s="78"/>
      <c r="X3909" s="78"/>
      <c r="AF3909"/>
      <c r="AG3909"/>
      <c r="AH3909"/>
      <c r="AI3909"/>
      <c r="AJ3909"/>
      <c r="AK3909"/>
    </row>
    <row r="3910" spans="1:37" ht="13.05" customHeight="1" x14ac:dyDescent="0.25">
      <c r="A3910"/>
      <c r="C3910" s="191"/>
      <c r="D3910" s="191"/>
      <c r="F3910"/>
      <c r="G3910"/>
      <c r="H3910" s="36"/>
      <c r="I3910" s="125"/>
      <c r="S3910" s="4"/>
      <c r="T3910" s="124"/>
      <c r="U3910" s="22"/>
      <c r="V3910" s="22"/>
      <c r="W3910" s="78"/>
      <c r="X3910" s="78"/>
      <c r="AF3910"/>
      <c r="AG3910"/>
      <c r="AH3910"/>
      <c r="AI3910"/>
      <c r="AJ3910"/>
      <c r="AK3910"/>
    </row>
    <row r="3911" spans="1:37" ht="13.05" customHeight="1" x14ac:dyDescent="0.25">
      <c r="A3911"/>
      <c r="C3911" s="191"/>
      <c r="D3911" s="191"/>
      <c r="F3911"/>
      <c r="G3911"/>
      <c r="H3911" s="36"/>
      <c r="I3911" s="125"/>
      <c r="S3911" s="4"/>
      <c r="T3911" s="124"/>
      <c r="U3911" s="22"/>
      <c r="V3911" s="22"/>
      <c r="W3911" s="78"/>
      <c r="X3911" s="78"/>
      <c r="AF3911"/>
      <c r="AG3911"/>
      <c r="AH3911"/>
      <c r="AI3911"/>
      <c r="AJ3911"/>
      <c r="AK3911"/>
    </row>
    <row r="3912" spans="1:37" ht="13.05" customHeight="1" x14ac:dyDescent="0.25">
      <c r="A3912"/>
      <c r="C3912" s="191"/>
      <c r="D3912" s="191"/>
      <c r="F3912"/>
      <c r="G3912"/>
      <c r="H3912" s="36"/>
      <c r="I3912" s="125"/>
      <c r="S3912" s="4"/>
      <c r="T3912" s="124"/>
      <c r="U3912" s="22"/>
      <c r="V3912" s="22"/>
      <c r="W3912" s="78"/>
      <c r="X3912" s="78"/>
      <c r="AF3912"/>
      <c r="AG3912"/>
      <c r="AH3912"/>
      <c r="AI3912"/>
      <c r="AJ3912"/>
      <c r="AK3912"/>
    </row>
    <row r="3913" spans="1:37" ht="13.05" customHeight="1" x14ac:dyDescent="0.25">
      <c r="A3913"/>
      <c r="C3913" s="191"/>
      <c r="D3913" s="191"/>
      <c r="F3913"/>
      <c r="G3913"/>
      <c r="H3913" s="36"/>
      <c r="I3913" s="125"/>
      <c r="S3913" s="4"/>
      <c r="T3913" s="124"/>
      <c r="U3913" s="22"/>
      <c r="V3913" s="22"/>
      <c r="W3913" s="78"/>
      <c r="X3913" s="78"/>
      <c r="AF3913"/>
      <c r="AG3913"/>
      <c r="AH3913"/>
      <c r="AI3913"/>
      <c r="AJ3913"/>
      <c r="AK3913"/>
    </row>
    <row r="3914" spans="1:37" ht="13.05" customHeight="1" x14ac:dyDescent="0.25">
      <c r="A3914"/>
      <c r="C3914" s="191"/>
      <c r="D3914" s="191"/>
      <c r="F3914"/>
      <c r="G3914"/>
      <c r="H3914" s="36"/>
      <c r="I3914" s="125"/>
      <c r="S3914" s="4"/>
      <c r="T3914" s="124"/>
      <c r="U3914" s="22"/>
      <c r="V3914" s="22"/>
      <c r="W3914" s="78"/>
      <c r="X3914" s="78"/>
      <c r="AF3914"/>
      <c r="AG3914"/>
      <c r="AH3914"/>
      <c r="AI3914"/>
      <c r="AJ3914"/>
      <c r="AK3914"/>
    </row>
    <row r="3915" spans="1:37" ht="13.05" customHeight="1" x14ac:dyDescent="0.25">
      <c r="A3915"/>
      <c r="C3915" s="191"/>
      <c r="D3915" s="191"/>
      <c r="F3915"/>
      <c r="G3915"/>
      <c r="H3915" s="36"/>
      <c r="I3915" s="125"/>
      <c r="S3915" s="4"/>
      <c r="T3915" s="124"/>
      <c r="U3915" s="22"/>
      <c r="V3915" s="22"/>
      <c r="W3915" s="78"/>
      <c r="X3915" s="78"/>
      <c r="AF3915"/>
      <c r="AG3915"/>
      <c r="AH3915"/>
      <c r="AI3915"/>
      <c r="AJ3915"/>
      <c r="AK3915"/>
    </row>
    <row r="3916" spans="1:37" ht="13.05" customHeight="1" x14ac:dyDescent="0.25">
      <c r="A3916"/>
      <c r="C3916" s="191"/>
      <c r="D3916" s="191"/>
      <c r="F3916"/>
      <c r="G3916"/>
      <c r="H3916" s="36"/>
      <c r="I3916" s="125"/>
      <c r="S3916" s="4"/>
      <c r="T3916" s="124"/>
      <c r="U3916" s="22"/>
      <c r="V3916" s="22"/>
      <c r="W3916" s="78"/>
      <c r="X3916" s="78"/>
      <c r="AF3916"/>
      <c r="AG3916"/>
      <c r="AH3916"/>
      <c r="AI3916"/>
      <c r="AJ3916"/>
      <c r="AK3916"/>
    </row>
    <row r="3917" spans="1:37" ht="13.05" customHeight="1" x14ac:dyDescent="0.25">
      <c r="A3917"/>
      <c r="C3917" s="191"/>
      <c r="D3917" s="191"/>
      <c r="F3917"/>
      <c r="G3917"/>
      <c r="H3917" s="36"/>
      <c r="I3917" s="125"/>
      <c r="S3917" s="4"/>
      <c r="T3917" s="124"/>
      <c r="U3917" s="22"/>
      <c r="V3917" s="22"/>
      <c r="W3917" s="78"/>
      <c r="X3917" s="78"/>
      <c r="AF3917"/>
      <c r="AG3917"/>
      <c r="AH3917"/>
      <c r="AI3917"/>
      <c r="AJ3917"/>
      <c r="AK3917"/>
    </row>
    <row r="3918" spans="1:37" ht="13.05" customHeight="1" x14ac:dyDescent="0.25">
      <c r="A3918"/>
      <c r="C3918" s="191"/>
      <c r="D3918" s="191"/>
      <c r="F3918"/>
      <c r="G3918"/>
      <c r="H3918" s="36"/>
      <c r="I3918" s="125"/>
      <c r="S3918" s="4"/>
      <c r="T3918" s="124"/>
      <c r="U3918" s="22"/>
      <c r="V3918" s="22"/>
      <c r="W3918" s="78"/>
      <c r="X3918" s="78"/>
      <c r="AF3918"/>
      <c r="AG3918"/>
      <c r="AH3918"/>
      <c r="AI3918"/>
      <c r="AJ3918"/>
      <c r="AK3918"/>
    </row>
    <row r="3919" spans="1:37" ht="13.05" customHeight="1" x14ac:dyDescent="0.25">
      <c r="A3919"/>
      <c r="C3919" s="191"/>
      <c r="D3919" s="191"/>
      <c r="F3919"/>
      <c r="G3919"/>
      <c r="H3919" s="36"/>
      <c r="I3919" s="125"/>
      <c r="S3919" s="4"/>
      <c r="T3919" s="124"/>
      <c r="U3919" s="22"/>
      <c r="V3919" s="22"/>
      <c r="W3919" s="78"/>
      <c r="X3919" s="78"/>
      <c r="AF3919"/>
      <c r="AG3919"/>
      <c r="AH3919"/>
      <c r="AI3919"/>
      <c r="AJ3919"/>
      <c r="AK3919"/>
    </row>
    <row r="3920" spans="1:37" ht="13.05" customHeight="1" x14ac:dyDescent="0.25">
      <c r="A3920"/>
      <c r="C3920" s="191"/>
      <c r="D3920" s="191"/>
      <c r="F3920"/>
      <c r="G3920"/>
      <c r="H3920" s="36"/>
      <c r="I3920" s="125"/>
      <c r="S3920" s="4"/>
      <c r="T3920" s="124"/>
      <c r="U3920" s="22"/>
      <c r="V3920" s="22"/>
      <c r="W3920" s="78"/>
      <c r="X3920" s="78"/>
      <c r="AF3920"/>
      <c r="AG3920"/>
      <c r="AH3920"/>
      <c r="AI3920"/>
      <c r="AJ3920"/>
      <c r="AK3920"/>
    </row>
    <row r="3921" spans="1:37" ht="13.05" customHeight="1" x14ac:dyDescent="0.25">
      <c r="A3921"/>
      <c r="C3921" s="191"/>
      <c r="D3921" s="191"/>
      <c r="F3921"/>
      <c r="G3921"/>
      <c r="H3921" s="36"/>
      <c r="I3921" s="125"/>
      <c r="S3921" s="4"/>
      <c r="T3921" s="124"/>
      <c r="U3921" s="22"/>
      <c r="V3921" s="22"/>
      <c r="W3921" s="78"/>
      <c r="X3921" s="78"/>
      <c r="AF3921"/>
      <c r="AG3921"/>
      <c r="AH3921"/>
      <c r="AI3921"/>
      <c r="AJ3921"/>
      <c r="AK3921"/>
    </row>
    <row r="3922" spans="1:37" ht="13.05" customHeight="1" x14ac:dyDescent="0.25">
      <c r="A3922"/>
      <c r="C3922" s="191"/>
      <c r="D3922" s="191"/>
      <c r="F3922"/>
      <c r="G3922"/>
      <c r="H3922" s="36"/>
      <c r="I3922" s="125"/>
      <c r="S3922" s="4"/>
      <c r="T3922" s="124"/>
      <c r="U3922" s="22"/>
      <c r="V3922" s="22"/>
      <c r="W3922" s="78"/>
      <c r="X3922" s="78"/>
      <c r="AF3922"/>
      <c r="AG3922"/>
      <c r="AH3922"/>
      <c r="AI3922"/>
      <c r="AJ3922"/>
      <c r="AK3922"/>
    </row>
    <row r="3923" spans="1:37" ht="13.05" customHeight="1" x14ac:dyDescent="0.25">
      <c r="A3923"/>
      <c r="C3923" s="191"/>
      <c r="D3923" s="191"/>
      <c r="F3923"/>
      <c r="G3923"/>
      <c r="H3923" s="36"/>
      <c r="I3923" s="125"/>
      <c r="S3923" s="4"/>
      <c r="T3923" s="124"/>
      <c r="U3923" s="22"/>
      <c r="V3923" s="22"/>
      <c r="W3923" s="78"/>
      <c r="X3923" s="78"/>
      <c r="AF3923"/>
      <c r="AG3923"/>
      <c r="AH3923"/>
      <c r="AI3923"/>
      <c r="AJ3923"/>
      <c r="AK3923"/>
    </row>
    <row r="3924" spans="1:37" ht="13.05" customHeight="1" x14ac:dyDescent="0.25">
      <c r="A3924"/>
      <c r="C3924" s="191"/>
      <c r="D3924" s="191"/>
      <c r="F3924"/>
      <c r="G3924"/>
      <c r="H3924" s="36"/>
      <c r="I3924" s="125"/>
      <c r="S3924" s="4"/>
      <c r="T3924" s="124"/>
      <c r="U3924" s="22"/>
      <c r="V3924" s="22"/>
      <c r="W3924" s="78"/>
      <c r="X3924" s="78"/>
      <c r="AF3924"/>
      <c r="AG3924"/>
      <c r="AH3924"/>
      <c r="AI3924"/>
      <c r="AJ3924"/>
      <c r="AK3924"/>
    </row>
    <row r="3925" spans="1:37" ht="13.05" customHeight="1" x14ac:dyDescent="0.25">
      <c r="A3925"/>
      <c r="C3925" s="191"/>
      <c r="D3925" s="191"/>
      <c r="F3925"/>
      <c r="G3925"/>
      <c r="H3925" s="36"/>
      <c r="I3925" s="125"/>
      <c r="S3925" s="4"/>
      <c r="T3925" s="124"/>
      <c r="U3925" s="22"/>
      <c r="V3925" s="22"/>
      <c r="W3925" s="78"/>
      <c r="X3925" s="78"/>
      <c r="AF3925"/>
      <c r="AG3925"/>
      <c r="AH3925"/>
      <c r="AI3925"/>
      <c r="AJ3925"/>
      <c r="AK3925"/>
    </row>
    <row r="3926" spans="1:37" ht="13.05" customHeight="1" x14ac:dyDescent="0.25">
      <c r="A3926"/>
      <c r="C3926" s="191"/>
      <c r="D3926" s="191"/>
      <c r="F3926"/>
      <c r="G3926"/>
      <c r="H3926" s="36"/>
      <c r="I3926" s="125"/>
      <c r="S3926" s="4"/>
      <c r="T3926" s="124"/>
      <c r="U3926" s="22"/>
      <c r="V3926" s="22"/>
      <c r="W3926" s="78"/>
      <c r="X3926" s="78"/>
      <c r="AF3926"/>
      <c r="AG3926"/>
      <c r="AH3926"/>
      <c r="AI3926"/>
      <c r="AJ3926"/>
      <c r="AK3926"/>
    </row>
    <row r="3927" spans="1:37" ht="13.05" customHeight="1" x14ac:dyDescent="0.25">
      <c r="A3927"/>
      <c r="C3927" s="191"/>
      <c r="D3927" s="191"/>
      <c r="F3927"/>
      <c r="G3927"/>
      <c r="H3927" s="36"/>
      <c r="I3927" s="125"/>
      <c r="S3927" s="4"/>
      <c r="T3927" s="124"/>
      <c r="U3927" s="22"/>
      <c r="V3927" s="22"/>
      <c r="W3927" s="78"/>
      <c r="X3927" s="78"/>
      <c r="AF3927"/>
      <c r="AG3927"/>
      <c r="AH3927"/>
      <c r="AI3927"/>
      <c r="AJ3927"/>
      <c r="AK3927"/>
    </row>
    <row r="3928" spans="1:37" ht="13.05" customHeight="1" x14ac:dyDescent="0.25">
      <c r="A3928"/>
      <c r="C3928" s="191"/>
      <c r="D3928" s="191"/>
      <c r="F3928"/>
      <c r="G3928"/>
      <c r="H3928" s="36"/>
      <c r="I3928" s="125"/>
      <c r="S3928" s="4"/>
      <c r="T3928" s="124"/>
      <c r="U3928" s="22"/>
      <c r="V3928" s="22"/>
      <c r="W3928" s="78"/>
      <c r="X3928" s="78"/>
      <c r="AF3928"/>
      <c r="AG3928"/>
      <c r="AH3928"/>
      <c r="AI3928"/>
      <c r="AJ3928"/>
      <c r="AK3928"/>
    </row>
    <row r="3929" spans="1:37" ht="13.05" customHeight="1" x14ac:dyDescent="0.25">
      <c r="A3929"/>
      <c r="C3929" s="191"/>
      <c r="D3929" s="191"/>
      <c r="F3929"/>
      <c r="G3929"/>
      <c r="H3929" s="36"/>
      <c r="I3929" s="125"/>
      <c r="S3929" s="4"/>
      <c r="T3929" s="124"/>
      <c r="U3929" s="22"/>
      <c r="V3929" s="22"/>
      <c r="W3929" s="78"/>
      <c r="X3929" s="78"/>
      <c r="AF3929"/>
      <c r="AG3929"/>
      <c r="AH3929"/>
      <c r="AI3929"/>
      <c r="AJ3929"/>
      <c r="AK3929"/>
    </row>
    <row r="3930" spans="1:37" ht="13.05" customHeight="1" x14ac:dyDescent="0.25">
      <c r="A3930"/>
      <c r="C3930" s="191"/>
      <c r="D3930" s="191"/>
      <c r="F3930"/>
      <c r="G3930"/>
      <c r="H3930" s="36"/>
      <c r="I3930" s="125"/>
      <c r="S3930" s="4"/>
      <c r="T3930" s="124"/>
      <c r="U3930" s="22"/>
      <c r="V3930" s="22"/>
      <c r="W3930" s="78"/>
      <c r="X3930" s="78"/>
      <c r="AF3930"/>
      <c r="AG3930"/>
      <c r="AH3930"/>
      <c r="AI3930"/>
      <c r="AJ3930"/>
      <c r="AK3930"/>
    </row>
    <row r="3931" spans="1:37" ht="13.05" customHeight="1" x14ac:dyDescent="0.25">
      <c r="A3931"/>
      <c r="C3931" s="191"/>
      <c r="D3931" s="191"/>
      <c r="F3931"/>
      <c r="G3931"/>
      <c r="H3931" s="36"/>
      <c r="I3931" s="125"/>
      <c r="S3931" s="4"/>
      <c r="T3931" s="124"/>
      <c r="U3931" s="22"/>
      <c r="V3931" s="22"/>
      <c r="W3931" s="78"/>
      <c r="X3931" s="78"/>
      <c r="AF3931"/>
      <c r="AG3931"/>
      <c r="AH3931"/>
      <c r="AI3931"/>
      <c r="AJ3931"/>
      <c r="AK3931"/>
    </row>
    <row r="3932" spans="1:37" ht="13.05" customHeight="1" x14ac:dyDescent="0.25">
      <c r="A3932"/>
      <c r="C3932" s="191"/>
      <c r="D3932" s="191"/>
      <c r="F3932"/>
      <c r="G3932"/>
      <c r="H3932" s="36"/>
      <c r="I3932" s="125"/>
      <c r="S3932" s="4"/>
      <c r="T3932" s="124"/>
      <c r="U3932" s="22"/>
      <c r="V3932" s="22"/>
      <c r="W3932" s="78"/>
      <c r="X3932" s="78"/>
      <c r="AF3932"/>
      <c r="AG3932"/>
      <c r="AH3932"/>
      <c r="AI3932"/>
      <c r="AJ3932"/>
      <c r="AK3932"/>
    </row>
    <row r="3933" spans="1:37" ht="13.05" customHeight="1" x14ac:dyDescent="0.25">
      <c r="A3933"/>
      <c r="C3933" s="191"/>
      <c r="D3933" s="191"/>
      <c r="F3933"/>
      <c r="G3933"/>
      <c r="H3933" s="36"/>
      <c r="I3933" s="125"/>
      <c r="S3933" s="4"/>
      <c r="T3933" s="124"/>
      <c r="U3933" s="22"/>
      <c r="V3933" s="22"/>
      <c r="W3933" s="78"/>
      <c r="X3933" s="78"/>
      <c r="AF3933"/>
      <c r="AG3933"/>
      <c r="AH3933"/>
      <c r="AI3933"/>
      <c r="AJ3933"/>
      <c r="AK3933"/>
    </row>
    <row r="3934" spans="1:37" ht="13.05" customHeight="1" x14ac:dyDescent="0.25">
      <c r="A3934"/>
      <c r="C3934" s="191"/>
      <c r="D3934" s="191"/>
      <c r="F3934"/>
      <c r="G3934"/>
      <c r="H3934" s="36"/>
      <c r="I3934" s="125"/>
      <c r="S3934" s="4"/>
      <c r="T3934" s="124"/>
      <c r="U3934" s="22"/>
      <c r="V3934" s="22"/>
      <c r="W3934" s="78"/>
      <c r="X3934" s="78"/>
      <c r="AF3934"/>
      <c r="AG3934"/>
      <c r="AH3934"/>
      <c r="AI3934"/>
      <c r="AJ3934"/>
      <c r="AK3934"/>
    </row>
    <row r="3935" spans="1:37" ht="13.05" customHeight="1" x14ac:dyDescent="0.25">
      <c r="A3935"/>
      <c r="C3935" s="191"/>
      <c r="D3935" s="191"/>
      <c r="F3935"/>
      <c r="G3935"/>
      <c r="H3935" s="36"/>
      <c r="I3935" s="125"/>
      <c r="S3935" s="4"/>
      <c r="T3935" s="124"/>
      <c r="U3935" s="22"/>
      <c r="V3935" s="22"/>
      <c r="W3935" s="78"/>
      <c r="X3935" s="78"/>
      <c r="AF3935"/>
      <c r="AG3935"/>
      <c r="AH3935"/>
      <c r="AI3935"/>
      <c r="AJ3935"/>
      <c r="AK3935"/>
    </row>
    <row r="3936" spans="1:37" ht="13.05" customHeight="1" x14ac:dyDescent="0.25">
      <c r="A3936"/>
      <c r="C3936" s="191"/>
      <c r="D3936" s="191"/>
      <c r="F3936"/>
      <c r="G3936"/>
      <c r="H3936" s="36"/>
      <c r="I3936" s="125"/>
      <c r="S3936" s="4"/>
      <c r="T3936" s="124"/>
      <c r="U3936" s="22"/>
      <c r="V3936" s="22"/>
      <c r="W3936" s="78"/>
      <c r="X3936" s="78"/>
      <c r="AF3936"/>
      <c r="AG3936"/>
      <c r="AH3936"/>
      <c r="AI3936"/>
      <c r="AJ3936"/>
      <c r="AK3936"/>
    </row>
    <row r="3937" spans="1:37" ht="13.05" customHeight="1" x14ac:dyDescent="0.25">
      <c r="A3937"/>
      <c r="C3937" s="191"/>
      <c r="D3937" s="191"/>
      <c r="F3937"/>
      <c r="G3937"/>
      <c r="H3937" s="36"/>
      <c r="I3937" s="125"/>
      <c r="S3937" s="4"/>
      <c r="T3937" s="124"/>
      <c r="U3937" s="22"/>
      <c r="V3937" s="22"/>
      <c r="W3937" s="78"/>
      <c r="X3937" s="78"/>
      <c r="AF3937"/>
      <c r="AG3937"/>
      <c r="AH3937"/>
      <c r="AI3937"/>
      <c r="AJ3937"/>
      <c r="AK3937"/>
    </row>
    <row r="3938" spans="1:37" ht="13.05" customHeight="1" x14ac:dyDescent="0.25">
      <c r="A3938"/>
      <c r="C3938" s="191"/>
      <c r="D3938" s="191"/>
      <c r="F3938"/>
      <c r="G3938"/>
      <c r="H3938" s="36"/>
      <c r="I3938" s="125"/>
      <c r="S3938" s="4"/>
      <c r="T3938" s="124"/>
      <c r="U3938" s="22"/>
      <c r="V3938" s="22"/>
      <c r="W3938" s="78"/>
      <c r="X3938" s="78"/>
      <c r="AF3938"/>
      <c r="AG3938"/>
      <c r="AH3938"/>
      <c r="AI3938"/>
      <c r="AJ3938"/>
      <c r="AK3938"/>
    </row>
    <row r="3939" spans="1:37" ht="13.05" customHeight="1" x14ac:dyDescent="0.25">
      <c r="A3939"/>
      <c r="C3939" s="191"/>
      <c r="D3939" s="191"/>
      <c r="F3939"/>
      <c r="G3939"/>
      <c r="H3939" s="36"/>
      <c r="I3939" s="125"/>
      <c r="S3939" s="4"/>
      <c r="T3939" s="124"/>
      <c r="U3939" s="22"/>
      <c r="V3939" s="22"/>
      <c r="W3939" s="78"/>
      <c r="X3939" s="78"/>
      <c r="AF3939"/>
      <c r="AG3939"/>
      <c r="AH3939"/>
      <c r="AI3939"/>
      <c r="AJ3939"/>
      <c r="AK3939"/>
    </row>
    <row r="3940" spans="1:37" ht="13.05" customHeight="1" x14ac:dyDescent="0.25">
      <c r="A3940"/>
      <c r="C3940" s="191"/>
      <c r="D3940" s="191"/>
      <c r="F3940"/>
      <c r="G3940"/>
      <c r="H3940" s="36"/>
      <c r="I3940" s="125"/>
      <c r="S3940" s="4"/>
      <c r="T3940" s="124"/>
      <c r="U3940" s="22"/>
      <c r="V3940" s="22"/>
      <c r="W3940" s="78"/>
      <c r="X3940" s="78"/>
      <c r="AF3940"/>
      <c r="AG3940"/>
      <c r="AH3940"/>
      <c r="AI3940"/>
      <c r="AJ3940"/>
      <c r="AK3940"/>
    </row>
    <row r="3941" spans="1:37" ht="13.05" customHeight="1" x14ac:dyDescent="0.25">
      <c r="A3941"/>
      <c r="C3941" s="191"/>
      <c r="D3941" s="191"/>
      <c r="F3941"/>
      <c r="G3941"/>
      <c r="H3941" s="36"/>
      <c r="I3941" s="125"/>
      <c r="S3941" s="4"/>
      <c r="T3941" s="124"/>
      <c r="U3941" s="22"/>
      <c r="V3941" s="22"/>
      <c r="W3941" s="78"/>
      <c r="X3941" s="78"/>
      <c r="AF3941"/>
      <c r="AG3941"/>
      <c r="AH3941"/>
      <c r="AI3941"/>
      <c r="AJ3941"/>
      <c r="AK3941"/>
    </row>
    <row r="3942" spans="1:37" ht="13.05" customHeight="1" x14ac:dyDescent="0.25">
      <c r="A3942"/>
      <c r="C3942" s="191"/>
      <c r="D3942" s="191"/>
      <c r="F3942"/>
      <c r="G3942"/>
      <c r="H3942" s="36"/>
      <c r="I3942" s="125"/>
      <c r="S3942" s="4"/>
      <c r="T3942" s="124"/>
      <c r="U3942" s="22"/>
      <c r="V3942" s="22"/>
      <c r="W3942" s="78"/>
      <c r="X3942" s="78"/>
      <c r="AF3942"/>
      <c r="AG3942"/>
      <c r="AH3942"/>
      <c r="AI3942"/>
      <c r="AJ3942"/>
      <c r="AK3942"/>
    </row>
    <row r="3943" spans="1:37" ht="13.05" customHeight="1" x14ac:dyDescent="0.25">
      <c r="A3943"/>
      <c r="C3943" s="191"/>
      <c r="D3943" s="191"/>
      <c r="F3943"/>
      <c r="G3943"/>
      <c r="H3943" s="36"/>
      <c r="I3943" s="125"/>
      <c r="S3943" s="4"/>
      <c r="T3943" s="124"/>
      <c r="U3943" s="22"/>
      <c r="V3943" s="22"/>
      <c r="W3943" s="78"/>
      <c r="X3943" s="78"/>
      <c r="AF3943"/>
      <c r="AG3943"/>
      <c r="AH3943"/>
      <c r="AI3943"/>
      <c r="AJ3943"/>
      <c r="AK3943"/>
    </row>
    <row r="3944" spans="1:37" ht="13.05" customHeight="1" x14ac:dyDescent="0.25">
      <c r="A3944"/>
      <c r="C3944" s="191"/>
      <c r="D3944" s="191"/>
      <c r="F3944"/>
      <c r="G3944"/>
      <c r="H3944" s="36"/>
      <c r="I3944" s="125"/>
      <c r="S3944" s="4"/>
      <c r="T3944" s="124"/>
      <c r="U3944" s="22"/>
      <c r="V3944" s="22"/>
      <c r="W3944" s="78"/>
      <c r="X3944" s="78"/>
      <c r="AF3944"/>
      <c r="AG3944"/>
      <c r="AH3944"/>
      <c r="AI3944"/>
      <c r="AJ3944"/>
      <c r="AK3944"/>
    </row>
    <row r="3945" spans="1:37" ht="13.05" customHeight="1" x14ac:dyDescent="0.25">
      <c r="A3945"/>
      <c r="C3945" s="191"/>
      <c r="D3945" s="191"/>
      <c r="F3945"/>
      <c r="G3945"/>
      <c r="H3945" s="36"/>
      <c r="I3945" s="125"/>
      <c r="S3945" s="4"/>
      <c r="T3945" s="124"/>
      <c r="U3945" s="22"/>
      <c r="V3945" s="22"/>
      <c r="W3945" s="78"/>
      <c r="X3945" s="78"/>
      <c r="AF3945"/>
      <c r="AG3945"/>
      <c r="AH3945"/>
      <c r="AI3945"/>
      <c r="AJ3945"/>
      <c r="AK3945"/>
    </row>
    <row r="3946" spans="1:37" ht="13.05" customHeight="1" x14ac:dyDescent="0.25">
      <c r="A3946"/>
      <c r="C3946" s="191"/>
      <c r="D3946" s="191"/>
      <c r="F3946"/>
      <c r="G3946"/>
      <c r="H3946" s="36"/>
      <c r="I3946" s="125"/>
      <c r="S3946" s="4"/>
      <c r="T3946" s="124"/>
      <c r="U3946" s="22"/>
      <c r="V3946" s="22"/>
      <c r="W3946" s="78"/>
      <c r="X3946" s="78"/>
      <c r="AF3946"/>
      <c r="AG3946"/>
      <c r="AH3946"/>
      <c r="AI3946"/>
      <c r="AJ3946"/>
      <c r="AK3946"/>
    </row>
    <row r="3947" spans="1:37" ht="13.05" customHeight="1" x14ac:dyDescent="0.25">
      <c r="A3947"/>
      <c r="C3947" s="191"/>
      <c r="D3947" s="191"/>
      <c r="F3947"/>
      <c r="G3947"/>
      <c r="H3947" s="36"/>
      <c r="I3947" s="125"/>
      <c r="S3947" s="4"/>
      <c r="T3947" s="124"/>
      <c r="U3947" s="22"/>
      <c r="V3947" s="22"/>
      <c r="W3947" s="78"/>
      <c r="X3947" s="78"/>
      <c r="AF3947"/>
      <c r="AG3947"/>
      <c r="AH3947"/>
      <c r="AI3947"/>
      <c r="AJ3947"/>
      <c r="AK3947"/>
    </row>
    <row r="3948" spans="1:37" ht="13.05" customHeight="1" x14ac:dyDescent="0.25">
      <c r="A3948"/>
      <c r="C3948" s="191"/>
      <c r="D3948" s="191"/>
      <c r="F3948"/>
      <c r="G3948"/>
      <c r="H3948" s="36"/>
      <c r="I3948" s="125"/>
      <c r="S3948" s="4"/>
      <c r="T3948" s="124"/>
      <c r="U3948" s="22"/>
      <c r="V3948" s="22"/>
      <c r="W3948" s="78"/>
      <c r="X3948" s="78"/>
      <c r="AF3948"/>
      <c r="AG3948"/>
      <c r="AH3948"/>
      <c r="AI3948"/>
      <c r="AJ3948"/>
      <c r="AK3948"/>
    </row>
    <row r="3949" spans="1:37" ht="13.05" customHeight="1" x14ac:dyDescent="0.25">
      <c r="A3949"/>
      <c r="C3949" s="191"/>
      <c r="D3949" s="191"/>
      <c r="F3949"/>
      <c r="G3949"/>
      <c r="H3949" s="36"/>
      <c r="I3949" s="125"/>
      <c r="S3949" s="4"/>
      <c r="T3949" s="124"/>
      <c r="U3949" s="22"/>
      <c r="V3949" s="22"/>
      <c r="W3949" s="78"/>
      <c r="X3949" s="78"/>
      <c r="AF3949"/>
      <c r="AG3949"/>
      <c r="AH3949"/>
      <c r="AI3949"/>
      <c r="AJ3949"/>
      <c r="AK3949"/>
    </row>
    <row r="3950" spans="1:37" ht="13.05" customHeight="1" x14ac:dyDescent="0.25">
      <c r="A3950"/>
      <c r="C3950" s="191"/>
      <c r="D3950" s="191"/>
      <c r="F3950"/>
      <c r="G3950"/>
      <c r="H3950" s="36"/>
      <c r="I3950" s="125"/>
      <c r="S3950" s="4"/>
      <c r="T3950" s="124"/>
      <c r="U3950" s="22"/>
      <c r="V3950" s="22"/>
      <c r="W3950" s="78"/>
      <c r="X3950" s="78"/>
      <c r="AF3950"/>
      <c r="AG3950"/>
      <c r="AH3950"/>
      <c r="AI3950"/>
      <c r="AJ3950"/>
      <c r="AK3950"/>
    </row>
    <row r="3951" spans="1:37" ht="13.05" customHeight="1" x14ac:dyDescent="0.25">
      <c r="A3951"/>
      <c r="C3951" s="191"/>
      <c r="D3951" s="191"/>
      <c r="F3951"/>
      <c r="G3951"/>
      <c r="H3951" s="36"/>
      <c r="I3951" s="125"/>
      <c r="S3951" s="4"/>
      <c r="T3951" s="124"/>
      <c r="U3951" s="22"/>
      <c r="V3951" s="22"/>
      <c r="W3951" s="78"/>
      <c r="X3951" s="78"/>
      <c r="AF3951"/>
      <c r="AG3951"/>
      <c r="AH3951"/>
      <c r="AI3951"/>
      <c r="AJ3951"/>
      <c r="AK3951"/>
    </row>
    <row r="3952" spans="1:37" ht="13.05" customHeight="1" x14ac:dyDescent="0.25">
      <c r="A3952"/>
      <c r="C3952" s="191"/>
      <c r="D3952" s="191"/>
      <c r="F3952"/>
      <c r="G3952"/>
      <c r="H3952" s="36"/>
      <c r="I3952" s="125"/>
      <c r="S3952" s="4"/>
      <c r="T3952" s="124"/>
      <c r="U3952" s="22"/>
      <c r="V3952" s="22"/>
      <c r="W3952" s="78"/>
      <c r="X3952" s="78"/>
      <c r="AF3952"/>
      <c r="AG3952"/>
      <c r="AH3952"/>
      <c r="AI3952"/>
      <c r="AJ3952"/>
      <c r="AK3952"/>
    </row>
    <row r="3953" spans="1:37" ht="13.05" customHeight="1" x14ac:dyDescent="0.25">
      <c r="A3953"/>
      <c r="C3953" s="191"/>
      <c r="D3953" s="191"/>
      <c r="F3953"/>
      <c r="G3953"/>
      <c r="H3953" s="36"/>
      <c r="I3953" s="125"/>
      <c r="S3953" s="4"/>
      <c r="T3953" s="124"/>
      <c r="U3953" s="22"/>
      <c r="V3953" s="22"/>
      <c r="W3953" s="78"/>
      <c r="X3953" s="78"/>
      <c r="AF3953"/>
      <c r="AG3953"/>
      <c r="AH3953"/>
      <c r="AI3953"/>
      <c r="AJ3953"/>
      <c r="AK3953"/>
    </row>
    <row r="3954" spans="1:37" ht="13.05" customHeight="1" x14ac:dyDescent="0.25">
      <c r="A3954"/>
      <c r="C3954" s="191"/>
      <c r="D3954" s="191"/>
      <c r="F3954"/>
      <c r="G3954"/>
      <c r="H3954" s="36"/>
      <c r="I3954" s="125"/>
      <c r="S3954" s="4"/>
      <c r="T3954" s="124"/>
      <c r="U3954" s="22"/>
      <c r="V3954" s="22"/>
      <c r="W3954" s="78"/>
      <c r="X3954" s="78"/>
      <c r="AF3954"/>
      <c r="AG3954"/>
      <c r="AH3954"/>
      <c r="AI3954"/>
      <c r="AJ3954"/>
      <c r="AK3954"/>
    </row>
    <row r="3955" spans="1:37" ht="13.05" customHeight="1" x14ac:dyDescent="0.25">
      <c r="A3955"/>
      <c r="C3955" s="191"/>
      <c r="D3955" s="191"/>
      <c r="F3955"/>
      <c r="G3955"/>
      <c r="H3955" s="36"/>
      <c r="I3955" s="125"/>
      <c r="S3955" s="4"/>
      <c r="T3955" s="124"/>
      <c r="U3955" s="22"/>
      <c r="V3955" s="22"/>
      <c r="W3955" s="78"/>
      <c r="X3955" s="78"/>
      <c r="AF3955"/>
      <c r="AG3955"/>
      <c r="AH3955"/>
      <c r="AI3955"/>
      <c r="AJ3955"/>
      <c r="AK3955"/>
    </row>
    <row r="3956" spans="1:37" ht="13.05" customHeight="1" x14ac:dyDescent="0.25">
      <c r="A3956"/>
      <c r="C3956" s="191"/>
      <c r="D3956" s="191"/>
      <c r="F3956"/>
      <c r="G3956"/>
      <c r="H3956" s="36"/>
      <c r="I3956" s="125"/>
      <c r="S3956" s="4"/>
      <c r="T3956" s="124"/>
      <c r="U3956" s="22"/>
      <c r="V3956" s="22"/>
      <c r="W3956" s="78"/>
      <c r="X3956" s="78"/>
      <c r="AF3956"/>
      <c r="AG3956"/>
      <c r="AH3956"/>
      <c r="AI3956"/>
      <c r="AJ3956"/>
      <c r="AK3956"/>
    </row>
    <row r="3957" spans="1:37" ht="13.05" customHeight="1" x14ac:dyDescent="0.25">
      <c r="A3957"/>
      <c r="C3957" s="191"/>
      <c r="D3957" s="191"/>
      <c r="F3957"/>
      <c r="G3957"/>
      <c r="H3957" s="36"/>
      <c r="I3957" s="125"/>
      <c r="S3957" s="4"/>
      <c r="T3957" s="124"/>
      <c r="U3957" s="22"/>
      <c r="V3957" s="22"/>
      <c r="W3957" s="78"/>
      <c r="X3957" s="78"/>
      <c r="AF3957"/>
      <c r="AG3957"/>
      <c r="AH3957"/>
      <c r="AI3957"/>
      <c r="AJ3957"/>
      <c r="AK3957"/>
    </row>
    <row r="3958" spans="1:37" ht="13.05" customHeight="1" x14ac:dyDescent="0.25">
      <c r="A3958"/>
      <c r="C3958" s="191"/>
      <c r="D3958" s="191"/>
      <c r="F3958"/>
      <c r="G3958"/>
      <c r="H3958" s="36"/>
      <c r="I3958" s="125"/>
      <c r="S3958" s="4"/>
      <c r="T3958" s="124"/>
      <c r="U3958" s="22"/>
      <c r="V3958" s="22"/>
      <c r="W3958" s="78"/>
      <c r="X3958" s="78"/>
      <c r="AF3958"/>
      <c r="AG3958"/>
      <c r="AH3958"/>
      <c r="AI3958"/>
      <c r="AJ3958"/>
      <c r="AK3958"/>
    </row>
    <row r="3959" spans="1:37" ht="13.05" customHeight="1" x14ac:dyDescent="0.25">
      <c r="A3959"/>
      <c r="C3959" s="191"/>
      <c r="D3959" s="191"/>
      <c r="F3959"/>
      <c r="G3959"/>
      <c r="H3959" s="36"/>
      <c r="I3959" s="125"/>
      <c r="S3959" s="4"/>
      <c r="T3959" s="124"/>
      <c r="U3959" s="22"/>
      <c r="V3959" s="22"/>
      <c r="W3959" s="78"/>
      <c r="X3959" s="78"/>
      <c r="AF3959"/>
      <c r="AG3959"/>
      <c r="AH3959"/>
      <c r="AI3959"/>
      <c r="AJ3959"/>
      <c r="AK3959"/>
    </row>
    <row r="3960" spans="1:37" ht="13.05" customHeight="1" x14ac:dyDescent="0.25">
      <c r="A3960"/>
      <c r="C3960" s="191"/>
      <c r="D3960" s="191"/>
      <c r="F3960"/>
      <c r="G3960"/>
      <c r="H3960" s="36"/>
      <c r="I3960" s="125"/>
      <c r="S3960" s="4"/>
      <c r="T3960" s="124"/>
      <c r="U3960" s="22"/>
      <c r="V3960" s="22"/>
      <c r="W3960" s="78"/>
      <c r="X3960" s="78"/>
      <c r="AF3960"/>
      <c r="AG3960"/>
      <c r="AH3960"/>
      <c r="AI3960"/>
      <c r="AJ3960"/>
      <c r="AK3960"/>
    </row>
    <row r="3961" spans="1:37" ht="13.05" customHeight="1" x14ac:dyDescent="0.25">
      <c r="A3961"/>
      <c r="C3961" s="191"/>
      <c r="D3961" s="191"/>
      <c r="F3961"/>
      <c r="G3961"/>
      <c r="H3961" s="36"/>
      <c r="I3961" s="125"/>
      <c r="S3961" s="4"/>
      <c r="T3961" s="124"/>
      <c r="U3961" s="22"/>
      <c r="V3961" s="22"/>
      <c r="W3961" s="78"/>
      <c r="X3961" s="78"/>
      <c r="AF3961"/>
      <c r="AG3961"/>
      <c r="AH3961"/>
      <c r="AI3961"/>
      <c r="AJ3961"/>
      <c r="AK3961"/>
    </row>
    <row r="3962" spans="1:37" ht="13.05" customHeight="1" x14ac:dyDescent="0.25">
      <c r="A3962"/>
      <c r="C3962" s="191"/>
      <c r="D3962" s="191"/>
      <c r="F3962"/>
      <c r="G3962"/>
      <c r="H3962" s="36"/>
      <c r="I3962" s="125"/>
      <c r="S3962" s="4"/>
      <c r="T3962" s="124"/>
      <c r="U3962" s="22"/>
      <c r="V3962" s="22"/>
      <c r="W3962" s="78"/>
      <c r="X3962" s="78"/>
      <c r="AF3962"/>
      <c r="AG3962"/>
      <c r="AH3962"/>
      <c r="AI3962"/>
      <c r="AJ3962"/>
      <c r="AK3962"/>
    </row>
    <row r="3963" spans="1:37" ht="13.05" customHeight="1" x14ac:dyDescent="0.25">
      <c r="A3963"/>
      <c r="C3963" s="191"/>
      <c r="D3963" s="191"/>
      <c r="F3963"/>
      <c r="G3963"/>
      <c r="H3963" s="36"/>
      <c r="I3963" s="125"/>
      <c r="S3963" s="4"/>
      <c r="T3963" s="124"/>
      <c r="U3963" s="22"/>
      <c r="V3963" s="22"/>
      <c r="W3963" s="78"/>
      <c r="X3963" s="78"/>
      <c r="AF3963"/>
      <c r="AG3963"/>
      <c r="AH3963"/>
      <c r="AI3963"/>
      <c r="AJ3963"/>
      <c r="AK3963"/>
    </row>
    <row r="3964" spans="1:37" ht="13.05" customHeight="1" x14ac:dyDescent="0.25">
      <c r="A3964"/>
      <c r="C3964" s="191"/>
      <c r="D3964" s="191"/>
      <c r="F3964"/>
      <c r="G3964"/>
      <c r="H3964" s="36"/>
      <c r="I3964" s="125"/>
      <c r="S3964" s="4"/>
      <c r="T3964" s="124"/>
      <c r="U3964" s="22"/>
      <c r="V3964" s="22"/>
      <c r="W3964" s="78"/>
      <c r="X3964" s="78"/>
      <c r="AF3964"/>
      <c r="AG3964"/>
      <c r="AH3964"/>
      <c r="AI3964"/>
      <c r="AJ3964"/>
      <c r="AK3964"/>
    </row>
    <row r="3965" spans="1:37" ht="13.05" customHeight="1" x14ac:dyDescent="0.25">
      <c r="A3965"/>
      <c r="C3965" s="191"/>
      <c r="D3965" s="191"/>
      <c r="F3965"/>
      <c r="G3965"/>
      <c r="H3965" s="36"/>
      <c r="I3965" s="125"/>
      <c r="S3965" s="4"/>
      <c r="T3965" s="124"/>
      <c r="U3965" s="22"/>
      <c r="V3965" s="22"/>
      <c r="W3965" s="78"/>
      <c r="X3965" s="78"/>
      <c r="AF3965"/>
      <c r="AG3965"/>
      <c r="AH3965"/>
      <c r="AI3965"/>
      <c r="AJ3965"/>
      <c r="AK3965"/>
    </row>
    <row r="3966" spans="1:37" ht="13.05" customHeight="1" x14ac:dyDescent="0.25">
      <c r="A3966"/>
      <c r="C3966" s="191"/>
      <c r="D3966" s="191"/>
      <c r="F3966"/>
      <c r="G3966"/>
      <c r="H3966" s="36"/>
      <c r="I3966" s="125"/>
      <c r="S3966" s="4"/>
      <c r="T3966" s="124"/>
      <c r="U3966" s="22"/>
      <c r="V3966" s="22"/>
      <c r="W3966" s="78"/>
      <c r="X3966" s="78"/>
      <c r="AF3966"/>
      <c r="AG3966"/>
      <c r="AH3966"/>
      <c r="AI3966"/>
      <c r="AJ3966"/>
      <c r="AK3966"/>
    </row>
    <row r="3967" spans="1:37" ht="13.05" customHeight="1" x14ac:dyDescent="0.25">
      <c r="A3967"/>
      <c r="C3967" s="191"/>
      <c r="D3967" s="191"/>
      <c r="F3967"/>
      <c r="G3967"/>
      <c r="H3967" s="36"/>
      <c r="I3967" s="125"/>
      <c r="S3967" s="4"/>
      <c r="T3967" s="124"/>
      <c r="U3967" s="22"/>
      <c r="V3967" s="22"/>
      <c r="W3967" s="78"/>
      <c r="X3967" s="78"/>
      <c r="AF3967"/>
      <c r="AG3967"/>
      <c r="AH3967"/>
      <c r="AI3967"/>
      <c r="AJ3967"/>
      <c r="AK3967"/>
    </row>
    <row r="3968" spans="1:37" ht="13.05" customHeight="1" x14ac:dyDescent="0.25">
      <c r="A3968"/>
      <c r="C3968" s="191"/>
      <c r="D3968" s="191"/>
      <c r="F3968"/>
      <c r="G3968"/>
      <c r="H3968" s="36"/>
      <c r="I3968" s="125"/>
      <c r="S3968" s="4"/>
      <c r="T3968" s="124"/>
      <c r="U3968" s="22"/>
      <c r="V3968" s="22"/>
      <c r="W3968" s="78"/>
      <c r="X3968" s="78"/>
      <c r="AF3968"/>
      <c r="AG3968"/>
      <c r="AH3968"/>
      <c r="AI3968"/>
      <c r="AJ3968"/>
      <c r="AK3968"/>
    </row>
    <row r="3969" spans="1:37" ht="13.05" customHeight="1" x14ac:dyDescent="0.25">
      <c r="A3969"/>
      <c r="C3969" s="191"/>
      <c r="D3969" s="191"/>
      <c r="F3969"/>
      <c r="G3969"/>
      <c r="H3969" s="36"/>
      <c r="I3969" s="125"/>
      <c r="S3969" s="4"/>
      <c r="T3969" s="124"/>
      <c r="U3969" s="22"/>
      <c r="V3969" s="22"/>
      <c r="W3969" s="78"/>
      <c r="X3969" s="78"/>
      <c r="AF3969"/>
      <c r="AG3969"/>
      <c r="AH3969"/>
      <c r="AI3969"/>
      <c r="AJ3969"/>
      <c r="AK3969"/>
    </row>
    <row r="3970" spans="1:37" ht="13.05" customHeight="1" x14ac:dyDescent="0.25">
      <c r="A3970"/>
      <c r="C3970" s="191"/>
      <c r="D3970" s="191"/>
      <c r="F3970"/>
      <c r="G3970"/>
      <c r="H3970" s="36"/>
      <c r="I3970" s="125"/>
      <c r="S3970" s="4"/>
      <c r="T3970" s="124"/>
      <c r="U3970" s="22"/>
      <c r="V3970" s="22"/>
      <c r="W3970" s="78"/>
      <c r="X3970" s="78"/>
      <c r="AF3970"/>
      <c r="AG3970"/>
      <c r="AH3970"/>
      <c r="AI3970"/>
      <c r="AJ3970"/>
      <c r="AK3970"/>
    </row>
    <row r="3971" spans="1:37" ht="13.05" customHeight="1" x14ac:dyDescent="0.25">
      <c r="A3971"/>
      <c r="C3971" s="191"/>
      <c r="D3971" s="191"/>
      <c r="F3971"/>
      <c r="G3971"/>
      <c r="H3971" s="36"/>
      <c r="I3971" s="125"/>
      <c r="S3971" s="4"/>
      <c r="T3971" s="124"/>
      <c r="U3971" s="22"/>
      <c r="V3971" s="22"/>
      <c r="W3971" s="78"/>
      <c r="X3971" s="78"/>
      <c r="AF3971"/>
      <c r="AG3971"/>
      <c r="AH3971"/>
      <c r="AI3971"/>
      <c r="AJ3971"/>
      <c r="AK3971"/>
    </row>
    <row r="3972" spans="1:37" ht="13.05" customHeight="1" x14ac:dyDescent="0.25">
      <c r="A3972"/>
      <c r="C3972" s="191"/>
      <c r="D3972" s="191"/>
      <c r="F3972"/>
      <c r="G3972"/>
      <c r="H3972" s="36"/>
      <c r="I3972" s="125"/>
      <c r="S3972" s="4"/>
      <c r="T3972" s="124"/>
      <c r="U3972" s="22"/>
      <c r="V3972" s="22"/>
      <c r="W3972" s="78"/>
      <c r="X3972" s="78"/>
      <c r="AF3972"/>
      <c r="AG3972"/>
      <c r="AH3972"/>
      <c r="AI3972"/>
      <c r="AJ3972"/>
      <c r="AK3972"/>
    </row>
    <row r="3973" spans="1:37" ht="13.05" customHeight="1" x14ac:dyDescent="0.25">
      <c r="A3973"/>
      <c r="C3973" s="191"/>
      <c r="D3973" s="191"/>
      <c r="F3973"/>
      <c r="G3973"/>
      <c r="H3973" s="36"/>
      <c r="I3973" s="125"/>
      <c r="S3973" s="4"/>
      <c r="T3973" s="124"/>
      <c r="U3973" s="22"/>
      <c r="V3973" s="22"/>
      <c r="W3973" s="78"/>
      <c r="X3973" s="78"/>
      <c r="AF3973"/>
      <c r="AG3973"/>
      <c r="AH3973"/>
      <c r="AI3973"/>
      <c r="AJ3973"/>
      <c r="AK3973"/>
    </row>
    <row r="3974" spans="1:37" ht="13.05" customHeight="1" x14ac:dyDescent="0.25">
      <c r="A3974"/>
      <c r="C3974" s="191"/>
      <c r="D3974" s="191"/>
      <c r="F3974"/>
      <c r="G3974"/>
      <c r="H3974" s="36"/>
      <c r="I3974" s="125"/>
      <c r="S3974" s="4"/>
      <c r="T3974" s="124"/>
      <c r="U3974" s="22"/>
      <c r="V3974" s="22"/>
      <c r="W3974" s="78"/>
      <c r="X3974" s="78"/>
      <c r="AF3974"/>
      <c r="AG3974"/>
      <c r="AH3974"/>
      <c r="AI3974"/>
      <c r="AJ3974"/>
      <c r="AK3974"/>
    </row>
    <row r="3975" spans="1:37" ht="13.05" customHeight="1" x14ac:dyDescent="0.25">
      <c r="A3975"/>
      <c r="C3975" s="191"/>
      <c r="D3975" s="191"/>
      <c r="F3975"/>
      <c r="G3975"/>
      <c r="H3975" s="36"/>
      <c r="I3975" s="125"/>
      <c r="S3975" s="4"/>
      <c r="T3975" s="124"/>
      <c r="U3975" s="22"/>
      <c r="V3975" s="22"/>
      <c r="W3975" s="78"/>
      <c r="X3975" s="78"/>
      <c r="AF3975"/>
      <c r="AG3975"/>
      <c r="AH3975"/>
      <c r="AI3975"/>
      <c r="AJ3975"/>
      <c r="AK3975"/>
    </row>
    <row r="3976" spans="1:37" ht="13.05" customHeight="1" x14ac:dyDescent="0.25">
      <c r="A3976"/>
      <c r="C3976" s="191"/>
      <c r="D3976" s="191"/>
      <c r="F3976"/>
      <c r="G3976"/>
      <c r="H3976" s="36"/>
      <c r="I3976" s="125"/>
      <c r="S3976" s="4"/>
      <c r="T3976" s="124"/>
      <c r="U3976" s="22"/>
      <c r="V3976" s="22"/>
      <c r="W3976" s="78"/>
      <c r="X3976" s="78"/>
      <c r="AF3976"/>
      <c r="AG3976"/>
      <c r="AH3976"/>
      <c r="AI3976"/>
      <c r="AJ3976"/>
      <c r="AK3976"/>
    </row>
    <row r="3977" spans="1:37" ht="13.05" customHeight="1" x14ac:dyDescent="0.25">
      <c r="A3977"/>
      <c r="C3977" s="191"/>
      <c r="D3977" s="191"/>
      <c r="F3977"/>
      <c r="G3977"/>
      <c r="H3977" s="36"/>
      <c r="I3977" s="125"/>
      <c r="S3977" s="4"/>
      <c r="T3977" s="124"/>
      <c r="U3977" s="22"/>
      <c r="V3977" s="22"/>
      <c r="W3977" s="78"/>
      <c r="X3977" s="78"/>
      <c r="AF3977"/>
      <c r="AG3977"/>
      <c r="AH3977"/>
      <c r="AI3977"/>
      <c r="AJ3977"/>
      <c r="AK3977"/>
    </row>
    <row r="3978" spans="1:37" ht="13.05" customHeight="1" x14ac:dyDescent="0.25">
      <c r="A3978"/>
      <c r="C3978" s="191"/>
      <c r="D3978" s="191"/>
      <c r="F3978"/>
      <c r="G3978"/>
      <c r="H3978" s="36"/>
      <c r="I3978" s="125"/>
      <c r="S3978" s="4"/>
      <c r="T3978" s="124"/>
      <c r="U3978" s="22"/>
      <c r="V3978" s="22"/>
      <c r="W3978" s="78"/>
      <c r="X3978" s="78"/>
      <c r="AF3978"/>
      <c r="AG3978"/>
      <c r="AH3978"/>
      <c r="AI3978"/>
      <c r="AJ3978"/>
      <c r="AK3978"/>
    </row>
    <row r="3979" spans="1:37" ht="13.05" customHeight="1" x14ac:dyDescent="0.25">
      <c r="A3979"/>
      <c r="C3979" s="191"/>
      <c r="D3979" s="191"/>
      <c r="F3979"/>
      <c r="G3979"/>
      <c r="H3979" s="36"/>
      <c r="I3979" s="125"/>
      <c r="S3979" s="4"/>
      <c r="T3979" s="124"/>
      <c r="U3979" s="22"/>
      <c r="V3979" s="22"/>
      <c r="W3979" s="78"/>
      <c r="X3979" s="78"/>
      <c r="AF3979"/>
      <c r="AG3979"/>
      <c r="AH3979"/>
      <c r="AI3979"/>
      <c r="AJ3979"/>
      <c r="AK3979"/>
    </row>
    <row r="3980" spans="1:37" ht="13.05" customHeight="1" x14ac:dyDescent="0.25">
      <c r="A3980"/>
      <c r="C3980" s="191"/>
      <c r="D3980" s="191"/>
      <c r="F3980"/>
      <c r="G3980"/>
      <c r="H3980" s="36"/>
      <c r="I3980" s="125"/>
      <c r="S3980" s="4"/>
      <c r="T3980" s="124"/>
      <c r="U3980" s="22"/>
      <c r="V3980" s="22"/>
      <c r="W3980" s="78"/>
      <c r="X3980" s="78"/>
      <c r="AF3980"/>
      <c r="AG3980"/>
      <c r="AH3980"/>
      <c r="AI3980"/>
      <c r="AJ3980"/>
      <c r="AK3980"/>
    </row>
    <row r="3981" spans="1:37" ht="13.05" customHeight="1" x14ac:dyDescent="0.25">
      <c r="A3981"/>
      <c r="C3981" s="191"/>
      <c r="D3981" s="191"/>
      <c r="F3981"/>
      <c r="G3981"/>
      <c r="H3981" s="36"/>
      <c r="I3981" s="125"/>
      <c r="S3981" s="4"/>
      <c r="T3981" s="124"/>
      <c r="U3981" s="22"/>
      <c r="V3981" s="22"/>
      <c r="W3981" s="78"/>
      <c r="X3981" s="78"/>
      <c r="AF3981"/>
      <c r="AG3981"/>
      <c r="AH3981"/>
      <c r="AI3981"/>
      <c r="AJ3981"/>
      <c r="AK3981"/>
    </row>
    <row r="3982" spans="1:37" ht="13.05" customHeight="1" x14ac:dyDescent="0.25">
      <c r="A3982"/>
      <c r="C3982" s="191"/>
      <c r="D3982" s="191"/>
      <c r="F3982"/>
      <c r="G3982"/>
      <c r="H3982" s="36"/>
      <c r="I3982" s="125"/>
      <c r="S3982" s="4"/>
      <c r="T3982" s="124"/>
      <c r="U3982" s="22"/>
      <c r="V3982" s="22"/>
      <c r="W3982" s="78"/>
      <c r="X3982" s="78"/>
      <c r="AF3982"/>
      <c r="AG3982"/>
      <c r="AH3982"/>
      <c r="AI3982"/>
      <c r="AJ3982"/>
      <c r="AK3982"/>
    </row>
    <row r="3983" spans="1:37" ht="13.05" customHeight="1" x14ac:dyDescent="0.25">
      <c r="A3983"/>
      <c r="C3983" s="191"/>
      <c r="D3983" s="191"/>
      <c r="F3983"/>
      <c r="G3983"/>
      <c r="H3983" s="36"/>
      <c r="I3983" s="125"/>
      <c r="S3983" s="4"/>
      <c r="T3983" s="124"/>
      <c r="U3983" s="22"/>
      <c r="V3983" s="22"/>
      <c r="W3983" s="78"/>
      <c r="X3983" s="78"/>
      <c r="AF3983"/>
      <c r="AG3983"/>
      <c r="AH3983"/>
      <c r="AI3983"/>
      <c r="AJ3983"/>
      <c r="AK3983"/>
    </row>
    <row r="3984" spans="1:37" ht="13.05" customHeight="1" x14ac:dyDescent="0.25">
      <c r="A3984"/>
      <c r="C3984" s="191"/>
      <c r="D3984" s="191"/>
      <c r="F3984"/>
      <c r="G3984"/>
      <c r="H3984" s="36"/>
      <c r="I3984" s="125"/>
      <c r="S3984" s="4"/>
      <c r="T3984" s="124"/>
      <c r="U3984" s="22"/>
      <c r="V3984" s="22"/>
      <c r="W3984" s="78"/>
      <c r="X3984" s="78"/>
      <c r="AF3984"/>
      <c r="AG3984"/>
      <c r="AH3984"/>
      <c r="AI3984"/>
      <c r="AJ3984"/>
      <c r="AK3984"/>
    </row>
    <row r="3985" spans="1:37" ht="13.05" customHeight="1" x14ac:dyDescent="0.25">
      <c r="A3985"/>
      <c r="C3985" s="191"/>
      <c r="D3985" s="191"/>
      <c r="F3985"/>
      <c r="G3985"/>
      <c r="H3985" s="36"/>
      <c r="I3985" s="125"/>
      <c r="S3985" s="4"/>
      <c r="T3985" s="124"/>
      <c r="U3985" s="22"/>
      <c r="V3985" s="22"/>
      <c r="W3985" s="78"/>
      <c r="X3985" s="78"/>
      <c r="AF3985"/>
      <c r="AG3985"/>
      <c r="AH3985"/>
      <c r="AI3985"/>
      <c r="AJ3985"/>
      <c r="AK3985"/>
    </row>
    <row r="3986" spans="1:37" ht="13.05" customHeight="1" x14ac:dyDescent="0.25">
      <c r="A3986"/>
      <c r="C3986" s="191"/>
      <c r="D3986" s="191"/>
      <c r="F3986"/>
      <c r="G3986"/>
      <c r="H3986" s="36"/>
      <c r="I3986" s="125"/>
      <c r="S3986" s="4"/>
      <c r="T3986" s="124"/>
      <c r="U3986" s="22"/>
      <c r="V3986" s="22"/>
      <c r="W3986" s="78"/>
      <c r="X3986" s="78"/>
      <c r="AF3986"/>
      <c r="AG3986"/>
      <c r="AH3986"/>
      <c r="AI3986"/>
      <c r="AJ3986"/>
      <c r="AK3986"/>
    </row>
    <row r="3987" spans="1:37" ht="13.05" customHeight="1" x14ac:dyDescent="0.25">
      <c r="A3987"/>
      <c r="C3987" s="191"/>
      <c r="D3987" s="191"/>
      <c r="F3987"/>
      <c r="G3987"/>
      <c r="H3987" s="36"/>
      <c r="I3987" s="125"/>
      <c r="S3987" s="4"/>
      <c r="T3987" s="124"/>
      <c r="U3987" s="22"/>
      <c r="V3987" s="22"/>
      <c r="W3987" s="78"/>
      <c r="X3987" s="78"/>
      <c r="AF3987"/>
      <c r="AG3987"/>
      <c r="AH3987"/>
      <c r="AI3987"/>
      <c r="AJ3987"/>
      <c r="AK3987"/>
    </row>
    <row r="3988" spans="1:37" ht="13.05" customHeight="1" x14ac:dyDescent="0.25">
      <c r="A3988"/>
      <c r="C3988" s="191"/>
      <c r="D3988" s="191"/>
      <c r="F3988"/>
      <c r="G3988"/>
      <c r="H3988" s="36"/>
      <c r="I3988" s="125"/>
      <c r="S3988" s="4"/>
      <c r="T3988" s="124"/>
      <c r="U3988" s="22"/>
      <c r="V3988" s="22"/>
      <c r="W3988" s="78"/>
      <c r="X3988" s="78"/>
      <c r="AF3988"/>
      <c r="AG3988"/>
      <c r="AH3988"/>
      <c r="AI3988"/>
      <c r="AJ3988"/>
      <c r="AK3988"/>
    </row>
    <row r="3989" spans="1:37" ht="13.05" customHeight="1" x14ac:dyDescent="0.25">
      <c r="A3989"/>
      <c r="C3989" s="191"/>
      <c r="D3989" s="191"/>
      <c r="F3989"/>
      <c r="G3989"/>
      <c r="H3989" s="36"/>
      <c r="I3989" s="125"/>
      <c r="S3989" s="4"/>
      <c r="T3989" s="124"/>
      <c r="U3989" s="22"/>
      <c r="V3989" s="22"/>
      <c r="W3989" s="78"/>
      <c r="X3989" s="78"/>
      <c r="AF3989"/>
      <c r="AG3989"/>
      <c r="AH3989"/>
      <c r="AI3989"/>
      <c r="AJ3989"/>
      <c r="AK3989"/>
    </row>
    <row r="3990" spans="1:37" ht="13.05" customHeight="1" x14ac:dyDescent="0.25">
      <c r="A3990"/>
      <c r="C3990" s="191"/>
      <c r="D3990" s="191"/>
      <c r="F3990"/>
      <c r="G3990"/>
      <c r="H3990" s="36"/>
      <c r="I3990" s="125"/>
      <c r="S3990" s="4"/>
      <c r="T3990" s="124"/>
      <c r="U3990" s="22"/>
      <c r="V3990" s="22"/>
      <c r="W3990" s="78"/>
      <c r="X3990" s="78"/>
      <c r="AF3990"/>
      <c r="AG3990"/>
      <c r="AH3990"/>
      <c r="AI3990"/>
      <c r="AJ3990"/>
      <c r="AK3990"/>
    </row>
    <row r="3991" spans="1:37" ht="13.05" customHeight="1" x14ac:dyDescent="0.25">
      <c r="A3991"/>
      <c r="C3991" s="191"/>
      <c r="D3991" s="191"/>
      <c r="F3991"/>
      <c r="G3991"/>
      <c r="H3991" s="36"/>
      <c r="I3991" s="125"/>
      <c r="S3991" s="4"/>
      <c r="T3991" s="124"/>
      <c r="U3991" s="22"/>
      <c r="V3991" s="22"/>
      <c r="W3991" s="78"/>
      <c r="X3991" s="78"/>
      <c r="AF3991"/>
      <c r="AG3991"/>
      <c r="AH3991"/>
      <c r="AI3991"/>
      <c r="AJ3991"/>
      <c r="AK3991"/>
    </row>
    <row r="3992" spans="1:37" ht="13.05" customHeight="1" x14ac:dyDescent="0.25">
      <c r="A3992"/>
      <c r="C3992" s="191"/>
      <c r="D3992" s="191"/>
      <c r="F3992"/>
      <c r="G3992"/>
      <c r="H3992" s="36"/>
      <c r="I3992" s="125"/>
      <c r="S3992" s="4"/>
      <c r="T3992" s="124"/>
      <c r="U3992" s="22"/>
      <c r="V3992" s="22"/>
      <c r="W3992" s="78"/>
      <c r="X3992" s="78"/>
      <c r="AF3992"/>
      <c r="AG3992"/>
      <c r="AH3992"/>
      <c r="AI3992"/>
      <c r="AJ3992"/>
      <c r="AK3992"/>
    </row>
    <row r="3993" spans="1:37" ht="13.05" customHeight="1" x14ac:dyDescent="0.25">
      <c r="A3993"/>
      <c r="C3993" s="191"/>
      <c r="D3993" s="191"/>
      <c r="F3993"/>
      <c r="G3993"/>
      <c r="H3993" s="36"/>
      <c r="I3993" s="125"/>
      <c r="S3993" s="4"/>
      <c r="T3993" s="124"/>
      <c r="U3993" s="22"/>
      <c r="V3993" s="22"/>
      <c r="W3993" s="78"/>
      <c r="X3993" s="78"/>
      <c r="AF3993"/>
      <c r="AG3993"/>
      <c r="AH3993"/>
      <c r="AI3993"/>
      <c r="AJ3993"/>
      <c r="AK3993"/>
    </row>
    <row r="3994" spans="1:37" ht="13.05" customHeight="1" x14ac:dyDescent="0.25">
      <c r="A3994"/>
      <c r="C3994" s="191"/>
      <c r="D3994" s="191"/>
      <c r="F3994"/>
      <c r="G3994"/>
      <c r="H3994" s="36"/>
      <c r="I3994" s="125"/>
      <c r="S3994" s="4"/>
      <c r="T3994" s="124"/>
      <c r="U3994" s="22"/>
      <c r="V3994" s="22"/>
      <c r="W3994" s="78"/>
      <c r="X3994" s="78"/>
      <c r="AF3994"/>
      <c r="AG3994"/>
      <c r="AH3994"/>
      <c r="AI3994"/>
      <c r="AJ3994"/>
      <c r="AK3994"/>
    </row>
    <row r="3995" spans="1:37" ht="13.05" customHeight="1" x14ac:dyDescent="0.25">
      <c r="A3995"/>
      <c r="C3995" s="191"/>
      <c r="D3995" s="191"/>
      <c r="F3995"/>
      <c r="G3995"/>
      <c r="H3995" s="36"/>
      <c r="I3995" s="125"/>
      <c r="S3995" s="4"/>
      <c r="T3995" s="124"/>
      <c r="U3995" s="22"/>
      <c r="V3995" s="22"/>
      <c r="W3995" s="78"/>
      <c r="X3995" s="78"/>
      <c r="AF3995"/>
      <c r="AG3995"/>
      <c r="AH3995"/>
      <c r="AI3995"/>
      <c r="AJ3995"/>
      <c r="AK3995"/>
    </row>
    <row r="3996" spans="1:37" ht="13.05" customHeight="1" x14ac:dyDescent="0.25">
      <c r="A3996"/>
      <c r="C3996" s="191"/>
      <c r="D3996" s="191"/>
      <c r="F3996"/>
      <c r="G3996"/>
      <c r="H3996" s="36"/>
      <c r="I3996" s="125"/>
      <c r="S3996" s="4"/>
      <c r="T3996" s="124"/>
      <c r="U3996" s="22"/>
      <c r="V3996" s="22"/>
      <c r="W3996" s="78"/>
      <c r="X3996" s="78"/>
      <c r="AF3996"/>
      <c r="AG3996"/>
      <c r="AH3996"/>
      <c r="AI3996"/>
      <c r="AJ3996"/>
      <c r="AK3996"/>
    </row>
    <row r="3997" spans="1:37" ht="13.05" customHeight="1" x14ac:dyDescent="0.25">
      <c r="A3997"/>
      <c r="C3997" s="191"/>
      <c r="D3997" s="191"/>
      <c r="F3997"/>
      <c r="G3997"/>
      <c r="H3997" s="36"/>
      <c r="I3997" s="125"/>
      <c r="S3997" s="4"/>
      <c r="T3997" s="124"/>
      <c r="U3997" s="22"/>
      <c r="V3997" s="22"/>
      <c r="W3997" s="78"/>
      <c r="X3997" s="78"/>
      <c r="AF3997"/>
      <c r="AG3997"/>
      <c r="AH3997"/>
      <c r="AI3997"/>
      <c r="AJ3997"/>
      <c r="AK3997"/>
    </row>
    <row r="3998" spans="1:37" ht="13.05" customHeight="1" x14ac:dyDescent="0.25">
      <c r="A3998"/>
      <c r="C3998" s="191"/>
      <c r="D3998" s="191"/>
      <c r="F3998"/>
      <c r="G3998"/>
      <c r="H3998" s="36"/>
      <c r="I3998" s="125"/>
      <c r="S3998" s="4"/>
      <c r="T3998" s="124"/>
      <c r="U3998" s="22"/>
      <c r="V3998" s="22"/>
      <c r="W3998" s="78"/>
      <c r="X3998" s="78"/>
      <c r="AF3998"/>
      <c r="AG3998"/>
      <c r="AH3998"/>
      <c r="AI3998"/>
      <c r="AJ3998"/>
      <c r="AK3998"/>
    </row>
    <row r="3999" spans="1:37" ht="13.05" customHeight="1" x14ac:dyDescent="0.25">
      <c r="A3999"/>
      <c r="C3999" s="191"/>
      <c r="D3999" s="191"/>
      <c r="F3999"/>
      <c r="G3999"/>
      <c r="H3999" s="36"/>
      <c r="I3999" s="125"/>
      <c r="S3999" s="4"/>
      <c r="T3999" s="124"/>
      <c r="U3999" s="22"/>
      <c r="V3999" s="22"/>
      <c r="W3999" s="78"/>
      <c r="X3999" s="78"/>
      <c r="AF3999"/>
      <c r="AG3999"/>
      <c r="AH3999"/>
      <c r="AI3999"/>
      <c r="AJ3999"/>
      <c r="AK3999"/>
    </row>
    <row r="4000" spans="1:37" ht="13.05" customHeight="1" x14ac:dyDescent="0.25">
      <c r="A4000"/>
      <c r="C4000" s="191"/>
      <c r="D4000" s="191"/>
      <c r="F4000"/>
      <c r="G4000"/>
      <c r="H4000" s="36"/>
      <c r="I4000" s="125"/>
      <c r="S4000" s="4"/>
      <c r="T4000" s="124"/>
      <c r="U4000" s="22"/>
      <c r="V4000" s="22"/>
      <c r="W4000" s="78"/>
      <c r="X4000" s="78"/>
      <c r="AF4000"/>
      <c r="AG4000"/>
      <c r="AH4000"/>
      <c r="AI4000"/>
      <c r="AJ4000"/>
      <c r="AK4000"/>
    </row>
    <row r="4001" spans="1:37" ht="13.05" customHeight="1" x14ac:dyDescent="0.25">
      <c r="A4001"/>
      <c r="C4001" s="191"/>
      <c r="D4001" s="191"/>
      <c r="F4001"/>
      <c r="G4001"/>
      <c r="H4001" s="36"/>
      <c r="I4001" s="125"/>
      <c r="S4001" s="4"/>
      <c r="T4001" s="124"/>
      <c r="U4001" s="22"/>
      <c r="V4001" s="22"/>
      <c r="W4001" s="78"/>
      <c r="X4001" s="78"/>
      <c r="AF4001"/>
      <c r="AG4001"/>
      <c r="AH4001"/>
      <c r="AI4001"/>
      <c r="AJ4001"/>
      <c r="AK4001"/>
    </row>
    <row r="4002" spans="1:37" ht="13.05" customHeight="1" x14ac:dyDescent="0.25">
      <c r="A4002"/>
      <c r="C4002" s="191"/>
      <c r="D4002" s="191"/>
      <c r="F4002"/>
      <c r="G4002"/>
      <c r="H4002" s="36"/>
      <c r="I4002" s="125"/>
      <c r="S4002" s="4"/>
      <c r="T4002" s="124"/>
      <c r="U4002" s="22"/>
      <c r="V4002" s="22"/>
      <c r="W4002" s="78"/>
      <c r="X4002" s="78"/>
      <c r="AF4002"/>
      <c r="AG4002"/>
      <c r="AH4002"/>
      <c r="AI4002"/>
      <c r="AJ4002"/>
      <c r="AK4002"/>
    </row>
    <row r="4003" spans="1:37" ht="13.05" customHeight="1" x14ac:dyDescent="0.25">
      <c r="A4003"/>
      <c r="C4003" s="191"/>
      <c r="D4003" s="191"/>
      <c r="F4003"/>
      <c r="G4003"/>
      <c r="H4003" s="36"/>
      <c r="I4003" s="125"/>
      <c r="S4003" s="4"/>
      <c r="T4003" s="124"/>
      <c r="U4003" s="22"/>
      <c r="V4003" s="22"/>
      <c r="W4003" s="78"/>
      <c r="X4003" s="78"/>
      <c r="AF4003"/>
      <c r="AG4003"/>
      <c r="AH4003"/>
      <c r="AI4003"/>
      <c r="AJ4003"/>
      <c r="AK4003"/>
    </row>
    <row r="4004" spans="1:37" ht="13.05" customHeight="1" x14ac:dyDescent="0.25">
      <c r="A4004"/>
      <c r="C4004" s="191"/>
      <c r="D4004" s="191"/>
      <c r="F4004"/>
      <c r="G4004"/>
      <c r="H4004" s="36"/>
      <c r="I4004" s="125"/>
      <c r="S4004" s="4"/>
      <c r="T4004" s="124"/>
      <c r="U4004" s="22"/>
      <c r="V4004" s="22"/>
      <c r="W4004" s="78"/>
      <c r="X4004" s="78"/>
      <c r="AF4004"/>
      <c r="AG4004"/>
      <c r="AH4004"/>
      <c r="AI4004"/>
      <c r="AJ4004"/>
      <c r="AK4004"/>
    </row>
    <row r="4005" spans="1:37" ht="13.05" customHeight="1" x14ac:dyDescent="0.25">
      <c r="A4005"/>
      <c r="C4005" s="191"/>
      <c r="D4005" s="191"/>
      <c r="F4005"/>
      <c r="G4005"/>
      <c r="H4005" s="36"/>
      <c r="I4005" s="125"/>
      <c r="S4005" s="4"/>
      <c r="T4005" s="124"/>
      <c r="U4005" s="22"/>
      <c r="V4005" s="22"/>
      <c r="W4005" s="78"/>
      <c r="X4005" s="78"/>
      <c r="AF4005"/>
      <c r="AG4005"/>
      <c r="AH4005"/>
      <c r="AI4005"/>
      <c r="AJ4005"/>
      <c r="AK4005"/>
    </row>
    <row r="4006" spans="1:37" ht="13.05" customHeight="1" x14ac:dyDescent="0.25">
      <c r="A4006"/>
      <c r="C4006" s="191"/>
      <c r="D4006" s="191"/>
      <c r="F4006"/>
      <c r="G4006"/>
      <c r="H4006" s="36"/>
      <c r="I4006" s="125"/>
      <c r="S4006" s="4"/>
      <c r="T4006" s="124"/>
      <c r="U4006" s="22"/>
      <c r="V4006" s="22"/>
      <c r="W4006" s="78"/>
      <c r="X4006" s="78"/>
      <c r="AF4006"/>
      <c r="AG4006"/>
      <c r="AH4006"/>
      <c r="AI4006"/>
      <c r="AJ4006"/>
      <c r="AK4006"/>
    </row>
    <row r="4007" spans="1:37" ht="13.05" customHeight="1" x14ac:dyDescent="0.25">
      <c r="A4007"/>
      <c r="C4007" s="191"/>
      <c r="D4007" s="191"/>
      <c r="F4007"/>
      <c r="G4007"/>
      <c r="H4007" s="36"/>
      <c r="I4007" s="125"/>
      <c r="S4007" s="4"/>
      <c r="T4007" s="124"/>
      <c r="U4007" s="22"/>
      <c r="V4007" s="22"/>
      <c r="W4007" s="78"/>
      <c r="X4007" s="78"/>
      <c r="AF4007"/>
      <c r="AG4007"/>
      <c r="AH4007"/>
      <c r="AI4007"/>
      <c r="AJ4007"/>
      <c r="AK4007"/>
    </row>
    <row r="4008" spans="1:37" ht="13.05" customHeight="1" x14ac:dyDescent="0.25">
      <c r="A4008"/>
      <c r="C4008" s="191"/>
      <c r="D4008" s="191"/>
      <c r="F4008"/>
      <c r="G4008"/>
      <c r="H4008" s="36"/>
      <c r="I4008" s="125"/>
      <c r="S4008" s="4"/>
      <c r="T4008" s="124"/>
      <c r="U4008" s="22"/>
      <c r="V4008" s="22"/>
      <c r="W4008" s="78"/>
      <c r="X4008" s="78"/>
      <c r="AF4008"/>
      <c r="AG4008"/>
      <c r="AH4008"/>
      <c r="AI4008"/>
      <c r="AJ4008"/>
      <c r="AK4008"/>
    </row>
    <row r="4009" spans="1:37" ht="13.05" customHeight="1" x14ac:dyDescent="0.25">
      <c r="A4009"/>
      <c r="C4009" s="191"/>
      <c r="D4009" s="191"/>
      <c r="F4009"/>
      <c r="G4009"/>
      <c r="H4009" s="36"/>
      <c r="I4009" s="125"/>
      <c r="S4009" s="4"/>
      <c r="T4009" s="124"/>
      <c r="U4009" s="22"/>
      <c r="V4009" s="22"/>
      <c r="W4009" s="78"/>
      <c r="X4009" s="78"/>
      <c r="AF4009"/>
      <c r="AG4009"/>
      <c r="AH4009"/>
      <c r="AI4009"/>
      <c r="AJ4009"/>
      <c r="AK4009"/>
    </row>
    <row r="4010" spans="1:37" ht="13.05" customHeight="1" x14ac:dyDescent="0.25">
      <c r="A4010"/>
      <c r="C4010" s="191"/>
      <c r="D4010" s="191"/>
      <c r="F4010"/>
      <c r="G4010"/>
      <c r="H4010" s="36"/>
      <c r="I4010" s="125"/>
      <c r="S4010" s="4"/>
      <c r="T4010" s="124"/>
      <c r="U4010" s="22"/>
      <c r="V4010" s="22"/>
      <c r="W4010" s="78"/>
      <c r="X4010" s="78"/>
      <c r="AF4010"/>
      <c r="AG4010"/>
      <c r="AH4010"/>
      <c r="AI4010"/>
      <c r="AJ4010"/>
      <c r="AK4010"/>
    </row>
    <row r="4011" spans="1:37" ht="13.05" customHeight="1" x14ac:dyDescent="0.25">
      <c r="A4011"/>
      <c r="C4011" s="191"/>
      <c r="D4011" s="191"/>
      <c r="F4011"/>
      <c r="G4011"/>
      <c r="H4011" s="36"/>
      <c r="I4011" s="125"/>
      <c r="S4011" s="4"/>
      <c r="T4011" s="124"/>
      <c r="U4011" s="22"/>
      <c r="V4011" s="22"/>
      <c r="W4011" s="78"/>
      <c r="X4011" s="78"/>
      <c r="AF4011"/>
      <c r="AG4011"/>
      <c r="AH4011"/>
      <c r="AI4011"/>
      <c r="AJ4011"/>
      <c r="AK4011"/>
    </row>
    <row r="4012" spans="1:37" ht="13.05" customHeight="1" x14ac:dyDescent="0.25">
      <c r="A4012"/>
      <c r="C4012" s="191"/>
      <c r="D4012" s="191"/>
      <c r="F4012"/>
      <c r="G4012"/>
      <c r="H4012" s="36"/>
      <c r="I4012" s="125"/>
      <c r="S4012" s="4"/>
      <c r="T4012" s="124"/>
      <c r="U4012" s="22"/>
      <c r="V4012" s="22"/>
      <c r="W4012" s="78"/>
      <c r="X4012" s="78"/>
      <c r="AF4012"/>
      <c r="AG4012"/>
      <c r="AH4012"/>
      <c r="AI4012"/>
      <c r="AJ4012"/>
      <c r="AK4012"/>
    </row>
    <row r="4013" spans="1:37" ht="13.05" customHeight="1" x14ac:dyDescent="0.25">
      <c r="A4013"/>
      <c r="C4013" s="191"/>
      <c r="D4013" s="191"/>
      <c r="F4013"/>
      <c r="G4013"/>
      <c r="H4013" s="36"/>
      <c r="I4013" s="125"/>
      <c r="S4013" s="4"/>
      <c r="T4013" s="124"/>
      <c r="U4013" s="22"/>
      <c r="V4013" s="22"/>
      <c r="W4013" s="78"/>
      <c r="X4013" s="78"/>
      <c r="AF4013"/>
      <c r="AG4013"/>
      <c r="AH4013"/>
      <c r="AI4013"/>
      <c r="AJ4013"/>
      <c r="AK4013"/>
    </row>
    <row r="4014" spans="1:37" ht="13.05" customHeight="1" x14ac:dyDescent="0.25">
      <c r="A4014"/>
      <c r="C4014" s="191"/>
      <c r="D4014" s="191"/>
      <c r="F4014"/>
      <c r="G4014"/>
      <c r="H4014" s="36"/>
      <c r="I4014" s="125"/>
      <c r="S4014" s="4"/>
      <c r="T4014" s="124"/>
      <c r="U4014" s="22"/>
      <c r="V4014" s="22"/>
      <c r="W4014" s="78"/>
      <c r="X4014" s="78"/>
      <c r="AF4014"/>
      <c r="AG4014"/>
      <c r="AH4014"/>
      <c r="AI4014"/>
      <c r="AJ4014"/>
      <c r="AK4014"/>
    </row>
    <row r="4015" spans="1:37" ht="13.05" customHeight="1" x14ac:dyDescent="0.25">
      <c r="A4015"/>
      <c r="C4015" s="191"/>
      <c r="D4015" s="191"/>
      <c r="F4015"/>
      <c r="G4015"/>
      <c r="H4015" s="36"/>
      <c r="I4015" s="125"/>
      <c r="S4015" s="4"/>
      <c r="T4015" s="124"/>
      <c r="U4015" s="22"/>
      <c r="V4015" s="22"/>
      <c r="W4015" s="78"/>
      <c r="X4015" s="78"/>
      <c r="AF4015"/>
      <c r="AG4015"/>
      <c r="AH4015"/>
      <c r="AI4015"/>
      <c r="AJ4015"/>
      <c r="AK4015"/>
    </row>
    <row r="4016" spans="1:37" ht="13.05" customHeight="1" x14ac:dyDescent="0.25">
      <c r="A4016"/>
      <c r="C4016" s="191"/>
      <c r="D4016" s="191"/>
      <c r="F4016"/>
      <c r="G4016"/>
      <c r="H4016" s="36"/>
      <c r="I4016" s="125"/>
      <c r="S4016" s="4"/>
      <c r="T4016" s="124"/>
      <c r="U4016" s="22"/>
      <c r="V4016" s="22"/>
      <c r="W4016" s="78"/>
      <c r="X4016" s="78"/>
      <c r="AF4016"/>
      <c r="AG4016"/>
      <c r="AH4016"/>
      <c r="AI4016"/>
      <c r="AJ4016"/>
      <c r="AK4016"/>
    </row>
    <row r="4017" spans="1:37" ht="13.05" customHeight="1" x14ac:dyDescent="0.25">
      <c r="A4017"/>
      <c r="C4017" s="191"/>
      <c r="D4017" s="191"/>
      <c r="F4017"/>
      <c r="G4017"/>
      <c r="H4017" s="36"/>
      <c r="I4017" s="125"/>
      <c r="S4017" s="4"/>
      <c r="T4017" s="124"/>
      <c r="U4017" s="22"/>
      <c r="V4017" s="22"/>
      <c r="W4017" s="78"/>
      <c r="X4017" s="78"/>
      <c r="AF4017"/>
      <c r="AG4017"/>
      <c r="AH4017"/>
      <c r="AI4017"/>
      <c r="AJ4017"/>
      <c r="AK4017"/>
    </row>
    <row r="4018" spans="1:37" ht="13.05" customHeight="1" x14ac:dyDescent="0.25">
      <c r="A4018"/>
      <c r="C4018" s="191"/>
      <c r="D4018" s="191"/>
      <c r="F4018"/>
      <c r="G4018"/>
      <c r="H4018" s="36"/>
      <c r="I4018" s="125"/>
      <c r="S4018" s="4"/>
      <c r="T4018" s="124"/>
      <c r="U4018" s="22"/>
      <c r="V4018" s="22"/>
      <c r="W4018" s="78"/>
      <c r="X4018" s="78"/>
      <c r="AF4018"/>
      <c r="AG4018"/>
      <c r="AH4018"/>
      <c r="AI4018"/>
      <c r="AJ4018"/>
      <c r="AK4018"/>
    </row>
    <row r="4019" spans="1:37" ht="13.05" customHeight="1" x14ac:dyDescent="0.25">
      <c r="A4019"/>
      <c r="C4019" s="191"/>
      <c r="D4019" s="191"/>
      <c r="F4019"/>
      <c r="G4019"/>
      <c r="H4019" s="36"/>
      <c r="I4019" s="125"/>
      <c r="S4019" s="4"/>
      <c r="T4019" s="124"/>
      <c r="U4019" s="22"/>
      <c r="V4019" s="22"/>
      <c r="W4019" s="78"/>
      <c r="X4019" s="78"/>
      <c r="AF4019"/>
      <c r="AG4019"/>
      <c r="AH4019"/>
      <c r="AI4019"/>
      <c r="AJ4019"/>
      <c r="AK4019"/>
    </row>
    <row r="4020" spans="1:37" ht="13.05" customHeight="1" x14ac:dyDescent="0.25">
      <c r="A4020"/>
      <c r="C4020" s="191"/>
      <c r="D4020" s="191"/>
      <c r="F4020"/>
      <c r="G4020"/>
      <c r="H4020" s="36"/>
      <c r="I4020" s="125"/>
      <c r="S4020" s="4"/>
      <c r="T4020" s="124"/>
      <c r="U4020" s="22"/>
      <c r="V4020" s="22"/>
      <c r="W4020" s="78"/>
      <c r="X4020" s="78"/>
      <c r="AF4020"/>
      <c r="AG4020"/>
      <c r="AH4020"/>
      <c r="AI4020"/>
      <c r="AJ4020"/>
      <c r="AK4020"/>
    </row>
    <row r="4021" spans="1:37" ht="13.05" customHeight="1" x14ac:dyDescent="0.25">
      <c r="A4021"/>
      <c r="C4021" s="191"/>
      <c r="D4021" s="191"/>
      <c r="F4021"/>
      <c r="G4021"/>
      <c r="H4021" s="36"/>
      <c r="I4021" s="125"/>
      <c r="S4021" s="4"/>
      <c r="T4021" s="124"/>
      <c r="U4021" s="22"/>
      <c r="V4021" s="22"/>
      <c r="W4021" s="78"/>
      <c r="X4021" s="78"/>
      <c r="AF4021"/>
      <c r="AG4021"/>
      <c r="AH4021"/>
      <c r="AI4021"/>
      <c r="AJ4021"/>
      <c r="AK4021"/>
    </row>
    <row r="4022" spans="1:37" ht="13.05" customHeight="1" x14ac:dyDescent="0.25">
      <c r="A4022"/>
      <c r="C4022" s="191"/>
      <c r="D4022" s="191"/>
      <c r="F4022"/>
      <c r="G4022"/>
      <c r="H4022" s="36"/>
      <c r="I4022" s="125"/>
      <c r="S4022" s="4"/>
      <c r="T4022" s="124"/>
      <c r="U4022" s="22"/>
      <c r="V4022" s="22"/>
      <c r="W4022" s="78"/>
      <c r="X4022" s="78"/>
      <c r="AF4022"/>
      <c r="AG4022"/>
      <c r="AH4022"/>
      <c r="AI4022"/>
      <c r="AJ4022"/>
      <c r="AK4022"/>
    </row>
    <row r="4023" spans="1:37" ht="13.05" customHeight="1" x14ac:dyDescent="0.25">
      <c r="A4023"/>
      <c r="C4023" s="191"/>
      <c r="D4023" s="191"/>
      <c r="F4023"/>
      <c r="G4023"/>
      <c r="H4023" s="36"/>
      <c r="I4023" s="125"/>
      <c r="S4023" s="4"/>
      <c r="T4023" s="124"/>
      <c r="U4023" s="22"/>
      <c r="V4023" s="22"/>
      <c r="W4023" s="78"/>
      <c r="X4023" s="78"/>
      <c r="AF4023"/>
      <c r="AG4023"/>
      <c r="AH4023"/>
      <c r="AI4023"/>
      <c r="AJ4023"/>
      <c r="AK4023"/>
    </row>
    <row r="4024" spans="1:37" ht="13.05" customHeight="1" x14ac:dyDescent="0.25">
      <c r="A4024"/>
      <c r="C4024" s="191"/>
      <c r="D4024" s="191"/>
      <c r="F4024"/>
      <c r="G4024"/>
      <c r="H4024" s="36"/>
      <c r="I4024" s="125"/>
      <c r="S4024" s="4"/>
      <c r="T4024" s="124"/>
      <c r="U4024" s="22"/>
      <c r="V4024" s="22"/>
      <c r="W4024" s="78"/>
      <c r="X4024" s="78"/>
      <c r="AF4024"/>
      <c r="AG4024"/>
      <c r="AH4024"/>
      <c r="AI4024"/>
      <c r="AJ4024"/>
      <c r="AK4024"/>
    </row>
    <row r="4025" spans="1:37" ht="13.05" customHeight="1" x14ac:dyDescent="0.25">
      <c r="A4025"/>
      <c r="C4025" s="191"/>
      <c r="D4025" s="191"/>
      <c r="F4025"/>
      <c r="G4025"/>
      <c r="H4025" s="36"/>
      <c r="I4025" s="125"/>
      <c r="S4025" s="4"/>
      <c r="T4025" s="124"/>
      <c r="U4025" s="22"/>
      <c r="V4025" s="22"/>
      <c r="W4025" s="78"/>
      <c r="X4025" s="78"/>
      <c r="AF4025"/>
      <c r="AG4025"/>
      <c r="AH4025"/>
      <c r="AI4025"/>
      <c r="AJ4025"/>
      <c r="AK4025"/>
    </row>
    <row r="4026" spans="1:37" ht="13.05" customHeight="1" x14ac:dyDescent="0.25">
      <c r="A4026"/>
      <c r="C4026" s="191"/>
      <c r="D4026" s="191"/>
      <c r="F4026"/>
      <c r="G4026"/>
      <c r="H4026" s="36"/>
      <c r="I4026" s="125"/>
      <c r="S4026" s="4"/>
      <c r="T4026" s="124"/>
      <c r="U4026" s="22"/>
      <c r="V4026" s="22"/>
      <c r="W4026" s="78"/>
      <c r="X4026" s="78"/>
      <c r="AF4026"/>
      <c r="AG4026"/>
      <c r="AH4026"/>
      <c r="AI4026"/>
      <c r="AJ4026"/>
      <c r="AK4026"/>
    </row>
    <row r="4027" spans="1:37" ht="13.05" customHeight="1" x14ac:dyDescent="0.25">
      <c r="A4027"/>
      <c r="C4027" s="191"/>
      <c r="D4027" s="191"/>
      <c r="F4027"/>
      <c r="G4027"/>
      <c r="H4027" s="36"/>
      <c r="I4027" s="125"/>
      <c r="S4027" s="4"/>
      <c r="T4027" s="124"/>
      <c r="U4027" s="22"/>
      <c r="V4027" s="22"/>
      <c r="W4027" s="78"/>
      <c r="X4027" s="78"/>
      <c r="AF4027"/>
      <c r="AG4027"/>
      <c r="AH4027"/>
      <c r="AI4027"/>
      <c r="AJ4027"/>
      <c r="AK4027"/>
    </row>
    <row r="4028" spans="1:37" ht="13.05" customHeight="1" x14ac:dyDescent="0.25">
      <c r="A4028"/>
      <c r="C4028" s="191"/>
      <c r="D4028" s="191"/>
      <c r="F4028"/>
      <c r="G4028"/>
      <c r="H4028" s="36"/>
      <c r="I4028" s="125"/>
      <c r="S4028" s="4"/>
      <c r="T4028" s="124"/>
      <c r="U4028" s="22"/>
      <c r="V4028" s="22"/>
      <c r="W4028" s="78"/>
      <c r="X4028" s="78"/>
      <c r="AF4028"/>
      <c r="AG4028"/>
      <c r="AH4028"/>
      <c r="AI4028"/>
      <c r="AJ4028"/>
      <c r="AK4028"/>
    </row>
    <row r="4029" spans="1:37" ht="13.05" customHeight="1" x14ac:dyDescent="0.25">
      <c r="A4029"/>
      <c r="C4029" s="191"/>
      <c r="D4029" s="191"/>
      <c r="F4029"/>
      <c r="G4029"/>
      <c r="H4029" s="36"/>
      <c r="I4029" s="125"/>
      <c r="S4029" s="4"/>
      <c r="T4029" s="124"/>
      <c r="U4029" s="22"/>
      <c r="V4029" s="22"/>
      <c r="W4029" s="78"/>
      <c r="X4029" s="78"/>
      <c r="AF4029"/>
      <c r="AG4029"/>
      <c r="AH4029"/>
      <c r="AI4029"/>
      <c r="AJ4029"/>
      <c r="AK4029"/>
    </row>
    <row r="4030" spans="1:37" ht="13.05" customHeight="1" x14ac:dyDescent="0.25">
      <c r="A4030"/>
      <c r="C4030" s="191"/>
      <c r="D4030" s="191"/>
      <c r="F4030"/>
      <c r="G4030"/>
      <c r="H4030" s="36"/>
      <c r="I4030" s="125"/>
      <c r="S4030" s="4"/>
      <c r="T4030" s="124"/>
      <c r="U4030" s="22"/>
      <c r="V4030" s="22"/>
      <c r="W4030" s="78"/>
      <c r="X4030" s="78"/>
      <c r="AF4030"/>
      <c r="AG4030"/>
      <c r="AH4030"/>
      <c r="AI4030"/>
      <c r="AJ4030"/>
      <c r="AK4030"/>
    </row>
    <row r="4031" spans="1:37" ht="13.05" customHeight="1" x14ac:dyDescent="0.25">
      <c r="A4031"/>
      <c r="C4031" s="191"/>
      <c r="D4031" s="191"/>
      <c r="F4031"/>
      <c r="G4031"/>
      <c r="H4031" s="36"/>
      <c r="I4031" s="125"/>
      <c r="S4031" s="4"/>
      <c r="T4031" s="124"/>
      <c r="U4031" s="22"/>
      <c r="V4031" s="22"/>
      <c r="W4031" s="78"/>
      <c r="X4031" s="78"/>
      <c r="AF4031"/>
      <c r="AG4031"/>
      <c r="AH4031"/>
      <c r="AI4031"/>
      <c r="AJ4031"/>
      <c r="AK4031"/>
    </row>
    <row r="4032" spans="1:37" ht="13.05" customHeight="1" x14ac:dyDescent="0.25">
      <c r="A4032"/>
      <c r="C4032" s="191"/>
      <c r="D4032" s="191"/>
      <c r="F4032"/>
      <c r="G4032"/>
      <c r="H4032" s="36"/>
      <c r="I4032" s="125"/>
      <c r="S4032" s="4"/>
      <c r="T4032" s="124"/>
      <c r="U4032" s="22"/>
      <c r="V4032" s="22"/>
      <c r="W4032" s="78"/>
      <c r="X4032" s="78"/>
      <c r="AF4032"/>
      <c r="AG4032"/>
      <c r="AH4032"/>
      <c r="AI4032"/>
      <c r="AJ4032"/>
      <c r="AK4032"/>
    </row>
    <row r="4033" spans="1:37" ht="13.05" customHeight="1" x14ac:dyDescent="0.25">
      <c r="A4033"/>
      <c r="C4033" s="191"/>
      <c r="D4033" s="191"/>
      <c r="F4033"/>
      <c r="G4033"/>
      <c r="H4033" s="36"/>
      <c r="I4033" s="125"/>
      <c r="S4033" s="4"/>
      <c r="T4033" s="124"/>
      <c r="U4033" s="22"/>
      <c r="V4033" s="22"/>
      <c r="W4033" s="78"/>
      <c r="X4033" s="78"/>
      <c r="AF4033"/>
      <c r="AG4033"/>
      <c r="AH4033"/>
      <c r="AI4033"/>
      <c r="AJ4033"/>
      <c r="AK4033"/>
    </row>
    <row r="4034" spans="1:37" ht="13.05" customHeight="1" x14ac:dyDescent="0.25">
      <c r="A4034"/>
      <c r="C4034" s="191"/>
      <c r="D4034" s="191"/>
      <c r="F4034"/>
      <c r="G4034"/>
      <c r="H4034" s="36"/>
      <c r="I4034" s="125"/>
      <c r="S4034" s="4"/>
      <c r="T4034" s="124"/>
      <c r="U4034" s="22"/>
      <c r="V4034" s="22"/>
      <c r="W4034" s="78"/>
      <c r="X4034" s="78"/>
      <c r="AF4034"/>
      <c r="AG4034"/>
      <c r="AH4034"/>
      <c r="AI4034"/>
      <c r="AJ4034"/>
      <c r="AK4034"/>
    </row>
    <row r="4035" spans="1:37" ht="13.05" customHeight="1" x14ac:dyDescent="0.25">
      <c r="A4035"/>
      <c r="C4035" s="191"/>
      <c r="D4035" s="191"/>
      <c r="F4035"/>
      <c r="G4035"/>
      <c r="H4035" s="36"/>
      <c r="I4035" s="125"/>
      <c r="S4035" s="4"/>
      <c r="T4035" s="124"/>
      <c r="U4035" s="22"/>
      <c r="V4035" s="22"/>
      <c r="W4035" s="78"/>
      <c r="X4035" s="78"/>
      <c r="AF4035"/>
      <c r="AG4035"/>
      <c r="AH4035"/>
      <c r="AI4035"/>
      <c r="AJ4035"/>
      <c r="AK4035"/>
    </row>
    <row r="4036" spans="1:37" ht="13.05" customHeight="1" x14ac:dyDescent="0.25">
      <c r="A4036"/>
      <c r="C4036" s="191"/>
      <c r="D4036" s="191"/>
      <c r="F4036"/>
      <c r="G4036"/>
      <c r="H4036" s="36"/>
      <c r="I4036" s="125"/>
      <c r="S4036" s="4"/>
      <c r="T4036" s="124"/>
      <c r="U4036" s="22"/>
      <c r="V4036" s="22"/>
      <c r="W4036" s="78"/>
      <c r="X4036" s="78"/>
      <c r="AF4036"/>
      <c r="AG4036"/>
      <c r="AH4036"/>
      <c r="AI4036"/>
      <c r="AJ4036"/>
      <c r="AK4036"/>
    </row>
    <row r="4037" spans="1:37" ht="13.05" customHeight="1" x14ac:dyDescent="0.25">
      <c r="A4037"/>
      <c r="C4037" s="191"/>
      <c r="D4037" s="191"/>
      <c r="F4037"/>
      <c r="G4037"/>
      <c r="H4037" s="36"/>
      <c r="I4037" s="125"/>
      <c r="S4037" s="4"/>
      <c r="T4037" s="124"/>
      <c r="U4037" s="22"/>
      <c r="V4037" s="22"/>
      <c r="W4037" s="78"/>
      <c r="X4037" s="78"/>
      <c r="AF4037"/>
      <c r="AG4037"/>
      <c r="AH4037"/>
      <c r="AI4037"/>
      <c r="AJ4037"/>
      <c r="AK4037"/>
    </row>
    <row r="4038" spans="1:37" ht="13.05" customHeight="1" x14ac:dyDescent="0.25">
      <c r="A4038"/>
      <c r="C4038" s="191"/>
      <c r="D4038" s="191"/>
      <c r="F4038"/>
      <c r="G4038"/>
      <c r="H4038" s="36"/>
      <c r="I4038" s="125"/>
      <c r="S4038" s="4"/>
      <c r="T4038" s="124"/>
      <c r="U4038" s="22"/>
      <c r="V4038" s="22"/>
      <c r="W4038" s="78"/>
      <c r="X4038" s="78"/>
      <c r="AF4038"/>
      <c r="AG4038"/>
      <c r="AH4038"/>
      <c r="AI4038"/>
      <c r="AJ4038"/>
      <c r="AK4038"/>
    </row>
    <row r="4039" spans="1:37" ht="13.05" customHeight="1" x14ac:dyDescent="0.25">
      <c r="A4039"/>
      <c r="C4039" s="191"/>
      <c r="D4039" s="191"/>
      <c r="F4039"/>
      <c r="G4039"/>
      <c r="H4039" s="36"/>
      <c r="I4039" s="125"/>
      <c r="S4039" s="4"/>
      <c r="T4039" s="124"/>
      <c r="U4039" s="22"/>
      <c r="V4039" s="22"/>
      <c r="W4039" s="78"/>
      <c r="X4039" s="78"/>
      <c r="AF4039"/>
      <c r="AG4039"/>
      <c r="AH4039"/>
      <c r="AI4039"/>
      <c r="AJ4039"/>
      <c r="AK4039"/>
    </row>
    <row r="4040" spans="1:37" ht="13.05" customHeight="1" x14ac:dyDescent="0.25">
      <c r="A4040"/>
      <c r="C4040" s="191"/>
      <c r="D4040" s="191"/>
      <c r="F4040"/>
      <c r="G4040"/>
      <c r="H4040" s="36"/>
      <c r="I4040" s="125"/>
      <c r="S4040" s="4"/>
      <c r="T4040" s="124"/>
      <c r="U4040" s="22"/>
      <c r="V4040" s="22"/>
      <c r="W4040" s="78"/>
      <c r="X4040" s="78"/>
      <c r="AF4040"/>
      <c r="AG4040"/>
      <c r="AH4040"/>
      <c r="AI4040"/>
      <c r="AJ4040"/>
      <c r="AK4040"/>
    </row>
    <row r="4041" spans="1:37" ht="13.05" customHeight="1" x14ac:dyDescent="0.25">
      <c r="A4041"/>
      <c r="C4041" s="191"/>
      <c r="D4041" s="191"/>
      <c r="F4041"/>
      <c r="G4041"/>
      <c r="H4041" s="36"/>
      <c r="I4041" s="125"/>
      <c r="S4041" s="4"/>
      <c r="T4041" s="124"/>
      <c r="U4041" s="22"/>
      <c r="V4041" s="22"/>
      <c r="W4041" s="78"/>
      <c r="X4041" s="78"/>
      <c r="AF4041"/>
      <c r="AG4041"/>
      <c r="AH4041"/>
      <c r="AI4041"/>
      <c r="AJ4041"/>
      <c r="AK4041"/>
    </row>
    <row r="4042" spans="1:37" ht="13.05" customHeight="1" x14ac:dyDescent="0.25">
      <c r="A4042"/>
      <c r="C4042" s="191"/>
      <c r="D4042" s="191"/>
      <c r="F4042"/>
      <c r="G4042"/>
      <c r="H4042" s="36"/>
      <c r="I4042" s="125"/>
      <c r="S4042" s="4"/>
      <c r="T4042" s="124"/>
      <c r="U4042" s="22"/>
      <c r="V4042" s="22"/>
      <c r="W4042" s="78"/>
      <c r="X4042" s="78"/>
      <c r="AF4042"/>
      <c r="AG4042"/>
      <c r="AH4042"/>
      <c r="AI4042"/>
      <c r="AJ4042"/>
      <c r="AK4042"/>
    </row>
    <row r="4043" spans="1:37" ht="13.05" customHeight="1" x14ac:dyDescent="0.25">
      <c r="A4043"/>
      <c r="C4043" s="191"/>
      <c r="D4043" s="191"/>
      <c r="F4043"/>
      <c r="G4043"/>
      <c r="H4043" s="36"/>
      <c r="I4043" s="125"/>
      <c r="S4043" s="4"/>
      <c r="T4043" s="124"/>
      <c r="U4043" s="22"/>
      <c r="V4043" s="22"/>
      <c r="W4043" s="78"/>
      <c r="X4043" s="78"/>
      <c r="AF4043"/>
      <c r="AG4043"/>
      <c r="AH4043"/>
      <c r="AI4043"/>
      <c r="AJ4043"/>
      <c r="AK4043"/>
    </row>
    <row r="4044" spans="1:37" ht="13.05" customHeight="1" x14ac:dyDescent="0.25">
      <c r="A4044"/>
      <c r="C4044" s="191"/>
      <c r="D4044" s="191"/>
      <c r="F4044"/>
      <c r="G4044"/>
      <c r="H4044" s="36"/>
      <c r="I4044" s="125"/>
      <c r="S4044" s="4"/>
      <c r="T4044" s="124"/>
      <c r="U4044" s="22"/>
      <c r="V4044" s="22"/>
      <c r="W4044" s="78"/>
      <c r="X4044" s="78"/>
      <c r="AF4044"/>
      <c r="AG4044"/>
      <c r="AH4044"/>
      <c r="AI4044"/>
      <c r="AJ4044"/>
      <c r="AK4044"/>
    </row>
    <row r="4045" spans="1:37" ht="13.05" customHeight="1" x14ac:dyDescent="0.25">
      <c r="A4045"/>
      <c r="C4045" s="191"/>
      <c r="D4045" s="191"/>
      <c r="F4045"/>
      <c r="G4045"/>
      <c r="H4045" s="36"/>
      <c r="I4045" s="125"/>
      <c r="S4045" s="4"/>
      <c r="T4045" s="124"/>
      <c r="U4045" s="22"/>
      <c r="V4045" s="22"/>
      <c r="W4045" s="78"/>
      <c r="X4045" s="78"/>
      <c r="AF4045"/>
      <c r="AG4045"/>
      <c r="AH4045"/>
      <c r="AI4045"/>
      <c r="AJ4045"/>
      <c r="AK4045"/>
    </row>
    <row r="4046" spans="1:37" ht="13.05" customHeight="1" x14ac:dyDescent="0.25">
      <c r="A4046"/>
      <c r="C4046" s="191"/>
      <c r="D4046" s="191"/>
      <c r="F4046"/>
      <c r="G4046"/>
      <c r="H4046" s="36"/>
      <c r="I4046" s="125"/>
      <c r="S4046" s="4"/>
      <c r="T4046" s="124"/>
      <c r="U4046" s="22"/>
      <c r="V4046" s="22"/>
      <c r="W4046" s="78"/>
      <c r="X4046" s="78"/>
      <c r="AF4046"/>
      <c r="AG4046"/>
      <c r="AH4046"/>
      <c r="AI4046"/>
      <c r="AJ4046"/>
      <c r="AK4046"/>
    </row>
    <row r="4047" spans="1:37" ht="13.05" customHeight="1" x14ac:dyDescent="0.25">
      <c r="A4047"/>
      <c r="C4047" s="191"/>
      <c r="D4047" s="191"/>
      <c r="F4047"/>
      <c r="G4047"/>
      <c r="H4047" s="36"/>
      <c r="I4047" s="125"/>
      <c r="S4047" s="4"/>
      <c r="T4047" s="124"/>
      <c r="U4047" s="22"/>
      <c r="V4047" s="22"/>
      <c r="W4047" s="78"/>
      <c r="X4047" s="78"/>
      <c r="AF4047"/>
      <c r="AG4047"/>
      <c r="AH4047"/>
      <c r="AI4047"/>
      <c r="AJ4047"/>
      <c r="AK4047"/>
    </row>
    <row r="4048" spans="1:37" ht="13.05" customHeight="1" x14ac:dyDescent="0.25">
      <c r="A4048"/>
      <c r="C4048" s="191"/>
      <c r="D4048" s="191"/>
      <c r="F4048"/>
      <c r="G4048"/>
      <c r="H4048" s="36"/>
      <c r="I4048" s="125"/>
      <c r="S4048" s="4"/>
      <c r="T4048" s="124"/>
      <c r="U4048" s="22"/>
      <c r="V4048" s="22"/>
      <c r="W4048" s="78"/>
      <c r="X4048" s="78"/>
      <c r="AF4048"/>
      <c r="AG4048"/>
      <c r="AH4048"/>
      <c r="AI4048"/>
      <c r="AJ4048"/>
      <c r="AK4048"/>
    </row>
    <row r="4049" spans="1:37" ht="13.05" customHeight="1" x14ac:dyDescent="0.25">
      <c r="A4049"/>
      <c r="C4049" s="191"/>
      <c r="D4049" s="191"/>
      <c r="F4049"/>
      <c r="G4049"/>
      <c r="H4049" s="36"/>
      <c r="I4049" s="125"/>
      <c r="S4049" s="4"/>
      <c r="T4049" s="124"/>
      <c r="U4049" s="22"/>
      <c r="V4049" s="22"/>
      <c r="W4049" s="78"/>
      <c r="X4049" s="78"/>
      <c r="AF4049"/>
      <c r="AG4049"/>
      <c r="AH4049"/>
      <c r="AI4049"/>
      <c r="AJ4049"/>
      <c r="AK4049"/>
    </row>
    <row r="4050" spans="1:37" ht="13.05" customHeight="1" x14ac:dyDescent="0.25">
      <c r="A4050"/>
      <c r="C4050" s="191"/>
      <c r="D4050" s="191"/>
      <c r="F4050"/>
      <c r="G4050"/>
      <c r="H4050" s="36"/>
      <c r="I4050" s="125"/>
      <c r="S4050" s="4"/>
      <c r="T4050" s="124"/>
      <c r="U4050" s="22"/>
      <c r="V4050" s="22"/>
      <c r="W4050" s="78"/>
      <c r="X4050" s="78"/>
      <c r="AF4050"/>
      <c r="AG4050"/>
      <c r="AH4050"/>
      <c r="AI4050"/>
      <c r="AJ4050"/>
      <c r="AK4050"/>
    </row>
    <row r="4051" spans="1:37" ht="13.05" customHeight="1" x14ac:dyDescent="0.25">
      <c r="A4051"/>
      <c r="C4051" s="191"/>
      <c r="D4051" s="191"/>
      <c r="F4051"/>
      <c r="G4051"/>
      <c r="H4051" s="36"/>
      <c r="I4051" s="125"/>
      <c r="S4051" s="4"/>
      <c r="T4051" s="124"/>
      <c r="U4051" s="22"/>
      <c r="V4051" s="22"/>
      <c r="W4051" s="78"/>
      <c r="X4051" s="78"/>
      <c r="AF4051"/>
      <c r="AG4051"/>
      <c r="AH4051"/>
      <c r="AI4051"/>
      <c r="AJ4051"/>
      <c r="AK4051"/>
    </row>
    <row r="4052" spans="1:37" ht="13.05" customHeight="1" x14ac:dyDescent="0.25">
      <c r="A4052"/>
      <c r="C4052" s="191"/>
      <c r="D4052" s="191"/>
      <c r="F4052"/>
      <c r="G4052"/>
      <c r="H4052" s="36"/>
      <c r="I4052" s="125"/>
      <c r="S4052" s="4"/>
      <c r="T4052" s="124"/>
      <c r="U4052" s="22"/>
      <c r="V4052" s="22"/>
      <c r="W4052" s="78"/>
      <c r="X4052" s="78"/>
      <c r="AF4052"/>
      <c r="AG4052"/>
      <c r="AH4052"/>
      <c r="AI4052"/>
      <c r="AJ4052"/>
      <c r="AK4052"/>
    </row>
    <row r="4053" spans="1:37" ht="13.05" customHeight="1" x14ac:dyDescent="0.25">
      <c r="A4053"/>
      <c r="C4053" s="191"/>
      <c r="D4053" s="191"/>
      <c r="F4053"/>
      <c r="G4053"/>
      <c r="H4053" s="36"/>
      <c r="I4053" s="125"/>
      <c r="S4053" s="4"/>
      <c r="T4053" s="124"/>
      <c r="U4053" s="22"/>
      <c r="V4053" s="22"/>
      <c r="W4053" s="78"/>
      <c r="X4053" s="78"/>
      <c r="AF4053"/>
      <c r="AG4053"/>
      <c r="AH4053"/>
      <c r="AI4053"/>
      <c r="AJ4053"/>
      <c r="AK4053"/>
    </row>
    <row r="4054" spans="1:37" ht="13.05" customHeight="1" x14ac:dyDescent="0.25">
      <c r="A4054"/>
      <c r="C4054" s="191"/>
      <c r="D4054" s="191"/>
      <c r="F4054"/>
      <c r="G4054"/>
      <c r="H4054" s="36"/>
      <c r="I4054" s="125"/>
      <c r="S4054" s="4"/>
      <c r="T4054" s="124"/>
      <c r="U4054" s="22"/>
      <c r="V4054" s="22"/>
      <c r="W4054" s="78"/>
      <c r="X4054" s="78"/>
      <c r="AF4054"/>
      <c r="AG4054"/>
      <c r="AH4054"/>
      <c r="AI4054"/>
      <c r="AJ4054"/>
      <c r="AK4054"/>
    </row>
    <row r="4055" spans="1:37" ht="13.05" customHeight="1" x14ac:dyDescent="0.25">
      <c r="A4055"/>
      <c r="C4055" s="191"/>
      <c r="D4055" s="191"/>
      <c r="F4055"/>
      <c r="G4055"/>
      <c r="H4055" s="36"/>
      <c r="I4055" s="125"/>
      <c r="S4055" s="4"/>
      <c r="T4055" s="124"/>
      <c r="U4055" s="22"/>
      <c r="V4055" s="22"/>
      <c r="W4055" s="78"/>
      <c r="X4055" s="78"/>
      <c r="AF4055"/>
      <c r="AG4055"/>
      <c r="AH4055"/>
      <c r="AI4055"/>
      <c r="AJ4055"/>
      <c r="AK4055"/>
    </row>
    <row r="4056" spans="1:37" ht="13.05" customHeight="1" x14ac:dyDescent="0.25">
      <c r="A4056"/>
      <c r="C4056" s="191"/>
      <c r="D4056" s="191"/>
      <c r="F4056"/>
      <c r="G4056"/>
      <c r="H4056" s="36"/>
      <c r="I4056" s="125"/>
      <c r="S4056" s="4"/>
      <c r="T4056" s="124"/>
      <c r="U4056" s="22"/>
      <c r="V4056" s="22"/>
      <c r="W4056" s="78"/>
      <c r="X4056" s="78"/>
      <c r="AF4056"/>
      <c r="AG4056"/>
      <c r="AH4056"/>
      <c r="AI4056"/>
      <c r="AJ4056"/>
      <c r="AK4056"/>
    </row>
    <row r="4057" spans="1:37" ht="13.05" customHeight="1" x14ac:dyDescent="0.25">
      <c r="A4057"/>
      <c r="C4057" s="191"/>
      <c r="D4057" s="191"/>
      <c r="F4057"/>
      <c r="G4057"/>
      <c r="H4057" s="36"/>
      <c r="I4057" s="125"/>
      <c r="S4057" s="4"/>
      <c r="T4057" s="124"/>
      <c r="U4057" s="22"/>
      <c r="V4057" s="22"/>
      <c r="W4057" s="78"/>
      <c r="X4057" s="78"/>
      <c r="AF4057"/>
      <c r="AG4057"/>
      <c r="AH4057"/>
      <c r="AI4057"/>
      <c r="AJ4057"/>
      <c r="AK4057"/>
    </row>
    <row r="4058" spans="1:37" ht="13.05" customHeight="1" x14ac:dyDescent="0.25">
      <c r="A4058"/>
      <c r="C4058" s="191"/>
      <c r="D4058" s="191"/>
      <c r="F4058"/>
      <c r="G4058"/>
      <c r="H4058" s="36"/>
      <c r="I4058" s="125"/>
      <c r="S4058" s="4"/>
      <c r="T4058" s="124"/>
      <c r="U4058" s="22"/>
      <c r="V4058" s="22"/>
      <c r="W4058" s="78"/>
      <c r="X4058" s="78"/>
      <c r="AF4058"/>
      <c r="AG4058"/>
      <c r="AH4058"/>
      <c r="AI4058"/>
      <c r="AJ4058"/>
      <c r="AK4058"/>
    </row>
    <row r="4059" spans="1:37" ht="13.05" customHeight="1" x14ac:dyDescent="0.25">
      <c r="A4059"/>
      <c r="C4059" s="191"/>
      <c r="D4059" s="191"/>
      <c r="F4059"/>
      <c r="G4059"/>
      <c r="H4059" s="36"/>
      <c r="I4059" s="125"/>
      <c r="S4059" s="4"/>
      <c r="T4059" s="124"/>
      <c r="U4059" s="22"/>
      <c r="V4059" s="22"/>
      <c r="W4059" s="78"/>
      <c r="X4059" s="78"/>
      <c r="AF4059"/>
      <c r="AG4059"/>
      <c r="AH4059"/>
      <c r="AI4059"/>
      <c r="AJ4059"/>
      <c r="AK4059"/>
    </row>
    <row r="4060" spans="1:37" ht="13.05" customHeight="1" x14ac:dyDescent="0.25">
      <c r="A4060"/>
      <c r="C4060" s="191"/>
      <c r="D4060" s="191"/>
      <c r="F4060"/>
      <c r="G4060"/>
      <c r="H4060" s="36"/>
      <c r="I4060" s="125"/>
      <c r="S4060" s="4"/>
      <c r="T4060" s="124"/>
      <c r="U4060" s="22"/>
      <c r="V4060" s="22"/>
      <c r="W4060" s="78"/>
      <c r="X4060" s="78"/>
      <c r="AF4060"/>
      <c r="AG4060"/>
      <c r="AH4060"/>
      <c r="AI4060"/>
      <c r="AJ4060"/>
      <c r="AK4060"/>
    </row>
    <row r="4061" spans="1:37" ht="13.05" customHeight="1" x14ac:dyDescent="0.25">
      <c r="A4061"/>
      <c r="C4061" s="191"/>
      <c r="D4061" s="191"/>
      <c r="F4061"/>
      <c r="G4061"/>
      <c r="H4061" s="36"/>
      <c r="I4061" s="125"/>
      <c r="S4061" s="4"/>
      <c r="T4061" s="124"/>
      <c r="U4061" s="22"/>
      <c r="V4061" s="22"/>
      <c r="W4061" s="78"/>
      <c r="X4061" s="78"/>
      <c r="AF4061"/>
      <c r="AG4061"/>
      <c r="AH4061"/>
      <c r="AI4061"/>
      <c r="AJ4061"/>
      <c r="AK4061"/>
    </row>
    <row r="4062" spans="1:37" ht="13.05" customHeight="1" x14ac:dyDescent="0.25">
      <c r="A4062"/>
      <c r="C4062" s="191"/>
      <c r="D4062" s="191"/>
      <c r="F4062"/>
      <c r="G4062"/>
      <c r="H4062" s="36"/>
      <c r="I4062" s="125"/>
      <c r="S4062" s="4"/>
      <c r="T4062" s="124"/>
      <c r="U4062" s="22"/>
      <c r="V4062" s="22"/>
      <c r="W4062" s="78"/>
      <c r="X4062" s="78"/>
      <c r="AF4062"/>
      <c r="AG4062"/>
      <c r="AH4062"/>
      <c r="AI4062"/>
      <c r="AJ4062"/>
      <c r="AK4062"/>
    </row>
    <row r="4063" spans="1:37" ht="13.05" customHeight="1" x14ac:dyDescent="0.25">
      <c r="A4063"/>
      <c r="C4063" s="191"/>
      <c r="D4063" s="191"/>
      <c r="F4063"/>
      <c r="G4063"/>
      <c r="H4063" s="36"/>
      <c r="I4063" s="125"/>
      <c r="S4063" s="4"/>
      <c r="T4063" s="124"/>
      <c r="U4063" s="22"/>
      <c r="V4063" s="22"/>
      <c r="W4063" s="78"/>
      <c r="X4063" s="78"/>
      <c r="AF4063"/>
      <c r="AG4063"/>
      <c r="AH4063"/>
      <c r="AI4063"/>
      <c r="AJ4063"/>
      <c r="AK4063"/>
    </row>
    <row r="4064" spans="1:37" ht="13.05" customHeight="1" x14ac:dyDescent="0.25">
      <c r="A4064"/>
      <c r="C4064" s="191"/>
      <c r="D4064" s="191"/>
      <c r="F4064"/>
      <c r="G4064"/>
      <c r="H4064" s="36"/>
      <c r="I4064" s="125"/>
      <c r="S4064" s="4"/>
      <c r="T4064" s="124"/>
      <c r="U4064" s="22"/>
      <c r="V4064" s="22"/>
      <c r="W4064" s="78"/>
      <c r="X4064" s="78"/>
      <c r="AF4064"/>
      <c r="AG4064"/>
      <c r="AH4064"/>
      <c r="AI4064"/>
      <c r="AJ4064"/>
      <c r="AK4064"/>
    </row>
    <row r="4065" spans="1:37" ht="13.05" customHeight="1" x14ac:dyDescent="0.25">
      <c r="A4065"/>
      <c r="C4065" s="191"/>
      <c r="D4065" s="191"/>
      <c r="F4065"/>
      <c r="G4065"/>
      <c r="H4065" s="36"/>
      <c r="I4065" s="125"/>
      <c r="S4065" s="4"/>
      <c r="T4065" s="124"/>
      <c r="U4065" s="22"/>
      <c r="V4065" s="22"/>
      <c r="W4065" s="78"/>
      <c r="X4065" s="78"/>
      <c r="AF4065"/>
      <c r="AG4065"/>
      <c r="AH4065"/>
      <c r="AI4065"/>
      <c r="AJ4065"/>
      <c r="AK4065"/>
    </row>
    <row r="4066" spans="1:37" ht="13.05" customHeight="1" x14ac:dyDescent="0.25">
      <c r="A4066"/>
      <c r="C4066" s="191"/>
      <c r="D4066" s="191"/>
      <c r="F4066"/>
      <c r="G4066"/>
      <c r="H4066" s="36"/>
      <c r="I4066" s="125"/>
      <c r="S4066" s="4"/>
      <c r="T4066" s="124"/>
      <c r="U4066" s="22"/>
      <c r="V4066" s="22"/>
      <c r="W4066" s="78"/>
      <c r="X4066" s="78"/>
      <c r="AF4066"/>
      <c r="AG4066"/>
      <c r="AH4066"/>
      <c r="AI4066"/>
      <c r="AJ4066"/>
      <c r="AK4066"/>
    </row>
    <row r="4067" spans="1:37" ht="13.05" customHeight="1" x14ac:dyDescent="0.25">
      <c r="A4067"/>
      <c r="C4067" s="191"/>
      <c r="D4067" s="191"/>
      <c r="F4067"/>
      <c r="G4067"/>
      <c r="H4067" s="36"/>
      <c r="I4067" s="125"/>
      <c r="S4067" s="4"/>
      <c r="T4067" s="124"/>
      <c r="U4067" s="22"/>
      <c r="V4067" s="22"/>
      <c r="W4067" s="78"/>
      <c r="X4067" s="78"/>
      <c r="AF4067"/>
      <c r="AG4067"/>
      <c r="AH4067"/>
      <c r="AI4067"/>
      <c r="AJ4067"/>
      <c r="AK4067"/>
    </row>
    <row r="4068" spans="1:37" ht="13.05" customHeight="1" x14ac:dyDescent="0.25">
      <c r="A4068"/>
      <c r="C4068" s="191"/>
      <c r="D4068" s="191"/>
      <c r="F4068"/>
      <c r="G4068"/>
      <c r="H4068" s="36"/>
      <c r="I4068" s="125"/>
      <c r="S4068" s="4"/>
      <c r="T4068" s="124"/>
      <c r="U4068" s="22"/>
      <c r="V4068" s="22"/>
      <c r="W4068" s="78"/>
      <c r="X4068" s="78"/>
      <c r="AF4068"/>
      <c r="AG4068"/>
      <c r="AH4068"/>
      <c r="AI4068"/>
      <c r="AJ4068"/>
      <c r="AK4068"/>
    </row>
    <row r="4069" spans="1:37" ht="13.05" customHeight="1" x14ac:dyDescent="0.25">
      <c r="A4069"/>
      <c r="C4069" s="191"/>
      <c r="D4069" s="191"/>
      <c r="F4069"/>
      <c r="G4069"/>
      <c r="H4069" s="36"/>
      <c r="I4069" s="125"/>
      <c r="S4069" s="4"/>
      <c r="T4069" s="124"/>
      <c r="U4069" s="22"/>
      <c r="V4069" s="22"/>
      <c r="W4069" s="78"/>
      <c r="X4069" s="78"/>
      <c r="AF4069"/>
      <c r="AG4069"/>
      <c r="AH4069"/>
      <c r="AI4069"/>
      <c r="AJ4069"/>
      <c r="AK4069"/>
    </row>
    <row r="4070" spans="1:37" ht="13.05" customHeight="1" x14ac:dyDescent="0.25">
      <c r="A4070"/>
      <c r="C4070" s="191"/>
      <c r="D4070" s="191"/>
      <c r="F4070"/>
      <c r="G4070"/>
      <c r="H4070" s="36"/>
      <c r="I4070" s="125"/>
      <c r="S4070" s="4"/>
      <c r="T4070" s="124"/>
      <c r="U4070" s="22"/>
      <c r="V4070" s="22"/>
      <c r="W4070" s="78"/>
      <c r="X4070" s="78"/>
      <c r="AF4070"/>
      <c r="AG4070"/>
      <c r="AH4070"/>
      <c r="AI4070"/>
      <c r="AJ4070"/>
      <c r="AK4070"/>
    </row>
    <row r="4071" spans="1:37" ht="13.05" customHeight="1" x14ac:dyDescent="0.25">
      <c r="A4071"/>
      <c r="C4071" s="191"/>
      <c r="D4071" s="191"/>
      <c r="F4071"/>
      <c r="G4071"/>
      <c r="H4071" s="36"/>
      <c r="I4071" s="125"/>
      <c r="S4071" s="4"/>
      <c r="T4071" s="124"/>
      <c r="U4071" s="22"/>
      <c r="V4071" s="22"/>
      <c r="W4071" s="78"/>
      <c r="X4071" s="78"/>
      <c r="AF4071"/>
      <c r="AG4071"/>
      <c r="AH4071"/>
      <c r="AI4071"/>
      <c r="AJ4071"/>
      <c r="AK4071"/>
    </row>
    <row r="4072" spans="1:37" ht="13.05" customHeight="1" x14ac:dyDescent="0.25">
      <c r="A4072"/>
      <c r="C4072" s="191"/>
      <c r="D4072" s="191"/>
      <c r="F4072"/>
      <c r="G4072"/>
      <c r="H4072" s="36"/>
      <c r="I4072" s="125"/>
      <c r="S4072" s="4"/>
      <c r="T4072" s="124"/>
      <c r="U4072" s="22"/>
      <c r="V4072" s="22"/>
      <c r="W4072" s="78"/>
      <c r="X4072" s="78"/>
      <c r="AF4072"/>
      <c r="AG4072"/>
      <c r="AH4072"/>
      <c r="AI4072"/>
      <c r="AJ4072"/>
      <c r="AK4072"/>
    </row>
    <row r="4073" spans="1:37" ht="13.05" customHeight="1" x14ac:dyDescent="0.25">
      <c r="A4073"/>
      <c r="C4073" s="191"/>
      <c r="D4073" s="191"/>
      <c r="F4073"/>
      <c r="G4073"/>
      <c r="H4073" s="36"/>
      <c r="I4073" s="125"/>
      <c r="S4073" s="4"/>
      <c r="T4073" s="124"/>
      <c r="U4073" s="22"/>
      <c r="V4073" s="22"/>
      <c r="W4073" s="78"/>
      <c r="X4073" s="78"/>
      <c r="AF4073"/>
      <c r="AG4073"/>
      <c r="AH4073"/>
      <c r="AI4073"/>
      <c r="AJ4073"/>
      <c r="AK4073"/>
    </row>
    <row r="4074" spans="1:37" ht="13.05" customHeight="1" x14ac:dyDescent="0.25">
      <c r="A4074"/>
      <c r="C4074" s="191"/>
      <c r="D4074" s="191"/>
      <c r="F4074"/>
      <c r="G4074"/>
      <c r="H4074" s="36"/>
      <c r="I4074" s="125"/>
      <c r="S4074" s="4"/>
      <c r="T4074" s="124"/>
      <c r="U4074" s="22"/>
      <c r="V4074" s="22"/>
      <c r="W4074" s="78"/>
      <c r="X4074" s="78"/>
      <c r="AF4074"/>
      <c r="AG4074"/>
      <c r="AH4074"/>
      <c r="AI4074"/>
      <c r="AJ4074"/>
      <c r="AK4074"/>
    </row>
    <row r="4075" spans="1:37" ht="13.05" customHeight="1" x14ac:dyDescent="0.25">
      <c r="A4075"/>
      <c r="C4075" s="191"/>
      <c r="D4075" s="191"/>
      <c r="F4075"/>
      <c r="G4075"/>
      <c r="H4075" s="36"/>
      <c r="I4075" s="125"/>
      <c r="S4075" s="4"/>
      <c r="T4075" s="124"/>
      <c r="U4075" s="22"/>
      <c r="V4075" s="22"/>
      <c r="W4075" s="78"/>
      <c r="X4075" s="78"/>
      <c r="AF4075"/>
      <c r="AG4075"/>
      <c r="AH4075"/>
      <c r="AI4075"/>
      <c r="AJ4075"/>
      <c r="AK4075"/>
    </row>
    <row r="4076" spans="1:37" ht="13.05" customHeight="1" x14ac:dyDescent="0.25">
      <c r="A4076"/>
      <c r="C4076" s="191"/>
      <c r="D4076" s="191"/>
      <c r="F4076"/>
      <c r="G4076"/>
      <c r="H4076" s="36"/>
      <c r="I4076" s="125"/>
      <c r="S4076" s="4"/>
      <c r="T4076" s="124"/>
      <c r="U4076" s="22"/>
      <c r="V4076" s="22"/>
      <c r="W4076" s="78"/>
      <c r="X4076" s="78"/>
      <c r="AF4076"/>
      <c r="AG4076"/>
      <c r="AH4076"/>
      <c r="AI4076"/>
      <c r="AJ4076"/>
      <c r="AK4076"/>
    </row>
    <row r="4077" spans="1:37" ht="13.05" customHeight="1" x14ac:dyDescent="0.25">
      <c r="A4077"/>
      <c r="C4077" s="191"/>
      <c r="D4077" s="191"/>
      <c r="F4077"/>
      <c r="G4077"/>
      <c r="H4077" s="36"/>
      <c r="I4077" s="125"/>
      <c r="S4077" s="4"/>
      <c r="T4077" s="124"/>
      <c r="U4077" s="22"/>
      <c r="V4077" s="22"/>
      <c r="W4077" s="78"/>
      <c r="X4077" s="78"/>
      <c r="AF4077"/>
      <c r="AG4077"/>
      <c r="AH4077"/>
      <c r="AI4077"/>
      <c r="AJ4077"/>
      <c r="AK4077"/>
    </row>
    <row r="4078" spans="1:37" ht="13.05" customHeight="1" x14ac:dyDescent="0.25">
      <c r="A4078"/>
      <c r="C4078" s="191"/>
      <c r="D4078" s="191"/>
      <c r="F4078"/>
      <c r="G4078"/>
      <c r="H4078" s="36"/>
      <c r="I4078" s="125"/>
      <c r="S4078" s="4"/>
      <c r="T4078" s="124"/>
      <c r="U4078" s="22"/>
      <c r="V4078" s="22"/>
      <c r="W4078" s="78"/>
      <c r="X4078" s="78"/>
      <c r="AF4078"/>
      <c r="AG4078"/>
      <c r="AH4078"/>
      <c r="AI4078"/>
      <c r="AJ4078"/>
      <c r="AK4078"/>
    </row>
    <row r="4079" spans="1:37" ht="13.05" customHeight="1" x14ac:dyDescent="0.25">
      <c r="A4079"/>
      <c r="C4079" s="191"/>
      <c r="D4079" s="191"/>
      <c r="F4079"/>
      <c r="G4079"/>
      <c r="H4079" s="36"/>
      <c r="I4079" s="125"/>
      <c r="S4079" s="4"/>
      <c r="T4079" s="124"/>
      <c r="U4079" s="22"/>
      <c r="V4079" s="22"/>
      <c r="W4079" s="78"/>
      <c r="X4079" s="78"/>
      <c r="AF4079"/>
      <c r="AG4079"/>
      <c r="AH4079"/>
      <c r="AI4079"/>
      <c r="AJ4079"/>
      <c r="AK4079"/>
    </row>
    <row r="4080" spans="1:37" ht="13.05" customHeight="1" x14ac:dyDescent="0.25">
      <c r="A4080"/>
      <c r="C4080" s="191"/>
      <c r="D4080" s="191"/>
      <c r="F4080"/>
      <c r="G4080"/>
      <c r="H4080" s="36"/>
      <c r="I4080" s="125"/>
      <c r="S4080" s="4"/>
      <c r="T4080" s="124"/>
      <c r="U4080" s="22"/>
      <c r="V4080" s="22"/>
      <c r="W4080" s="78"/>
      <c r="X4080" s="78"/>
      <c r="AF4080"/>
      <c r="AG4080"/>
      <c r="AH4080"/>
      <c r="AI4080"/>
      <c r="AJ4080"/>
      <c r="AK4080"/>
    </row>
    <row r="4081" spans="1:37" ht="13.05" customHeight="1" x14ac:dyDescent="0.25">
      <c r="A4081"/>
      <c r="C4081" s="191"/>
      <c r="D4081" s="191"/>
      <c r="F4081"/>
      <c r="G4081"/>
      <c r="H4081" s="36"/>
      <c r="I4081" s="125"/>
      <c r="S4081" s="4"/>
      <c r="T4081" s="124"/>
      <c r="U4081" s="22"/>
      <c r="V4081" s="22"/>
      <c r="W4081" s="78"/>
      <c r="X4081" s="78"/>
      <c r="AF4081"/>
      <c r="AG4081"/>
      <c r="AH4081"/>
      <c r="AI4081"/>
      <c r="AJ4081"/>
      <c r="AK4081"/>
    </row>
    <row r="4082" spans="1:37" ht="13.05" customHeight="1" x14ac:dyDescent="0.25">
      <c r="A4082"/>
      <c r="C4082" s="191"/>
      <c r="D4082" s="191"/>
      <c r="F4082"/>
      <c r="G4082"/>
      <c r="H4082" s="36"/>
      <c r="I4082" s="125"/>
      <c r="S4082" s="4"/>
      <c r="T4082" s="124"/>
      <c r="U4082" s="22"/>
      <c r="V4082" s="22"/>
      <c r="W4082" s="78"/>
      <c r="X4082" s="78"/>
      <c r="AF4082"/>
      <c r="AG4082"/>
      <c r="AH4082"/>
      <c r="AI4082"/>
      <c r="AJ4082"/>
      <c r="AK4082"/>
    </row>
    <row r="4083" spans="1:37" ht="13.05" customHeight="1" x14ac:dyDescent="0.25">
      <c r="A4083"/>
      <c r="C4083" s="191"/>
      <c r="D4083" s="191"/>
      <c r="F4083"/>
      <c r="G4083"/>
      <c r="H4083" s="36"/>
      <c r="I4083" s="125"/>
      <c r="S4083" s="4"/>
      <c r="T4083" s="124"/>
      <c r="U4083" s="22"/>
      <c r="V4083" s="22"/>
      <c r="W4083" s="78"/>
      <c r="X4083" s="78"/>
      <c r="AF4083"/>
      <c r="AG4083"/>
      <c r="AH4083"/>
      <c r="AI4083"/>
      <c r="AJ4083"/>
      <c r="AK4083"/>
    </row>
    <row r="4084" spans="1:37" ht="13.05" customHeight="1" x14ac:dyDescent="0.25">
      <c r="A4084"/>
      <c r="C4084" s="191"/>
      <c r="D4084" s="191"/>
      <c r="F4084"/>
      <c r="G4084"/>
      <c r="H4084" s="36"/>
      <c r="I4084" s="125"/>
      <c r="S4084" s="4"/>
      <c r="T4084" s="124"/>
      <c r="U4084" s="22"/>
      <c r="V4084" s="22"/>
      <c r="W4084" s="78"/>
      <c r="X4084" s="78"/>
      <c r="AF4084"/>
      <c r="AG4084"/>
      <c r="AH4084"/>
      <c r="AI4084"/>
      <c r="AJ4084"/>
      <c r="AK4084"/>
    </row>
    <row r="4085" spans="1:37" ht="13.05" customHeight="1" x14ac:dyDescent="0.25">
      <c r="A4085"/>
      <c r="C4085" s="191"/>
      <c r="D4085" s="191"/>
      <c r="F4085"/>
      <c r="G4085"/>
      <c r="H4085" s="36"/>
      <c r="I4085" s="125"/>
      <c r="S4085" s="4"/>
      <c r="T4085" s="124"/>
      <c r="U4085" s="22"/>
      <c r="V4085" s="22"/>
      <c r="W4085" s="78"/>
      <c r="X4085" s="78"/>
      <c r="AF4085"/>
      <c r="AG4085"/>
      <c r="AH4085"/>
      <c r="AI4085"/>
      <c r="AJ4085"/>
      <c r="AK4085"/>
    </row>
    <row r="4086" spans="1:37" ht="13.05" customHeight="1" x14ac:dyDescent="0.25">
      <c r="A4086"/>
      <c r="C4086" s="191"/>
      <c r="D4086" s="191"/>
      <c r="F4086"/>
      <c r="G4086"/>
      <c r="H4086" s="36"/>
      <c r="I4086" s="125"/>
      <c r="S4086" s="4"/>
      <c r="T4086" s="124"/>
      <c r="U4086" s="22"/>
      <c r="V4086" s="22"/>
      <c r="W4086" s="78"/>
      <c r="X4086" s="78"/>
      <c r="AF4086"/>
      <c r="AG4086"/>
      <c r="AH4086"/>
      <c r="AI4086"/>
      <c r="AJ4086"/>
      <c r="AK4086"/>
    </row>
    <row r="4087" spans="1:37" ht="13.05" customHeight="1" x14ac:dyDescent="0.25">
      <c r="A4087"/>
      <c r="C4087" s="191"/>
      <c r="D4087" s="191"/>
      <c r="F4087"/>
      <c r="G4087"/>
      <c r="H4087" s="36"/>
      <c r="I4087" s="125"/>
      <c r="S4087" s="4"/>
      <c r="T4087" s="124"/>
      <c r="U4087" s="22"/>
      <c r="V4087" s="22"/>
      <c r="W4087" s="78"/>
      <c r="X4087" s="78"/>
      <c r="AF4087"/>
      <c r="AG4087"/>
      <c r="AH4087"/>
      <c r="AI4087"/>
      <c r="AJ4087"/>
      <c r="AK4087"/>
    </row>
    <row r="4088" spans="1:37" ht="13.05" customHeight="1" x14ac:dyDescent="0.25">
      <c r="A4088"/>
      <c r="C4088" s="191"/>
      <c r="D4088" s="191"/>
      <c r="F4088"/>
      <c r="G4088"/>
      <c r="H4088" s="36"/>
      <c r="I4088" s="125"/>
      <c r="S4088" s="4"/>
      <c r="T4088" s="124"/>
      <c r="U4088" s="22"/>
      <c r="V4088" s="22"/>
      <c r="W4088" s="78"/>
      <c r="X4088" s="78"/>
      <c r="AF4088"/>
      <c r="AG4088"/>
      <c r="AH4088"/>
      <c r="AI4088"/>
      <c r="AJ4088"/>
      <c r="AK4088"/>
    </row>
    <row r="4089" spans="1:37" ht="13.05" customHeight="1" x14ac:dyDescent="0.25">
      <c r="A4089"/>
      <c r="C4089" s="191"/>
      <c r="D4089" s="191"/>
      <c r="F4089"/>
      <c r="G4089"/>
      <c r="H4089" s="36"/>
      <c r="I4089" s="125"/>
      <c r="S4089" s="4"/>
      <c r="T4089" s="124"/>
      <c r="U4089" s="22"/>
      <c r="V4089" s="22"/>
      <c r="W4089" s="78"/>
      <c r="X4089" s="78"/>
      <c r="AF4089"/>
      <c r="AG4089"/>
      <c r="AH4089"/>
      <c r="AI4089"/>
      <c r="AJ4089"/>
      <c r="AK4089"/>
    </row>
    <row r="4090" spans="1:37" ht="13.05" customHeight="1" x14ac:dyDescent="0.25">
      <c r="A4090"/>
      <c r="C4090" s="191"/>
      <c r="D4090" s="191"/>
      <c r="F4090"/>
      <c r="G4090"/>
      <c r="H4090" s="36"/>
      <c r="I4090" s="125"/>
      <c r="S4090" s="4"/>
      <c r="T4090" s="124"/>
      <c r="U4090" s="22"/>
      <c r="V4090" s="22"/>
      <c r="W4090" s="78"/>
      <c r="X4090" s="78"/>
      <c r="AF4090"/>
      <c r="AG4090"/>
      <c r="AH4090"/>
      <c r="AI4090"/>
      <c r="AJ4090"/>
      <c r="AK4090"/>
    </row>
    <row r="4091" spans="1:37" ht="13.05" customHeight="1" x14ac:dyDescent="0.25">
      <c r="A4091"/>
      <c r="C4091" s="191"/>
      <c r="D4091" s="191"/>
      <c r="F4091"/>
      <c r="G4091"/>
      <c r="H4091" s="36"/>
      <c r="I4091" s="125"/>
      <c r="S4091" s="4"/>
      <c r="T4091" s="124"/>
      <c r="U4091" s="22"/>
      <c r="V4091" s="22"/>
      <c r="W4091" s="78"/>
      <c r="X4091" s="78"/>
      <c r="AF4091"/>
      <c r="AG4091"/>
      <c r="AH4091"/>
      <c r="AI4091"/>
      <c r="AJ4091"/>
      <c r="AK4091"/>
    </row>
    <row r="4092" spans="1:37" ht="13.05" customHeight="1" x14ac:dyDescent="0.25">
      <c r="A4092"/>
      <c r="C4092" s="191"/>
      <c r="D4092" s="191"/>
      <c r="F4092"/>
      <c r="G4092"/>
      <c r="H4092" s="36"/>
      <c r="I4092" s="125"/>
      <c r="S4092" s="4"/>
      <c r="T4092" s="124"/>
      <c r="U4092" s="22"/>
      <c r="V4092" s="22"/>
      <c r="W4092" s="78"/>
      <c r="X4092" s="78"/>
      <c r="AF4092"/>
      <c r="AG4092"/>
      <c r="AH4092"/>
      <c r="AI4092"/>
      <c r="AJ4092"/>
      <c r="AK4092"/>
    </row>
    <row r="4093" spans="1:37" ht="13.05" customHeight="1" x14ac:dyDescent="0.25">
      <c r="A4093"/>
      <c r="C4093" s="191"/>
      <c r="D4093" s="191"/>
      <c r="F4093"/>
      <c r="G4093"/>
      <c r="H4093" s="36"/>
      <c r="I4093" s="125"/>
      <c r="S4093" s="4"/>
      <c r="T4093" s="124"/>
      <c r="U4093" s="22"/>
      <c r="V4093" s="22"/>
      <c r="W4093" s="78"/>
      <c r="X4093" s="78"/>
      <c r="AF4093"/>
      <c r="AG4093"/>
      <c r="AH4093"/>
      <c r="AI4093"/>
      <c r="AJ4093"/>
      <c r="AK4093"/>
    </row>
    <row r="4094" spans="1:37" ht="13.05" customHeight="1" x14ac:dyDescent="0.25">
      <c r="A4094"/>
      <c r="C4094" s="191"/>
      <c r="D4094" s="191"/>
      <c r="F4094"/>
      <c r="G4094"/>
      <c r="H4094" s="36"/>
      <c r="I4094" s="125"/>
      <c r="S4094" s="4"/>
      <c r="T4094" s="124"/>
      <c r="U4094" s="22"/>
      <c r="V4094" s="22"/>
      <c r="W4094" s="78"/>
      <c r="X4094" s="78"/>
      <c r="AF4094"/>
      <c r="AG4094"/>
      <c r="AH4094"/>
      <c r="AI4094"/>
      <c r="AJ4094"/>
      <c r="AK4094"/>
    </row>
    <row r="4095" spans="1:37" ht="13.05" customHeight="1" x14ac:dyDescent="0.25">
      <c r="A4095"/>
      <c r="C4095" s="191"/>
      <c r="D4095" s="191"/>
      <c r="F4095"/>
      <c r="G4095"/>
      <c r="H4095" s="36"/>
      <c r="I4095" s="125"/>
      <c r="S4095" s="4"/>
      <c r="T4095" s="124"/>
      <c r="U4095" s="22"/>
      <c r="V4095" s="22"/>
      <c r="W4095" s="78"/>
      <c r="X4095" s="78"/>
      <c r="AF4095"/>
      <c r="AG4095"/>
      <c r="AH4095"/>
      <c r="AI4095"/>
      <c r="AJ4095"/>
      <c r="AK4095"/>
    </row>
    <row r="4096" spans="1:37" ht="13.05" customHeight="1" x14ac:dyDescent="0.25">
      <c r="A4096"/>
      <c r="C4096" s="191"/>
      <c r="D4096" s="191"/>
      <c r="F4096"/>
      <c r="G4096"/>
      <c r="H4096" s="36"/>
      <c r="I4096" s="125"/>
      <c r="S4096" s="4"/>
      <c r="T4096" s="124"/>
      <c r="U4096" s="22"/>
      <c r="V4096" s="22"/>
      <c r="W4096" s="78"/>
      <c r="X4096" s="78"/>
      <c r="AF4096"/>
      <c r="AG4096"/>
      <c r="AH4096"/>
      <c r="AI4096"/>
      <c r="AJ4096"/>
      <c r="AK4096"/>
    </row>
    <row r="4097" spans="1:37" ht="13.05" customHeight="1" x14ac:dyDescent="0.25">
      <c r="A4097"/>
      <c r="C4097" s="191"/>
      <c r="D4097" s="191"/>
      <c r="F4097"/>
      <c r="G4097"/>
      <c r="H4097" s="36"/>
      <c r="I4097" s="125"/>
      <c r="S4097" s="4"/>
      <c r="T4097" s="124"/>
      <c r="U4097" s="22"/>
      <c r="V4097" s="22"/>
      <c r="W4097" s="78"/>
      <c r="X4097" s="78"/>
      <c r="AF4097"/>
      <c r="AG4097"/>
      <c r="AH4097"/>
      <c r="AI4097"/>
      <c r="AJ4097"/>
      <c r="AK4097"/>
    </row>
    <row r="4098" spans="1:37" ht="13.05" customHeight="1" x14ac:dyDescent="0.25">
      <c r="A4098"/>
      <c r="C4098" s="191"/>
      <c r="D4098" s="191"/>
      <c r="F4098"/>
      <c r="G4098"/>
      <c r="H4098" s="36"/>
      <c r="I4098" s="125"/>
      <c r="S4098" s="4"/>
      <c r="T4098" s="124"/>
      <c r="U4098" s="22"/>
      <c r="V4098" s="22"/>
      <c r="W4098" s="78"/>
      <c r="X4098" s="78"/>
      <c r="AF4098"/>
      <c r="AG4098"/>
      <c r="AH4098"/>
      <c r="AI4098"/>
      <c r="AJ4098"/>
      <c r="AK4098"/>
    </row>
    <row r="4099" spans="1:37" ht="13.05" customHeight="1" x14ac:dyDescent="0.25">
      <c r="A4099"/>
      <c r="C4099" s="191"/>
      <c r="D4099" s="191"/>
      <c r="F4099"/>
      <c r="G4099"/>
      <c r="H4099" s="36"/>
      <c r="I4099" s="125"/>
      <c r="S4099" s="4"/>
      <c r="T4099" s="124"/>
      <c r="U4099" s="22"/>
      <c r="V4099" s="22"/>
      <c r="W4099" s="78"/>
      <c r="X4099" s="78"/>
      <c r="AF4099"/>
      <c r="AG4099"/>
      <c r="AH4099"/>
      <c r="AI4099"/>
      <c r="AJ4099"/>
      <c r="AK4099"/>
    </row>
    <row r="4100" spans="1:37" ht="13.05" customHeight="1" x14ac:dyDescent="0.25">
      <c r="A4100"/>
      <c r="C4100" s="191"/>
      <c r="D4100" s="191"/>
      <c r="F4100"/>
      <c r="G4100"/>
      <c r="H4100" s="36"/>
      <c r="I4100" s="125"/>
      <c r="S4100" s="4"/>
      <c r="T4100" s="124"/>
      <c r="U4100" s="22"/>
      <c r="V4100" s="22"/>
      <c r="W4100" s="78"/>
      <c r="X4100" s="78"/>
      <c r="AF4100"/>
      <c r="AG4100"/>
      <c r="AH4100"/>
      <c r="AI4100"/>
      <c r="AJ4100"/>
      <c r="AK4100"/>
    </row>
    <row r="4101" spans="1:37" ht="13.05" customHeight="1" x14ac:dyDescent="0.25">
      <c r="A4101"/>
      <c r="C4101" s="191"/>
      <c r="D4101" s="191"/>
      <c r="F4101"/>
      <c r="G4101"/>
      <c r="H4101" s="36"/>
      <c r="I4101" s="125"/>
      <c r="S4101" s="4"/>
      <c r="T4101" s="124"/>
      <c r="U4101" s="22"/>
      <c r="V4101" s="22"/>
      <c r="W4101" s="78"/>
      <c r="X4101" s="78"/>
      <c r="AF4101"/>
      <c r="AG4101"/>
      <c r="AH4101"/>
      <c r="AI4101"/>
      <c r="AJ4101"/>
      <c r="AK4101"/>
    </row>
    <row r="4102" spans="1:37" ht="13.05" customHeight="1" x14ac:dyDescent="0.25">
      <c r="A4102"/>
      <c r="C4102" s="191"/>
      <c r="D4102" s="191"/>
      <c r="F4102"/>
      <c r="G4102"/>
      <c r="H4102" s="36"/>
      <c r="I4102" s="125"/>
      <c r="S4102" s="4"/>
      <c r="T4102" s="124"/>
      <c r="U4102" s="22"/>
      <c r="V4102" s="22"/>
      <c r="W4102" s="78"/>
      <c r="X4102" s="78"/>
      <c r="AF4102"/>
      <c r="AG4102"/>
      <c r="AH4102"/>
      <c r="AI4102"/>
      <c r="AJ4102"/>
      <c r="AK4102"/>
    </row>
    <row r="4103" spans="1:37" ht="13.05" customHeight="1" x14ac:dyDescent="0.25">
      <c r="A4103"/>
      <c r="C4103" s="191"/>
      <c r="D4103" s="191"/>
      <c r="F4103"/>
      <c r="G4103"/>
      <c r="H4103" s="36"/>
      <c r="I4103" s="125"/>
      <c r="S4103" s="4"/>
      <c r="T4103" s="124"/>
      <c r="U4103" s="22"/>
      <c r="V4103" s="22"/>
      <c r="W4103" s="78"/>
      <c r="X4103" s="78"/>
      <c r="AF4103"/>
      <c r="AG4103"/>
      <c r="AH4103"/>
      <c r="AI4103"/>
      <c r="AJ4103"/>
      <c r="AK4103"/>
    </row>
    <row r="4104" spans="1:37" ht="13.05" customHeight="1" x14ac:dyDescent="0.25">
      <c r="A4104"/>
      <c r="C4104" s="191"/>
      <c r="D4104" s="191"/>
      <c r="F4104"/>
      <c r="G4104"/>
      <c r="H4104" s="36"/>
      <c r="I4104" s="125"/>
      <c r="S4104" s="4"/>
      <c r="T4104" s="124"/>
      <c r="U4104" s="22"/>
      <c r="V4104" s="22"/>
      <c r="W4104" s="78"/>
      <c r="X4104" s="78"/>
      <c r="AF4104"/>
      <c r="AG4104"/>
      <c r="AH4104"/>
      <c r="AI4104"/>
      <c r="AJ4104"/>
      <c r="AK4104"/>
    </row>
    <row r="4105" spans="1:37" ht="13.05" customHeight="1" x14ac:dyDescent="0.25">
      <c r="A4105"/>
      <c r="C4105" s="191"/>
      <c r="D4105" s="191"/>
      <c r="F4105"/>
      <c r="G4105"/>
      <c r="H4105" s="36"/>
      <c r="I4105" s="125"/>
      <c r="S4105" s="4"/>
      <c r="T4105" s="124"/>
      <c r="U4105" s="22"/>
      <c r="V4105" s="22"/>
      <c r="W4105" s="78"/>
      <c r="X4105" s="78"/>
      <c r="AF4105"/>
      <c r="AG4105"/>
      <c r="AH4105"/>
      <c r="AI4105"/>
      <c r="AJ4105"/>
      <c r="AK4105"/>
    </row>
    <row r="4106" spans="1:37" ht="13.05" customHeight="1" x14ac:dyDescent="0.25">
      <c r="A4106"/>
      <c r="C4106" s="191"/>
      <c r="D4106" s="191"/>
      <c r="F4106"/>
      <c r="G4106"/>
      <c r="H4106" s="36"/>
      <c r="I4106" s="125"/>
      <c r="S4106" s="4"/>
      <c r="T4106" s="124"/>
      <c r="U4106" s="22"/>
      <c r="V4106" s="22"/>
      <c r="W4106" s="78"/>
      <c r="X4106" s="78"/>
      <c r="AF4106"/>
      <c r="AG4106"/>
      <c r="AH4106"/>
      <c r="AI4106"/>
      <c r="AJ4106"/>
      <c r="AK4106"/>
    </row>
    <row r="4107" spans="1:37" ht="13.05" customHeight="1" x14ac:dyDescent="0.25">
      <c r="A4107"/>
      <c r="C4107" s="191"/>
      <c r="D4107" s="191"/>
      <c r="F4107"/>
      <c r="G4107"/>
      <c r="H4107" s="36"/>
      <c r="I4107" s="125"/>
      <c r="S4107" s="4"/>
      <c r="T4107" s="124"/>
      <c r="U4107" s="22"/>
      <c r="V4107" s="22"/>
      <c r="W4107" s="78"/>
      <c r="X4107" s="78"/>
      <c r="AF4107"/>
      <c r="AG4107"/>
      <c r="AH4107"/>
      <c r="AI4107"/>
      <c r="AJ4107"/>
      <c r="AK4107"/>
    </row>
    <row r="4108" spans="1:37" ht="13.05" customHeight="1" x14ac:dyDescent="0.25">
      <c r="A4108"/>
      <c r="C4108" s="191"/>
      <c r="D4108" s="191"/>
      <c r="F4108"/>
      <c r="G4108"/>
      <c r="H4108" s="36"/>
      <c r="I4108" s="125"/>
      <c r="S4108" s="4"/>
      <c r="T4108" s="124"/>
      <c r="U4108" s="22"/>
      <c r="V4108" s="22"/>
      <c r="W4108" s="78"/>
      <c r="X4108" s="78"/>
      <c r="AF4108"/>
      <c r="AG4108"/>
      <c r="AH4108"/>
      <c r="AI4108"/>
      <c r="AJ4108"/>
      <c r="AK4108"/>
    </row>
    <row r="4109" spans="1:37" ht="13.05" customHeight="1" x14ac:dyDescent="0.25">
      <c r="A4109"/>
      <c r="C4109" s="191"/>
      <c r="D4109" s="191"/>
      <c r="F4109"/>
      <c r="G4109"/>
      <c r="H4109" s="36"/>
      <c r="I4109" s="125"/>
      <c r="S4109" s="4"/>
      <c r="T4109" s="124"/>
      <c r="U4109" s="22"/>
      <c r="V4109" s="22"/>
      <c r="W4109" s="78"/>
      <c r="X4109" s="78"/>
      <c r="AF4109"/>
      <c r="AG4109"/>
      <c r="AH4109"/>
      <c r="AI4109"/>
      <c r="AJ4109"/>
      <c r="AK4109"/>
    </row>
    <row r="4110" spans="1:37" ht="13.05" customHeight="1" x14ac:dyDescent="0.25">
      <c r="A4110"/>
      <c r="C4110" s="191"/>
      <c r="D4110" s="191"/>
      <c r="F4110"/>
      <c r="G4110"/>
      <c r="H4110" s="36"/>
      <c r="I4110" s="125"/>
      <c r="S4110" s="4"/>
      <c r="T4110" s="124"/>
      <c r="U4110" s="22"/>
      <c r="V4110" s="22"/>
      <c r="W4110" s="78"/>
      <c r="X4110" s="78"/>
      <c r="AF4110"/>
      <c r="AG4110"/>
      <c r="AH4110"/>
      <c r="AI4110"/>
      <c r="AJ4110"/>
      <c r="AK4110"/>
    </row>
    <row r="4111" spans="1:37" ht="13.05" customHeight="1" x14ac:dyDescent="0.25">
      <c r="A4111"/>
      <c r="C4111" s="191"/>
      <c r="D4111" s="191"/>
      <c r="F4111"/>
      <c r="G4111"/>
      <c r="H4111" s="36"/>
      <c r="I4111" s="125"/>
      <c r="S4111" s="4"/>
      <c r="T4111" s="124"/>
      <c r="U4111" s="22"/>
      <c r="V4111" s="22"/>
      <c r="W4111" s="78"/>
      <c r="X4111" s="78"/>
      <c r="AF4111"/>
      <c r="AG4111"/>
      <c r="AH4111"/>
      <c r="AI4111"/>
      <c r="AJ4111"/>
      <c r="AK4111"/>
    </row>
    <row r="4112" spans="1:37" ht="13.05" customHeight="1" x14ac:dyDescent="0.25">
      <c r="A4112"/>
      <c r="C4112" s="191"/>
      <c r="D4112" s="191"/>
      <c r="F4112"/>
      <c r="G4112"/>
      <c r="H4112" s="36"/>
      <c r="I4112" s="125"/>
      <c r="S4112" s="4"/>
      <c r="T4112" s="124"/>
      <c r="U4112" s="22"/>
      <c r="V4112" s="22"/>
      <c r="W4112" s="78"/>
      <c r="X4112" s="78"/>
      <c r="AF4112"/>
      <c r="AG4112"/>
      <c r="AH4112"/>
      <c r="AI4112"/>
      <c r="AJ4112"/>
      <c r="AK4112"/>
    </row>
    <row r="4113" spans="1:37" ht="13.05" customHeight="1" x14ac:dyDescent="0.25">
      <c r="A4113"/>
      <c r="C4113" s="191"/>
      <c r="D4113" s="191"/>
      <c r="F4113"/>
      <c r="G4113"/>
      <c r="H4113" s="36"/>
      <c r="I4113" s="125"/>
      <c r="S4113" s="4"/>
      <c r="T4113" s="124"/>
      <c r="U4113" s="22"/>
      <c r="V4113" s="22"/>
      <c r="W4113" s="78"/>
      <c r="X4113" s="78"/>
      <c r="AF4113"/>
      <c r="AG4113"/>
      <c r="AH4113"/>
      <c r="AI4113"/>
      <c r="AJ4113"/>
      <c r="AK4113"/>
    </row>
    <row r="4114" spans="1:37" ht="13.05" customHeight="1" x14ac:dyDescent="0.25">
      <c r="A4114"/>
      <c r="C4114" s="191"/>
      <c r="D4114" s="191"/>
      <c r="F4114"/>
      <c r="G4114"/>
      <c r="H4114" s="36"/>
      <c r="I4114" s="125"/>
      <c r="S4114" s="4"/>
      <c r="T4114" s="124"/>
      <c r="U4114" s="22"/>
      <c r="V4114" s="22"/>
      <c r="W4114" s="78"/>
      <c r="X4114" s="78"/>
      <c r="AF4114"/>
      <c r="AG4114"/>
      <c r="AH4114"/>
      <c r="AI4114"/>
      <c r="AJ4114"/>
      <c r="AK4114"/>
    </row>
    <row r="4115" spans="1:37" ht="13.05" customHeight="1" x14ac:dyDescent="0.25">
      <c r="A4115"/>
      <c r="C4115" s="191"/>
      <c r="D4115" s="191"/>
      <c r="F4115"/>
      <c r="G4115"/>
      <c r="H4115" s="36"/>
      <c r="I4115" s="125"/>
      <c r="S4115" s="4"/>
      <c r="T4115" s="124"/>
      <c r="U4115" s="22"/>
      <c r="V4115" s="22"/>
      <c r="W4115" s="78"/>
      <c r="X4115" s="78"/>
      <c r="AF4115"/>
      <c r="AG4115"/>
      <c r="AH4115"/>
      <c r="AI4115"/>
      <c r="AJ4115"/>
      <c r="AK4115"/>
    </row>
    <row r="4116" spans="1:37" ht="13.05" customHeight="1" x14ac:dyDescent="0.25">
      <c r="A4116"/>
      <c r="C4116" s="191"/>
      <c r="D4116" s="191"/>
      <c r="F4116"/>
      <c r="G4116"/>
      <c r="H4116" s="36"/>
      <c r="I4116" s="125"/>
      <c r="S4116" s="4"/>
      <c r="T4116" s="124"/>
      <c r="U4116" s="22"/>
      <c r="V4116" s="22"/>
      <c r="W4116" s="78"/>
      <c r="X4116" s="78"/>
      <c r="AF4116"/>
      <c r="AG4116"/>
      <c r="AH4116"/>
      <c r="AI4116"/>
      <c r="AJ4116"/>
      <c r="AK4116"/>
    </row>
    <row r="4117" spans="1:37" ht="13.05" customHeight="1" x14ac:dyDescent="0.25">
      <c r="A4117"/>
      <c r="C4117" s="191"/>
      <c r="D4117" s="191"/>
      <c r="F4117"/>
      <c r="G4117"/>
      <c r="H4117" s="36"/>
      <c r="I4117" s="125"/>
      <c r="S4117" s="4"/>
      <c r="T4117" s="124"/>
      <c r="U4117" s="22"/>
      <c r="V4117" s="22"/>
      <c r="W4117" s="78"/>
      <c r="X4117" s="78"/>
      <c r="AF4117"/>
      <c r="AG4117"/>
      <c r="AH4117"/>
      <c r="AI4117"/>
      <c r="AJ4117"/>
      <c r="AK4117"/>
    </row>
    <row r="4118" spans="1:37" ht="13.05" customHeight="1" x14ac:dyDescent="0.25">
      <c r="A4118"/>
      <c r="C4118" s="191"/>
      <c r="D4118" s="191"/>
      <c r="F4118"/>
      <c r="G4118"/>
      <c r="H4118" s="36"/>
      <c r="I4118" s="125"/>
      <c r="S4118" s="4"/>
      <c r="T4118" s="124"/>
      <c r="U4118" s="22"/>
      <c r="V4118" s="22"/>
      <c r="W4118" s="78"/>
      <c r="X4118" s="78"/>
      <c r="AF4118"/>
      <c r="AG4118"/>
      <c r="AH4118"/>
      <c r="AI4118"/>
      <c r="AJ4118"/>
      <c r="AK4118"/>
    </row>
    <row r="4119" spans="1:37" ht="13.05" customHeight="1" x14ac:dyDescent="0.25">
      <c r="A4119"/>
      <c r="C4119" s="191"/>
      <c r="D4119" s="191"/>
      <c r="F4119"/>
      <c r="G4119"/>
      <c r="H4119" s="36"/>
      <c r="I4119" s="125"/>
      <c r="S4119" s="4"/>
      <c r="T4119" s="124"/>
      <c r="U4119" s="22"/>
      <c r="V4119" s="22"/>
      <c r="W4119" s="78"/>
      <c r="X4119" s="78"/>
      <c r="AF4119"/>
      <c r="AG4119"/>
      <c r="AH4119"/>
      <c r="AI4119"/>
      <c r="AJ4119"/>
      <c r="AK4119"/>
    </row>
    <row r="4120" spans="1:37" ht="13.05" customHeight="1" x14ac:dyDescent="0.25">
      <c r="A4120"/>
      <c r="C4120" s="191"/>
      <c r="D4120" s="191"/>
      <c r="F4120"/>
      <c r="G4120"/>
      <c r="H4120" s="36"/>
      <c r="I4120" s="125"/>
      <c r="S4120" s="4"/>
      <c r="T4120" s="124"/>
      <c r="U4120" s="22"/>
      <c r="V4120" s="22"/>
      <c r="W4120" s="78"/>
      <c r="X4120" s="78"/>
      <c r="AF4120"/>
      <c r="AG4120"/>
      <c r="AH4120"/>
      <c r="AI4120"/>
      <c r="AJ4120"/>
      <c r="AK4120"/>
    </row>
    <row r="4121" spans="1:37" ht="13.05" customHeight="1" x14ac:dyDescent="0.25">
      <c r="A4121"/>
      <c r="C4121" s="191"/>
      <c r="D4121" s="191"/>
      <c r="F4121"/>
      <c r="G4121"/>
      <c r="H4121" s="36"/>
      <c r="I4121" s="125"/>
      <c r="S4121" s="4"/>
      <c r="T4121" s="124"/>
      <c r="U4121" s="22"/>
      <c r="V4121" s="22"/>
      <c r="W4121" s="78"/>
      <c r="X4121" s="78"/>
      <c r="AF4121"/>
      <c r="AG4121"/>
      <c r="AH4121"/>
      <c r="AI4121"/>
      <c r="AJ4121"/>
      <c r="AK4121"/>
    </row>
    <row r="4122" spans="1:37" ht="13.05" customHeight="1" x14ac:dyDescent="0.25">
      <c r="A4122"/>
      <c r="C4122" s="191"/>
      <c r="D4122" s="191"/>
      <c r="F4122"/>
      <c r="G4122"/>
      <c r="H4122" s="36"/>
      <c r="I4122" s="125"/>
      <c r="S4122" s="4"/>
      <c r="T4122" s="124"/>
      <c r="U4122" s="22"/>
      <c r="V4122" s="22"/>
      <c r="W4122" s="78"/>
      <c r="X4122" s="78"/>
      <c r="AF4122"/>
      <c r="AG4122"/>
      <c r="AH4122"/>
      <c r="AI4122"/>
      <c r="AJ4122"/>
      <c r="AK4122"/>
    </row>
    <row r="4123" spans="1:37" ht="13.05" customHeight="1" x14ac:dyDescent="0.25">
      <c r="A4123"/>
      <c r="C4123" s="191"/>
      <c r="D4123" s="191"/>
      <c r="F4123"/>
      <c r="G4123"/>
      <c r="H4123" s="36"/>
      <c r="I4123" s="125"/>
      <c r="S4123" s="4"/>
      <c r="T4123" s="124"/>
      <c r="U4123" s="22"/>
      <c r="V4123" s="22"/>
      <c r="W4123" s="78"/>
      <c r="X4123" s="78"/>
      <c r="AF4123"/>
      <c r="AG4123"/>
      <c r="AH4123"/>
      <c r="AI4123"/>
      <c r="AJ4123"/>
      <c r="AK4123"/>
    </row>
    <row r="4124" spans="1:37" ht="13.05" customHeight="1" x14ac:dyDescent="0.25">
      <c r="A4124"/>
      <c r="C4124" s="191"/>
      <c r="D4124" s="191"/>
      <c r="F4124"/>
      <c r="G4124"/>
      <c r="H4124" s="36"/>
      <c r="I4124" s="125"/>
      <c r="S4124" s="4"/>
      <c r="T4124" s="124"/>
      <c r="U4124" s="22"/>
      <c r="V4124" s="22"/>
      <c r="W4124" s="78"/>
      <c r="X4124" s="78"/>
      <c r="AF4124"/>
      <c r="AG4124"/>
      <c r="AH4124"/>
      <c r="AI4124"/>
      <c r="AJ4124"/>
      <c r="AK4124"/>
    </row>
    <row r="4125" spans="1:37" ht="13.05" customHeight="1" x14ac:dyDescent="0.25">
      <c r="A4125"/>
      <c r="C4125" s="191"/>
      <c r="D4125" s="191"/>
      <c r="F4125"/>
      <c r="G4125"/>
      <c r="H4125" s="36"/>
      <c r="I4125" s="125"/>
      <c r="S4125" s="4"/>
      <c r="T4125" s="124"/>
      <c r="U4125" s="22"/>
      <c r="V4125" s="22"/>
      <c r="W4125" s="78"/>
      <c r="X4125" s="78"/>
      <c r="AF4125"/>
      <c r="AG4125"/>
      <c r="AH4125"/>
      <c r="AI4125"/>
      <c r="AJ4125"/>
      <c r="AK4125"/>
    </row>
    <row r="4126" spans="1:37" ht="13.05" customHeight="1" x14ac:dyDescent="0.25">
      <c r="A4126"/>
      <c r="C4126" s="191"/>
      <c r="D4126" s="191"/>
      <c r="F4126"/>
      <c r="G4126"/>
      <c r="H4126" s="36"/>
      <c r="I4126" s="125"/>
      <c r="S4126" s="4"/>
      <c r="T4126" s="124"/>
      <c r="U4126" s="22"/>
      <c r="V4126" s="22"/>
      <c r="W4126" s="78"/>
      <c r="X4126" s="78"/>
      <c r="AF4126"/>
      <c r="AG4126"/>
      <c r="AH4126"/>
      <c r="AI4126"/>
      <c r="AJ4126"/>
      <c r="AK4126"/>
    </row>
    <row r="4127" spans="1:37" ht="13.05" customHeight="1" x14ac:dyDescent="0.25">
      <c r="A4127"/>
      <c r="C4127" s="191"/>
      <c r="D4127" s="191"/>
      <c r="F4127"/>
      <c r="G4127"/>
      <c r="H4127" s="36"/>
      <c r="I4127" s="125"/>
      <c r="S4127" s="4"/>
      <c r="T4127" s="124"/>
      <c r="U4127" s="22"/>
      <c r="V4127" s="22"/>
      <c r="W4127" s="78"/>
      <c r="X4127" s="78"/>
      <c r="AF4127"/>
      <c r="AG4127"/>
      <c r="AH4127"/>
      <c r="AI4127"/>
      <c r="AJ4127"/>
      <c r="AK4127"/>
    </row>
    <row r="4128" spans="1:37" ht="13.05" customHeight="1" x14ac:dyDescent="0.25">
      <c r="A4128"/>
      <c r="C4128" s="191"/>
      <c r="D4128" s="191"/>
      <c r="F4128"/>
      <c r="G4128"/>
      <c r="H4128" s="36"/>
      <c r="I4128" s="125"/>
      <c r="S4128" s="4"/>
      <c r="T4128" s="124"/>
      <c r="U4128" s="22"/>
      <c r="V4128" s="22"/>
      <c r="W4128" s="78"/>
      <c r="X4128" s="78"/>
      <c r="AF4128"/>
      <c r="AG4128"/>
      <c r="AH4128"/>
      <c r="AI4128"/>
      <c r="AJ4128"/>
      <c r="AK4128"/>
    </row>
    <row r="4129" spans="1:37" ht="13.05" customHeight="1" x14ac:dyDescent="0.25">
      <c r="A4129"/>
      <c r="C4129" s="191"/>
      <c r="D4129" s="191"/>
      <c r="F4129"/>
      <c r="G4129"/>
      <c r="H4129" s="36"/>
      <c r="I4129" s="125"/>
      <c r="S4129" s="4"/>
      <c r="T4129" s="124"/>
      <c r="U4129" s="22"/>
      <c r="V4129" s="22"/>
      <c r="W4129" s="78"/>
      <c r="X4129" s="78"/>
      <c r="AF4129"/>
      <c r="AG4129"/>
      <c r="AH4129"/>
      <c r="AI4129"/>
      <c r="AJ4129"/>
      <c r="AK4129"/>
    </row>
    <row r="4130" spans="1:37" ht="13.05" customHeight="1" x14ac:dyDescent="0.25">
      <c r="A4130"/>
      <c r="C4130" s="191"/>
      <c r="D4130" s="191"/>
      <c r="F4130"/>
      <c r="G4130"/>
      <c r="H4130" s="36"/>
      <c r="I4130" s="125"/>
      <c r="S4130" s="4"/>
      <c r="T4130" s="124"/>
      <c r="U4130" s="22"/>
      <c r="V4130" s="22"/>
      <c r="W4130" s="78"/>
      <c r="X4130" s="78"/>
      <c r="AF4130"/>
      <c r="AG4130"/>
      <c r="AH4130"/>
      <c r="AI4130"/>
      <c r="AJ4130"/>
      <c r="AK4130"/>
    </row>
    <row r="4131" spans="1:37" ht="13.05" customHeight="1" x14ac:dyDescent="0.25">
      <c r="A4131"/>
      <c r="C4131" s="191"/>
      <c r="D4131" s="191"/>
      <c r="F4131"/>
      <c r="G4131"/>
      <c r="H4131" s="36"/>
      <c r="I4131" s="125"/>
      <c r="S4131" s="4"/>
      <c r="T4131" s="124"/>
      <c r="U4131" s="22"/>
      <c r="V4131" s="22"/>
      <c r="W4131" s="78"/>
      <c r="X4131" s="78"/>
      <c r="AF4131"/>
      <c r="AG4131"/>
      <c r="AH4131"/>
      <c r="AI4131"/>
      <c r="AJ4131"/>
      <c r="AK4131"/>
    </row>
    <row r="4132" spans="1:37" ht="13.05" customHeight="1" x14ac:dyDescent="0.25">
      <c r="A4132"/>
      <c r="C4132" s="191"/>
      <c r="D4132" s="191"/>
      <c r="F4132"/>
      <c r="G4132"/>
      <c r="H4132" s="36"/>
      <c r="I4132" s="125"/>
      <c r="S4132" s="4"/>
      <c r="T4132" s="124"/>
      <c r="U4132" s="22"/>
      <c r="V4132" s="22"/>
      <c r="W4132" s="78"/>
      <c r="X4132" s="78"/>
      <c r="AF4132"/>
      <c r="AG4132"/>
      <c r="AH4132"/>
      <c r="AI4132"/>
      <c r="AJ4132"/>
      <c r="AK4132"/>
    </row>
    <row r="4133" spans="1:37" ht="13.05" customHeight="1" x14ac:dyDescent="0.25">
      <c r="A4133"/>
      <c r="C4133" s="191"/>
      <c r="D4133" s="191"/>
      <c r="F4133"/>
      <c r="G4133"/>
      <c r="H4133" s="36"/>
      <c r="I4133" s="125"/>
      <c r="S4133" s="4"/>
      <c r="T4133" s="124"/>
      <c r="U4133" s="22"/>
      <c r="V4133" s="22"/>
      <c r="W4133" s="78"/>
      <c r="X4133" s="78"/>
      <c r="AF4133"/>
      <c r="AG4133"/>
      <c r="AH4133"/>
      <c r="AI4133"/>
      <c r="AJ4133"/>
      <c r="AK4133"/>
    </row>
    <row r="4134" spans="1:37" ht="13.05" customHeight="1" x14ac:dyDescent="0.25">
      <c r="A4134"/>
      <c r="C4134" s="191"/>
      <c r="D4134" s="191"/>
      <c r="F4134"/>
      <c r="G4134"/>
      <c r="H4134" s="36"/>
      <c r="I4134" s="125"/>
      <c r="S4134" s="4"/>
      <c r="T4134" s="124"/>
      <c r="U4134" s="22"/>
      <c r="V4134" s="22"/>
      <c r="W4134" s="78"/>
      <c r="X4134" s="78"/>
      <c r="AF4134"/>
      <c r="AG4134"/>
      <c r="AH4134"/>
      <c r="AI4134"/>
      <c r="AJ4134"/>
      <c r="AK4134"/>
    </row>
    <row r="4135" spans="1:37" ht="13.05" customHeight="1" x14ac:dyDescent="0.25">
      <c r="A4135"/>
      <c r="C4135" s="191"/>
      <c r="D4135" s="191"/>
      <c r="F4135"/>
      <c r="G4135"/>
      <c r="H4135" s="36"/>
      <c r="I4135" s="125"/>
      <c r="S4135" s="4"/>
      <c r="T4135" s="124"/>
      <c r="U4135" s="22"/>
      <c r="V4135" s="22"/>
      <c r="W4135" s="78"/>
      <c r="X4135" s="78"/>
      <c r="AF4135"/>
      <c r="AG4135"/>
      <c r="AH4135"/>
      <c r="AI4135"/>
      <c r="AJ4135"/>
      <c r="AK4135"/>
    </row>
    <row r="4136" spans="1:37" ht="13.05" customHeight="1" x14ac:dyDescent="0.25">
      <c r="A4136"/>
      <c r="C4136" s="191"/>
      <c r="D4136" s="191"/>
      <c r="F4136"/>
      <c r="G4136"/>
      <c r="H4136" s="36"/>
      <c r="I4136" s="125"/>
      <c r="S4136" s="4"/>
      <c r="T4136" s="124"/>
      <c r="U4136" s="22"/>
      <c r="V4136" s="22"/>
      <c r="W4136" s="78"/>
      <c r="X4136" s="78"/>
      <c r="AF4136"/>
      <c r="AG4136"/>
      <c r="AH4136"/>
      <c r="AI4136"/>
      <c r="AJ4136"/>
      <c r="AK4136"/>
    </row>
    <row r="4137" spans="1:37" ht="13.05" customHeight="1" x14ac:dyDescent="0.25">
      <c r="A4137"/>
      <c r="C4137" s="191"/>
      <c r="D4137" s="191"/>
      <c r="F4137"/>
      <c r="G4137"/>
      <c r="H4137" s="36"/>
      <c r="I4137" s="125"/>
      <c r="S4137" s="4"/>
      <c r="T4137" s="124"/>
      <c r="U4137" s="22"/>
      <c r="V4137" s="22"/>
      <c r="W4137" s="78"/>
      <c r="X4137" s="78"/>
      <c r="AF4137"/>
      <c r="AG4137"/>
      <c r="AH4137"/>
      <c r="AI4137"/>
      <c r="AJ4137"/>
      <c r="AK4137"/>
    </row>
    <row r="4138" spans="1:37" ht="13.05" customHeight="1" x14ac:dyDescent="0.25">
      <c r="A4138"/>
      <c r="C4138" s="191"/>
      <c r="D4138" s="191"/>
      <c r="F4138"/>
      <c r="G4138"/>
      <c r="H4138" s="36"/>
      <c r="I4138" s="125"/>
      <c r="S4138" s="4"/>
      <c r="T4138" s="124"/>
      <c r="U4138" s="22"/>
      <c r="V4138" s="22"/>
      <c r="W4138" s="78"/>
      <c r="X4138" s="78"/>
      <c r="AF4138"/>
      <c r="AG4138"/>
      <c r="AH4138"/>
      <c r="AI4138"/>
      <c r="AJ4138"/>
      <c r="AK4138"/>
    </row>
    <row r="4139" spans="1:37" ht="13.05" customHeight="1" x14ac:dyDescent="0.25">
      <c r="A4139"/>
      <c r="C4139" s="191"/>
      <c r="D4139" s="191"/>
      <c r="F4139"/>
      <c r="G4139"/>
      <c r="H4139" s="36"/>
      <c r="I4139" s="125"/>
      <c r="S4139" s="4"/>
      <c r="T4139" s="124"/>
      <c r="U4139" s="22"/>
      <c r="V4139" s="22"/>
      <c r="W4139" s="78"/>
      <c r="X4139" s="78"/>
      <c r="AF4139"/>
      <c r="AG4139"/>
      <c r="AH4139"/>
      <c r="AI4139"/>
      <c r="AJ4139"/>
      <c r="AK4139"/>
    </row>
    <row r="4140" spans="1:37" ht="13.05" customHeight="1" x14ac:dyDescent="0.25">
      <c r="A4140"/>
      <c r="C4140" s="191"/>
      <c r="D4140" s="191"/>
      <c r="F4140"/>
      <c r="G4140"/>
      <c r="H4140" s="36"/>
      <c r="I4140" s="125"/>
      <c r="S4140" s="4"/>
      <c r="T4140" s="124"/>
      <c r="U4140" s="22"/>
      <c r="V4140" s="22"/>
      <c r="W4140" s="78"/>
      <c r="X4140" s="78"/>
      <c r="AF4140"/>
      <c r="AG4140"/>
      <c r="AH4140"/>
      <c r="AI4140"/>
      <c r="AJ4140"/>
      <c r="AK4140"/>
    </row>
    <row r="4141" spans="1:37" ht="13.05" customHeight="1" x14ac:dyDescent="0.25">
      <c r="A4141"/>
      <c r="C4141" s="191"/>
      <c r="D4141" s="191"/>
      <c r="F4141"/>
      <c r="G4141"/>
      <c r="H4141" s="36"/>
      <c r="I4141" s="125"/>
      <c r="S4141" s="4"/>
      <c r="T4141" s="124"/>
      <c r="U4141" s="22"/>
      <c r="V4141" s="22"/>
      <c r="W4141" s="78"/>
      <c r="X4141" s="78"/>
      <c r="AF4141"/>
      <c r="AG4141"/>
      <c r="AH4141"/>
      <c r="AI4141"/>
      <c r="AJ4141"/>
      <c r="AK4141"/>
    </row>
    <row r="4142" spans="1:37" ht="13.05" customHeight="1" x14ac:dyDescent="0.25">
      <c r="A4142"/>
      <c r="C4142" s="191"/>
      <c r="D4142" s="191"/>
      <c r="F4142"/>
      <c r="G4142"/>
      <c r="H4142" s="36"/>
      <c r="I4142" s="125"/>
      <c r="S4142" s="4"/>
      <c r="T4142" s="124"/>
      <c r="U4142" s="22"/>
      <c r="V4142" s="22"/>
      <c r="W4142" s="78"/>
      <c r="X4142" s="78"/>
      <c r="AF4142"/>
      <c r="AG4142"/>
      <c r="AH4142"/>
      <c r="AI4142"/>
      <c r="AJ4142"/>
      <c r="AK4142"/>
    </row>
    <row r="4143" spans="1:37" ht="13.05" customHeight="1" x14ac:dyDescent="0.25">
      <c r="A4143"/>
      <c r="C4143" s="191"/>
      <c r="D4143" s="191"/>
      <c r="F4143"/>
      <c r="G4143"/>
      <c r="H4143" s="36"/>
      <c r="I4143" s="125"/>
      <c r="S4143" s="4"/>
      <c r="T4143" s="124"/>
      <c r="U4143" s="22"/>
      <c r="V4143" s="22"/>
      <c r="W4143" s="78"/>
      <c r="X4143" s="78"/>
      <c r="AF4143"/>
      <c r="AG4143"/>
      <c r="AH4143"/>
      <c r="AI4143"/>
      <c r="AJ4143"/>
      <c r="AK4143"/>
    </row>
    <row r="4144" spans="1:37" ht="13.05" customHeight="1" x14ac:dyDescent="0.25">
      <c r="A4144"/>
      <c r="C4144" s="191"/>
      <c r="D4144" s="191"/>
      <c r="F4144"/>
      <c r="G4144"/>
      <c r="H4144" s="36"/>
      <c r="I4144" s="125"/>
      <c r="S4144" s="4"/>
      <c r="T4144" s="124"/>
      <c r="U4144" s="22"/>
      <c r="V4144" s="22"/>
      <c r="W4144" s="78"/>
      <c r="X4144" s="78"/>
      <c r="AF4144"/>
      <c r="AG4144"/>
      <c r="AH4144"/>
      <c r="AI4144"/>
      <c r="AJ4144"/>
      <c r="AK4144"/>
    </row>
    <row r="4145" spans="1:37" ht="13.05" customHeight="1" x14ac:dyDescent="0.25">
      <c r="A4145"/>
      <c r="C4145" s="191"/>
      <c r="D4145" s="191"/>
      <c r="F4145"/>
      <c r="G4145"/>
      <c r="H4145" s="36"/>
      <c r="I4145" s="125"/>
      <c r="S4145" s="4"/>
      <c r="T4145" s="124"/>
      <c r="U4145" s="22"/>
      <c r="V4145" s="22"/>
      <c r="W4145" s="78"/>
      <c r="X4145" s="78"/>
      <c r="AF4145"/>
      <c r="AG4145"/>
      <c r="AH4145"/>
      <c r="AI4145"/>
      <c r="AJ4145"/>
      <c r="AK4145"/>
    </row>
    <row r="4146" spans="1:37" ht="13.05" customHeight="1" x14ac:dyDescent="0.25">
      <c r="A4146"/>
      <c r="C4146" s="191"/>
      <c r="D4146" s="191"/>
      <c r="F4146"/>
      <c r="G4146"/>
      <c r="H4146" s="36"/>
      <c r="I4146" s="125"/>
      <c r="S4146" s="4"/>
      <c r="T4146" s="124"/>
      <c r="U4146" s="22"/>
      <c r="V4146" s="22"/>
      <c r="W4146" s="78"/>
      <c r="X4146" s="78"/>
      <c r="AF4146"/>
      <c r="AG4146"/>
      <c r="AH4146"/>
      <c r="AI4146"/>
      <c r="AJ4146"/>
      <c r="AK4146"/>
    </row>
    <row r="4147" spans="1:37" ht="13.05" customHeight="1" x14ac:dyDescent="0.25">
      <c r="A4147"/>
      <c r="C4147" s="191"/>
      <c r="D4147" s="191"/>
      <c r="F4147"/>
      <c r="G4147"/>
      <c r="H4147" s="36"/>
      <c r="I4147" s="125"/>
      <c r="S4147" s="4"/>
      <c r="T4147" s="124"/>
      <c r="U4147" s="22"/>
      <c r="V4147" s="22"/>
      <c r="W4147" s="78"/>
      <c r="X4147" s="78"/>
      <c r="AF4147"/>
      <c r="AG4147"/>
      <c r="AH4147"/>
      <c r="AI4147"/>
      <c r="AJ4147"/>
      <c r="AK4147"/>
    </row>
    <row r="4148" spans="1:37" ht="13.05" customHeight="1" x14ac:dyDescent="0.25">
      <c r="A4148"/>
      <c r="C4148" s="191"/>
      <c r="D4148" s="191"/>
      <c r="F4148"/>
      <c r="G4148"/>
      <c r="H4148" s="36"/>
      <c r="I4148" s="125"/>
      <c r="S4148" s="4"/>
      <c r="T4148" s="124"/>
      <c r="U4148" s="22"/>
      <c r="V4148" s="22"/>
      <c r="W4148" s="78"/>
      <c r="X4148" s="78"/>
      <c r="AF4148"/>
      <c r="AG4148"/>
      <c r="AH4148"/>
      <c r="AI4148"/>
      <c r="AJ4148"/>
      <c r="AK4148"/>
    </row>
    <row r="4149" spans="1:37" ht="13.05" customHeight="1" x14ac:dyDescent="0.25">
      <c r="A4149"/>
      <c r="C4149" s="191"/>
      <c r="D4149" s="191"/>
      <c r="F4149"/>
      <c r="G4149"/>
      <c r="H4149" s="36"/>
      <c r="I4149" s="125"/>
      <c r="S4149" s="4"/>
      <c r="T4149" s="124"/>
      <c r="U4149" s="22"/>
      <c r="V4149" s="22"/>
      <c r="W4149" s="78"/>
      <c r="X4149" s="78"/>
      <c r="AF4149"/>
      <c r="AG4149"/>
      <c r="AH4149"/>
      <c r="AI4149"/>
      <c r="AJ4149"/>
      <c r="AK4149"/>
    </row>
    <row r="4150" spans="1:37" ht="13.05" customHeight="1" x14ac:dyDescent="0.25">
      <c r="A4150"/>
      <c r="C4150" s="191"/>
      <c r="D4150" s="191"/>
      <c r="F4150"/>
      <c r="G4150"/>
      <c r="H4150" s="36"/>
      <c r="I4150" s="125"/>
      <c r="S4150" s="4"/>
      <c r="T4150" s="124"/>
      <c r="U4150" s="22"/>
      <c r="V4150" s="22"/>
      <c r="W4150" s="78"/>
      <c r="X4150" s="78"/>
      <c r="AF4150"/>
      <c r="AG4150"/>
      <c r="AH4150"/>
      <c r="AI4150"/>
      <c r="AJ4150"/>
      <c r="AK4150"/>
    </row>
    <row r="4151" spans="1:37" ht="13.05" customHeight="1" x14ac:dyDescent="0.25">
      <c r="A4151"/>
      <c r="C4151" s="191"/>
      <c r="D4151" s="191"/>
      <c r="F4151"/>
      <c r="G4151"/>
      <c r="H4151" s="36"/>
      <c r="I4151" s="125"/>
      <c r="S4151" s="4"/>
      <c r="T4151" s="124"/>
      <c r="U4151" s="22"/>
      <c r="V4151" s="22"/>
      <c r="W4151" s="78"/>
      <c r="X4151" s="78"/>
      <c r="AF4151"/>
      <c r="AG4151"/>
      <c r="AH4151"/>
      <c r="AI4151"/>
      <c r="AJ4151"/>
      <c r="AK4151"/>
    </row>
    <row r="4152" spans="1:37" ht="13.05" customHeight="1" x14ac:dyDescent="0.25">
      <c r="A4152"/>
      <c r="C4152" s="191"/>
      <c r="D4152" s="191"/>
      <c r="F4152"/>
      <c r="G4152"/>
      <c r="H4152" s="36"/>
      <c r="I4152" s="125"/>
      <c r="S4152" s="4"/>
      <c r="T4152" s="124"/>
      <c r="U4152" s="22"/>
      <c r="V4152" s="22"/>
      <c r="W4152" s="78"/>
      <c r="X4152" s="78"/>
      <c r="AF4152"/>
      <c r="AG4152"/>
      <c r="AH4152"/>
      <c r="AI4152"/>
      <c r="AJ4152"/>
      <c r="AK4152"/>
    </row>
    <row r="4153" spans="1:37" ht="13.05" customHeight="1" x14ac:dyDescent="0.25">
      <c r="A4153"/>
      <c r="C4153" s="191"/>
      <c r="D4153" s="191"/>
      <c r="F4153"/>
      <c r="G4153"/>
      <c r="H4153" s="36"/>
      <c r="I4153" s="125"/>
      <c r="S4153" s="4"/>
      <c r="T4153" s="124"/>
      <c r="U4153" s="22"/>
      <c r="V4153" s="22"/>
      <c r="W4153" s="78"/>
      <c r="X4153" s="78"/>
      <c r="AF4153"/>
      <c r="AG4153"/>
      <c r="AH4153"/>
      <c r="AI4153"/>
      <c r="AJ4153"/>
      <c r="AK4153"/>
    </row>
    <row r="4154" spans="1:37" ht="13.05" customHeight="1" x14ac:dyDescent="0.25">
      <c r="A4154"/>
      <c r="C4154" s="191"/>
      <c r="D4154" s="191"/>
      <c r="F4154"/>
      <c r="G4154"/>
      <c r="H4154" s="36"/>
      <c r="I4154" s="125"/>
      <c r="S4154" s="4"/>
      <c r="T4154" s="124"/>
      <c r="U4154" s="22"/>
      <c r="V4154" s="22"/>
      <c r="W4154" s="78"/>
      <c r="X4154" s="78"/>
      <c r="AF4154"/>
      <c r="AG4154"/>
      <c r="AH4154"/>
      <c r="AI4154"/>
      <c r="AJ4154"/>
      <c r="AK4154"/>
    </row>
    <row r="4155" spans="1:37" ht="13.05" customHeight="1" x14ac:dyDescent="0.25">
      <c r="A4155"/>
      <c r="C4155" s="191"/>
      <c r="D4155" s="191"/>
      <c r="F4155"/>
      <c r="G4155"/>
      <c r="H4155" s="36"/>
      <c r="I4155" s="125"/>
      <c r="S4155" s="4"/>
      <c r="T4155" s="124"/>
      <c r="U4155" s="22"/>
      <c r="V4155" s="22"/>
      <c r="W4155" s="78"/>
      <c r="X4155" s="78"/>
      <c r="AF4155"/>
      <c r="AG4155"/>
      <c r="AH4155"/>
      <c r="AI4155"/>
      <c r="AJ4155"/>
      <c r="AK4155"/>
    </row>
    <row r="4156" spans="1:37" ht="13.05" customHeight="1" x14ac:dyDescent="0.25">
      <c r="A4156"/>
      <c r="C4156" s="191"/>
      <c r="D4156" s="191"/>
      <c r="F4156"/>
      <c r="G4156"/>
      <c r="H4156" s="36"/>
      <c r="I4156" s="125"/>
      <c r="S4156" s="4"/>
      <c r="T4156" s="124"/>
      <c r="U4156" s="22"/>
      <c r="V4156" s="22"/>
      <c r="W4156" s="78"/>
      <c r="X4156" s="78"/>
      <c r="AF4156"/>
      <c r="AG4156"/>
      <c r="AH4156"/>
      <c r="AI4156"/>
      <c r="AJ4156"/>
      <c r="AK4156"/>
    </row>
    <row r="4157" spans="1:37" ht="13.05" customHeight="1" x14ac:dyDescent="0.25">
      <c r="A4157"/>
      <c r="C4157" s="191"/>
      <c r="D4157" s="191"/>
      <c r="F4157"/>
      <c r="G4157"/>
      <c r="H4157" s="36"/>
      <c r="I4157" s="125"/>
      <c r="S4157" s="4"/>
      <c r="T4157" s="124"/>
      <c r="U4157" s="22"/>
      <c r="V4157" s="22"/>
      <c r="W4157" s="78"/>
      <c r="X4157" s="78"/>
      <c r="AF4157"/>
      <c r="AG4157"/>
      <c r="AH4157"/>
      <c r="AI4157"/>
      <c r="AJ4157"/>
      <c r="AK4157"/>
    </row>
    <row r="4158" spans="1:37" ht="13.05" customHeight="1" x14ac:dyDescent="0.25">
      <c r="A4158"/>
      <c r="C4158" s="191"/>
      <c r="D4158" s="191"/>
      <c r="F4158"/>
      <c r="G4158"/>
      <c r="H4158" s="36"/>
      <c r="I4158" s="125"/>
      <c r="S4158" s="4"/>
      <c r="T4158" s="124"/>
      <c r="U4158" s="22"/>
      <c r="V4158" s="22"/>
      <c r="W4158" s="78"/>
      <c r="X4158" s="78"/>
      <c r="AF4158"/>
      <c r="AG4158"/>
      <c r="AH4158"/>
      <c r="AI4158"/>
      <c r="AJ4158"/>
      <c r="AK4158"/>
    </row>
    <row r="4159" spans="1:37" ht="13.05" customHeight="1" x14ac:dyDescent="0.25">
      <c r="A4159"/>
      <c r="C4159" s="191"/>
      <c r="D4159" s="191"/>
      <c r="F4159"/>
      <c r="G4159"/>
      <c r="H4159" s="36"/>
      <c r="I4159" s="125"/>
      <c r="S4159" s="4"/>
      <c r="T4159" s="124"/>
      <c r="U4159" s="22"/>
      <c r="V4159" s="22"/>
      <c r="W4159" s="78"/>
      <c r="X4159" s="78"/>
      <c r="AF4159"/>
      <c r="AG4159"/>
      <c r="AH4159"/>
      <c r="AI4159"/>
      <c r="AJ4159"/>
      <c r="AK4159"/>
    </row>
    <row r="4160" spans="1:37" ht="13.05" customHeight="1" x14ac:dyDescent="0.25">
      <c r="A4160"/>
      <c r="C4160" s="191"/>
      <c r="D4160" s="191"/>
      <c r="F4160"/>
      <c r="G4160"/>
      <c r="H4160" s="36"/>
      <c r="I4160" s="125"/>
      <c r="S4160" s="4"/>
      <c r="T4160" s="124"/>
      <c r="U4160" s="22"/>
      <c r="V4160" s="22"/>
      <c r="W4160" s="78"/>
      <c r="X4160" s="78"/>
      <c r="AF4160"/>
      <c r="AG4160"/>
      <c r="AH4160"/>
      <c r="AI4160"/>
      <c r="AJ4160"/>
      <c r="AK4160"/>
    </row>
    <row r="4161" spans="1:37" ht="13.05" customHeight="1" x14ac:dyDescent="0.25">
      <c r="A4161"/>
      <c r="C4161" s="191"/>
      <c r="D4161" s="191"/>
      <c r="F4161"/>
      <c r="G4161"/>
      <c r="H4161" s="36"/>
      <c r="I4161" s="125"/>
      <c r="S4161" s="4"/>
      <c r="T4161" s="124"/>
      <c r="U4161" s="22"/>
      <c r="V4161" s="22"/>
      <c r="W4161" s="78"/>
      <c r="X4161" s="78"/>
      <c r="AF4161"/>
      <c r="AG4161"/>
      <c r="AH4161"/>
      <c r="AI4161"/>
      <c r="AJ4161"/>
      <c r="AK4161"/>
    </row>
    <row r="4162" spans="1:37" ht="13.05" customHeight="1" x14ac:dyDescent="0.25">
      <c r="A4162"/>
      <c r="C4162" s="191"/>
      <c r="D4162" s="191"/>
      <c r="F4162"/>
      <c r="G4162"/>
      <c r="H4162" s="36"/>
      <c r="I4162" s="125"/>
      <c r="S4162" s="4"/>
      <c r="T4162" s="124"/>
      <c r="U4162" s="22"/>
      <c r="V4162" s="22"/>
      <c r="W4162" s="78"/>
      <c r="X4162" s="78"/>
      <c r="AF4162"/>
      <c r="AG4162"/>
      <c r="AH4162"/>
      <c r="AI4162"/>
      <c r="AJ4162"/>
      <c r="AK4162"/>
    </row>
    <row r="4163" spans="1:37" ht="13.05" customHeight="1" x14ac:dyDescent="0.25">
      <c r="A4163"/>
      <c r="C4163" s="191"/>
      <c r="D4163" s="191"/>
      <c r="F4163"/>
      <c r="G4163"/>
      <c r="H4163" s="36"/>
      <c r="I4163" s="125"/>
      <c r="S4163" s="4"/>
      <c r="T4163" s="124"/>
      <c r="U4163" s="22"/>
      <c r="V4163" s="22"/>
      <c r="W4163" s="78"/>
      <c r="X4163" s="78"/>
      <c r="AF4163"/>
      <c r="AG4163"/>
      <c r="AH4163"/>
      <c r="AI4163"/>
      <c r="AJ4163"/>
      <c r="AK4163"/>
    </row>
    <row r="4164" spans="1:37" ht="13.05" customHeight="1" x14ac:dyDescent="0.25">
      <c r="A4164"/>
      <c r="C4164" s="191"/>
      <c r="D4164" s="191"/>
      <c r="F4164"/>
      <c r="G4164"/>
      <c r="H4164" s="36"/>
      <c r="I4164" s="125"/>
      <c r="S4164" s="4"/>
      <c r="T4164" s="124"/>
      <c r="U4164" s="22"/>
      <c r="V4164" s="22"/>
      <c r="W4164" s="78"/>
      <c r="X4164" s="78"/>
      <c r="AF4164"/>
      <c r="AG4164"/>
      <c r="AH4164"/>
      <c r="AI4164"/>
      <c r="AJ4164"/>
      <c r="AK4164"/>
    </row>
    <row r="4165" spans="1:37" ht="13.05" customHeight="1" x14ac:dyDescent="0.25">
      <c r="A4165"/>
      <c r="C4165" s="191"/>
      <c r="D4165" s="191"/>
      <c r="F4165"/>
      <c r="G4165"/>
      <c r="H4165" s="36"/>
      <c r="I4165" s="125"/>
      <c r="S4165" s="4"/>
      <c r="T4165" s="124"/>
      <c r="U4165" s="22"/>
      <c r="V4165" s="22"/>
      <c r="W4165" s="78"/>
      <c r="X4165" s="78"/>
      <c r="AF4165"/>
      <c r="AG4165"/>
      <c r="AH4165"/>
      <c r="AI4165"/>
      <c r="AJ4165"/>
      <c r="AK4165"/>
    </row>
    <row r="4166" spans="1:37" ht="13.05" customHeight="1" x14ac:dyDescent="0.25">
      <c r="A4166"/>
      <c r="C4166" s="191"/>
      <c r="D4166" s="191"/>
      <c r="F4166"/>
      <c r="G4166"/>
      <c r="H4166" s="36"/>
      <c r="I4166" s="125"/>
      <c r="S4166" s="4"/>
      <c r="T4166" s="124"/>
      <c r="U4166" s="22"/>
      <c r="V4166" s="22"/>
      <c r="W4166" s="78"/>
      <c r="X4166" s="78"/>
      <c r="AF4166"/>
      <c r="AG4166"/>
      <c r="AH4166"/>
      <c r="AI4166"/>
      <c r="AJ4166"/>
      <c r="AK4166"/>
    </row>
    <row r="4167" spans="1:37" ht="13.05" customHeight="1" x14ac:dyDescent="0.25">
      <c r="A4167"/>
      <c r="C4167" s="191"/>
      <c r="D4167" s="191"/>
      <c r="F4167"/>
      <c r="G4167"/>
      <c r="H4167" s="36"/>
      <c r="I4167" s="125"/>
      <c r="S4167" s="4"/>
      <c r="T4167" s="124"/>
      <c r="U4167" s="22"/>
      <c r="V4167" s="22"/>
      <c r="W4167" s="78"/>
      <c r="X4167" s="78"/>
      <c r="AF4167"/>
      <c r="AG4167"/>
      <c r="AH4167"/>
      <c r="AI4167"/>
      <c r="AJ4167"/>
      <c r="AK4167"/>
    </row>
    <row r="4168" spans="1:37" ht="13.05" customHeight="1" x14ac:dyDescent="0.25">
      <c r="A4168"/>
      <c r="C4168" s="191"/>
      <c r="D4168" s="191"/>
      <c r="F4168"/>
      <c r="G4168"/>
      <c r="H4168" s="36"/>
      <c r="I4168" s="125"/>
      <c r="S4168" s="4"/>
      <c r="T4168" s="124"/>
      <c r="U4168" s="22"/>
      <c r="V4168" s="22"/>
      <c r="W4168" s="78"/>
      <c r="X4168" s="78"/>
      <c r="AF4168"/>
      <c r="AG4168"/>
      <c r="AH4168"/>
      <c r="AI4168"/>
      <c r="AJ4168"/>
      <c r="AK4168"/>
    </row>
    <row r="4169" spans="1:37" ht="13.05" customHeight="1" x14ac:dyDescent="0.25">
      <c r="A4169"/>
      <c r="C4169" s="191"/>
      <c r="D4169" s="191"/>
      <c r="F4169"/>
      <c r="G4169"/>
      <c r="H4169" s="36"/>
      <c r="I4169" s="125"/>
      <c r="S4169" s="4"/>
      <c r="T4169" s="124"/>
      <c r="U4169" s="22"/>
      <c r="V4169" s="22"/>
      <c r="W4169" s="78"/>
      <c r="X4169" s="78"/>
      <c r="AF4169"/>
      <c r="AG4169"/>
      <c r="AH4169"/>
      <c r="AI4169"/>
      <c r="AJ4169"/>
      <c r="AK4169"/>
    </row>
    <row r="4170" spans="1:37" ht="13.05" customHeight="1" x14ac:dyDescent="0.25">
      <c r="A4170"/>
      <c r="C4170" s="191"/>
      <c r="D4170" s="191"/>
      <c r="F4170"/>
      <c r="G4170"/>
      <c r="H4170" s="36"/>
      <c r="I4170" s="125"/>
      <c r="S4170" s="4"/>
      <c r="T4170" s="124"/>
      <c r="U4170" s="22"/>
      <c r="V4170" s="22"/>
      <c r="W4170" s="78"/>
      <c r="X4170" s="78"/>
      <c r="AF4170"/>
      <c r="AG4170"/>
      <c r="AH4170"/>
      <c r="AI4170"/>
      <c r="AJ4170"/>
      <c r="AK4170"/>
    </row>
    <row r="4171" spans="1:37" ht="13.05" customHeight="1" x14ac:dyDescent="0.25">
      <c r="A4171"/>
      <c r="C4171" s="191"/>
      <c r="D4171" s="191"/>
      <c r="F4171"/>
      <c r="G4171"/>
      <c r="H4171" s="36"/>
      <c r="I4171" s="125"/>
      <c r="S4171" s="4"/>
      <c r="T4171" s="124"/>
      <c r="U4171" s="22"/>
      <c r="V4171" s="22"/>
      <c r="W4171" s="78"/>
      <c r="X4171" s="78"/>
      <c r="AF4171"/>
      <c r="AG4171"/>
      <c r="AH4171"/>
      <c r="AI4171"/>
      <c r="AJ4171"/>
      <c r="AK4171"/>
    </row>
    <row r="4172" spans="1:37" ht="13.05" customHeight="1" x14ac:dyDescent="0.25">
      <c r="A4172"/>
      <c r="C4172" s="191"/>
      <c r="D4172" s="191"/>
      <c r="F4172"/>
      <c r="G4172"/>
      <c r="H4172" s="36"/>
      <c r="I4172" s="125"/>
      <c r="S4172" s="4"/>
      <c r="T4172" s="124"/>
      <c r="U4172" s="22"/>
      <c r="V4172" s="22"/>
      <c r="W4172" s="78"/>
      <c r="X4172" s="78"/>
      <c r="AF4172"/>
      <c r="AG4172"/>
      <c r="AH4172"/>
      <c r="AI4172"/>
      <c r="AJ4172"/>
      <c r="AK4172"/>
    </row>
    <row r="4173" spans="1:37" ht="13.05" customHeight="1" x14ac:dyDescent="0.25">
      <c r="A4173"/>
      <c r="C4173" s="191"/>
      <c r="D4173" s="191"/>
      <c r="F4173"/>
      <c r="G4173"/>
      <c r="H4173" s="36"/>
      <c r="I4173" s="125"/>
      <c r="S4173" s="4"/>
      <c r="T4173" s="124"/>
      <c r="U4173" s="22"/>
      <c r="V4173" s="22"/>
      <c r="W4173" s="78"/>
      <c r="X4173" s="78"/>
      <c r="AF4173"/>
      <c r="AG4173"/>
      <c r="AH4173"/>
      <c r="AI4173"/>
      <c r="AJ4173"/>
      <c r="AK4173"/>
    </row>
    <row r="4174" spans="1:37" ht="13.05" customHeight="1" x14ac:dyDescent="0.25">
      <c r="A4174"/>
      <c r="C4174" s="191"/>
      <c r="D4174" s="191"/>
      <c r="F4174"/>
      <c r="G4174"/>
      <c r="H4174" s="36"/>
      <c r="I4174" s="125"/>
      <c r="S4174" s="4"/>
      <c r="T4174" s="124"/>
      <c r="U4174" s="22"/>
      <c r="V4174" s="22"/>
      <c r="W4174" s="78"/>
      <c r="X4174" s="78"/>
      <c r="AF4174"/>
      <c r="AG4174"/>
      <c r="AH4174"/>
      <c r="AI4174"/>
      <c r="AJ4174"/>
      <c r="AK4174"/>
    </row>
    <row r="4175" spans="1:37" ht="13.05" customHeight="1" x14ac:dyDescent="0.25">
      <c r="A4175"/>
      <c r="C4175" s="191"/>
      <c r="D4175" s="191"/>
      <c r="F4175"/>
      <c r="G4175"/>
      <c r="H4175" s="36"/>
      <c r="I4175" s="125"/>
      <c r="S4175" s="4"/>
      <c r="T4175" s="124"/>
      <c r="U4175" s="22"/>
      <c r="V4175" s="22"/>
      <c r="W4175" s="78"/>
      <c r="X4175" s="78"/>
      <c r="AF4175"/>
      <c r="AG4175"/>
      <c r="AH4175"/>
      <c r="AI4175"/>
      <c r="AJ4175"/>
      <c r="AK4175"/>
    </row>
    <row r="4176" spans="1:37" ht="13.05" customHeight="1" x14ac:dyDescent="0.25">
      <c r="A4176"/>
      <c r="C4176" s="191"/>
      <c r="D4176" s="191"/>
      <c r="F4176"/>
      <c r="G4176"/>
      <c r="H4176" s="36"/>
      <c r="I4176" s="125"/>
      <c r="S4176" s="4"/>
      <c r="T4176" s="124"/>
      <c r="U4176" s="22"/>
      <c r="V4176" s="22"/>
      <c r="W4176" s="78"/>
      <c r="X4176" s="78"/>
      <c r="AF4176"/>
      <c r="AG4176"/>
      <c r="AH4176"/>
      <c r="AI4176"/>
      <c r="AJ4176"/>
      <c r="AK4176"/>
    </row>
    <row r="4177" spans="1:37" ht="13.05" customHeight="1" x14ac:dyDescent="0.25">
      <c r="A4177"/>
      <c r="C4177" s="191"/>
      <c r="D4177" s="191"/>
      <c r="F4177"/>
      <c r="G4177"/>
      <c r="H4177" s="36"/>
      <c r="I4177" s="125"/>
      <c r="S4177" s="4"/>
      <c r="T4177" s="124"/>
      <c r="U4177" s="22"/>
      <c r="V4177" s="22"/>
      <c r="W4177" s="78"/>
      <c r="X4177" s="78"/>
      <c r="AF4177"/>
      <c r="AG4177"/>
      <c r="AH4177"/>
      <c r="AI4177"/>
      <c r="AJ4177"/>
      <c r="AK4177"/>
    </row>
    <row r="4178" spans="1:37" ht="13.05" customHeight="1" x14ac:dyDescent="0.25">
      <c r="A4178"/>
      <c r="C4178" s="191"/>
      <c r="D4178" s="191"/>
      <c r="F4178"/>
      <c r="G4178"/>
      <c r="H4178" s="36"/>
      <c r="I4178" s="125"/>
      <c r="S4178" s="4"/>
      <c r="T4178" s="124"/>
      <c r="U4178" s="22"/>
      <c r="V4178" s="22"/>
      <c r="W4178" s="78"/>
      <c r="X4178" s="78"/>
      <c r="AF4178"/>
      <c r="AG4178"/>
      <c r="AH4178"/>
      <c r="AI4178"/>
      <c r="AJ4178"/>
      <c r="AK4178"/>
    </row>
    <row r="4179" spans="1:37" ht="13.05" customHeight="1" x14ac:dyDescent="0.25">
      <c r="A4179"/>
      <c r="C4179" s="191"/>
      <c r="D4179" s="191"/>
      <c r="F4179"/>
      <c r="G4179"/>
      <c r="H4179" s="36"/>
      <c r="I4179" s="125"/>
      <c r="S4179" s="4"/>
      <c r="T4179" s="124"/>
      <c r="U4179" s="22"/>
      <c r="V4179" s="22"/>
      <c r="W4179" s="78"/>
      <c r="X4179" s="78"/>
      <c r="AF4179"/>
      <c r="AG4179"/>
      <c r="AH4179"/>
      <c r="AI4179"/>
      <c r="AJ4179"/>
      <c r="AK4179"/>
    </row>
    <row r="4180" spans="1:37" ht="13.05" customHeight="1" x14ac:dyDescent="0.25">
      <c r="A4180"/>
      <c r="C4180" s="191"/>
      <c r="D4180" s="191"/>
      <c r="F4180"/>
      <c r="G4180"/>
      <c r="H4180" s="36"/>
      <c r="I4180" s="125"/>
      <c r="S4180" s="4"/>
      <c r="T4180" s="124"/>
      <c r="U4180" s="22"/>
      <c r="V4180" s="22"/>
      <c r="W4180" s="78"/>
      <c r="X4180" s="78"/>
      <c r="AF4180"/>
      <c r="AG4180"/>
      <c r="AH4180"/>
      <c r="AI4180"/>
      <c r="AJ4180"/>
      <c r="AK4180"/>
    </row>
    <row r="4181" spans="1:37" ht="13.05" customHeight="1" x14ac:dyDescent="0.25">
      <c r="A4181"/>
      <c r="C4181" s="191"/>
      <c r="D4181" s="191"/>
      <c r="F4181"/>
      <c r="G4181"/>
      <c r="H4181" s="36"/>
      <c r="I4181" s="125"/>
      <c r="S4181" s="4"/>
      <c r="T4181" s="124"/>
      <c r="U4181" s="22"/>
      <c r="V4181" s="22"/>
      <c r="W4181" s="78"/>
      <c r="X4181" s="78"/>
      <c r="AF4181"/>
      <c r="AG4181"/>
      <c r="AH4181"/>
      <c r="AI4181"/>
      <c r="AJ4181"/>
      <c r="AK4181"/>
    </row>
    <row r="4182" spans="1:37" ht="13.05" customHeight="1" x14ac:dyDescent="0.25">
      <c r="A4182"/>
      <c r="C4182" s="191"/>
      <c r="D4182" s="191"/>
      <c r="F4182"/>
      <c r="G4182"/>
      <c r="H4182" s="36"/>
      <c r="I4182" s="125"/>
      <c r="S4182" s="4"/>
      <c r="T4182" s="124"/>
      <c r="U4182" s="22"/>
      <c r="V4182" s="22"/>
      <c r="W4182" s="78"/>
      <c r="X4182" s="78"/>
      <c r="AF4182"/>
      <c r="AG4182"/>
      <c r="AH4182"/>
      <c r="AI4182"/>
      <c r="AJ4182"/>
      <c r="AK4182"/>
    </row>
    <row r="4183" spans="1:37" ht="13.05" customHeight="1" x14ac:dyDescent="0.25">
      <c r="A4183"/>
      <c r="C4183" s="191"/>
      <c r="D4183" s="191"/>
      <c r="F4183"/>
      <c r="G4183"/>
      <c r="H4183" s="36"/>
      <c r="I4183" s="125"/>
      <c r="S4183" s="4"/>
      <c r="T4183" s="124"/>
      <c r="U4183" s="22"/>
      <c r="V4183" s="22"/>
      <c r="W4183" s="78"/>
      <c r="X4183" s="78"/>
      <c r="AF4183"/>
      <c r="AG4183"/>
      <c r="AH4183"/>
      <c r="AI4183"/>
      <c r="AJ4183"/>
      <c r="AK4183"/>
    </row>
    <row r="4184" spans="1:37" ht="13.05" customHeight="1" x14ac:dyDescent="0.25">
      <c r="A4184"/>
      <c r="C4184" s="191"/>
      <c r="D4184" s="191"/>
      <c r="F4184"/>
      <c r="G4184"/>
      <c r="H4184" s="36"/>
      <c r="I4184" s="125"/>
      <c r="S4184" s="4"/>
      <c r="T4184" s="124"/>
      <c r="U4184" s="22"/>
      <c r="V4184" s="22"/>
      <c r="W4184" s="78"/>
      <c r="X4184" s="78"/>
      <c r="AF4184"/>
      <c r="AG4184"/>
      <c r="AH4184"/>
      <c r="AI4184"/>
      <c r="AJ4184"/>
      <c r="AK4184"/>
    </row>
    <row r="4185" spans="1:37" ht="13.05" customHeight="1" x14ac:dyDescent="0.25">
      <c r="A4185"/>
      <c r="C4185" s="191"/>
      <c r="D4185" s="191"/>
      <c r="F4185"/>
      <c r="G4185"/>
      <c r="H4185" s="36"/>
      <c r="I4185" s="125"/>
      <c r="S4185" s="4"/>
      <c r="T4185" s="124"/>
      <c r="U4185" s="22"/>
      <c r="V4185" s="22"/>
      <c r="W4185" s="78"/>
      <c r="X4185" s="78"/>
      <c r="AF4185"/>
      <c r="AG4185"/>
      <c r="AH4185"/>
      <c r="AI4185"/>
      <c r="AJ4185"/>
      <c r="AK4185"/>
    </row>
    <row r="4186" spans="1:37" ht="13.05" customHeight="1" x14ac:dyDescent="0.25">
      <c r="A4186"/>
      <c r="C4186" s="191"/>
      <c r="D4186" s="191"/>
      <c r="F4186"/>
      <c r="G4186"/>
      <c r="H4186" s="36"/>
      <c r="I4186" s="125"/>
      <c r="S4186" s="4"/>
      <c r="T4186" s="124"/>
      <c r="U4186" s="22"/>
      <c r="V4186" s="22"/>
      <c r="W4186" s="78"/>
      <c r="X4186" s="78"/>
      <c r="AF4186"/>
      <c r="AG4186"/>
      <c r="AH4186"/>
      <c r="AI4186"/>
      <c r="AJ4186"/>
      <c r="AK4186"/>
    </row>
    <row r="4187" spans="1:37" ht="13.05" customHeight="1" x14ac:dyDescent="0.25">
      <c r="A4187"/>
      <c r="C4187" s="191"/>
      <c r="D4187" s="191"/>
      <c r="F4187"/>
      <c r="G4187"/>
      <c r="H4187" s="36"/>
      <c r="I4187" s="125"/>
      <c r="S4187" s="4"/>
      <c r="T4187" s="124"/>
      <c r="U4187" s="22"/>
      <c r="V4187" s="22"/>
      <c r="W4187" s="78"/>
      <c r="X4187" s="78"/>
      <c r="AF4187"/>
      <c r="AG4187"/>
      <c r="AH4187"/>
      <c r="AI4187"/>
      <c r="AJ4187"/>
      <c r="AK4187"/>
    </row>
    <row r="4188" spans="1:37" ht="13.05" customHeight="1" x14ac:dyDescent="0.25">
      <c r="A4188"/>
      <c r="C4188" s="191"/>
      <c r="D4188" s="191"/>
      <c r="F4188"/>
      <c r="G4188"/>
      <c r="H4188" s="36"/>
      <c r="I4188" s="125"/>
      <c r="S4188" s="4"/>
      <c r="T4188" s="124"/>
      <c r="U4188" s="22"/>
      <c r="V4188" s="22"/>
      <c r="W4188" s="78"/>
      <c r="X4188" s="78"/>
      <c r="AF4188"/>
      <c r="AG4188"/>
      <c r="AH4188"/>
      <c r="AI4188"/>
      <c r="AJ4188"/>
      <c r="AK4188"/>
    </row>
    <row r="4189" spans="1:37" ht="13.05" customHeight="1" x14ac:dyDescent="0.25">
      <c r="A4189"/>
      <c r="C4189" s="191"/>
      <c r="D4189" s="191"/>
      <c r="F4189"/>
      <c r="G4189"/>
      <c r="H4189" s="36"/>
      <c r="I4189" s="125"/>
      <c r="S4189" s="4"/>
      <c r="T4189" s="124"/>
      <c r="U4189" s="22"/>
      <c r="V4189" s="22"/>
      <c r="W4189" s="78"/>
      <c r="X4189" s="78"/>
      <c r="AF4189"/>
      <c r="AG4189"/>
      <c r="AH4189"/>
      <c r="AI4189"/>
      <c r="AJ4189"/>
      <c r="AK4189"/>
    </row>
    <row r="4190" spans="1:37" ht="13.05" customHeight="1" x14ac:dyDescent="0.25">
      <c r="A4190"/>
      <c r="C4190" s="191"/>
      <c r="D4190" s="191"/>
      <c r="F4190"/>
      <c r="G4190"/>
      <c r="H4190" s="36"/>
      <c r="I4190" s="125"/>
      <c r="S4190" s="4"/>
      <c r="T4190" s="124"/>
      <c r="U4190" s="22"/>
      <c r="V4190" s="22"/>
      <c r="W4190" s="78"/>
      <c r="X4190" s="78"/>
      <c r="AF4190"/>
      <c r="AG4190"/>
      <c r="AH4190"/>
      <c r="AI4190"/>
      <c r="AJ4190"/>
      <c r="AK4190"/>
    </row>
    <row r="4191" spans="1:37" ht="13.05" customHeight="1" x14ac:dyDescent="0.25">
      <c r="A4191"/>
      <c r="C4191" s="191"/>
      <c r="D4191" s="191"/>
      <c r="F4191"/>
      <c r="G4191"/>
      <c r="H4191" s="36"/>
      <c r="I4191" s="125"/>
      <c r="S4191" s="4"/>
      <c r="T4191" s="124"/>
      <c r="U4191" s="22"/>
      <c r="V4191" s="22"/>
      <c r="W4191" s="78"/>
      <c r="X4191" s="78"/>
      <c r="AF4191"/>
      <c r="AG4191"/>
      <c r="AH4191"/>
      <c r="AI4191"/>
      <c r="AJ4191"/>
      <c r="AK4191"/>
    </row>
    <row r="4192" spans="1:37" ht="13.05" customHeight="1" x14ac:dyDescent="0.25">
      <c r="A4192"/>
      <c r="C4192" s="191"/>
      <c r="D4192" s="191"/>
      <c r="F4192"/>
      <c r="G4192"/>
      <c r="H4192" s="36"/>
      <c r="I4192" s="125"/>
      <c r="S4192" s="4"/>
      <c r="T4192" s="124"/>
      <c r="U4192" s="22"/>
      <c r="V4192" s="22"/>
      <c r="W4192" s="78"/>
      <c r="X4192" s="78"/>
      <c r="AF4192"/>
      <c r="AG4192"/>
      <c r="AH4192"/>
      <c r="AI4192"/>
      <c r="AJ4192"/>
      <c r="AK4192"/>
    </row>
    <row r="4193" spans="1:37" ht="13.05" customHeight="1" x14ac:dyDescent="0.25">
      <c r="A4193"/>
      <c r="C4193" s="191"/>
      <c r="D4193" s="191"/>
      <c r="F4193"/>
      <c r="G4193"/>
      <c r="H4193" s="36"/>
      <c r="I4193" s="125"/>
      <c r="S4193" s="4"/>
      <c r="T4193" s="124"/>
      <c r="U4193" s="22"/>
      <c r="V4193" s="22"/>
      <c r="W4193" s="78"/>
      <c r="X4193" s="78"/>
      <c r="AF4193"/>
      <c r="AG4193"/>
      <c r="AH4193"/>
      <c r="AI4193"/>
      <c r="AJ4193"/>
      <c r="AK4193"/>
    </row>
    <row r="4194" spans="1:37" ht="13.05" customHeight="1" x14ac:dyDescent="0.25">
      <c r="A4194"/>
      <c r="C4194" s="191"/>
      <c r="D4194" s="191"/>
      <c r="F4194"/>
      <c r="G4194"/>
      <c r="H4194" s="36"/>
      <c r="I4194" s="125"/>
      <c r="S4194" s="4"/>
      <c r="T4194" s="124"/>
      <c r="U4194" s="22"/>
      <c r="V4194" s="22"/>
      <c r="W4194" s="78"/>
      <c r="X4194" s="78"/>
      <c r="AF4194"/>
      <c r="AG4194"/>
      <c r="AH4194"/>
      <c r="AI4194"/>
      <c r="AJ4194"/>
      <c r="AK4194"/>
    </row>
    <row r="4195" spans="1:37" ht="13.05" customHeight="1" x14ac:dyDescent="0.25">
      <c r="A4195"/>
      <c r="C4195" s="191"/>
      <c r="D4195" s="191"/>
      <c r="F4195"/>
      <c r="G4195"/>
      <c r="H4195" s="36"/>
      <c r="I4195" s="125"/>
      <c r="S4195" s="4"/>
      <c r="T4195" s="124"/>
      <c r="U4195" s="22"/>
      <c r="V4195" s="22"/>
      <c r="W4195" s="78"/>
      <c r="X4195" s="78"/>
      <c r="AF4195"/>
      <c r="AG4195"/>
      <c r="AH4195"/>
      <c r="AI4195"/>
      <c r="AJ4195"/>
      <c r="AK4195"/>
    </row>
    <row r="4196" spans="1:37" ht="13.05" customHeight="1" x14ac:dyDescent="0.25">
      <c r="A4196"/>
      <c r="C4196" s="191"/>
      <c r="D4196" s="191"/>
      <c r="F4196"/>
      <c r="G4196"/>
      <c r="H4196" s="36"/>
      <c r="I4196" s="125"/>
      <c r="S4196" s="4"/>
      <c r="T4196" s="124"/>
      <c r="U4196" s="22"/>
      <c r="V4196" s="22"/>
      <c r="W4196" s="78"/>
      <c r="X4196" s="78"/>
      <c r="AF4196"/>
      <c r="AG4196"/>
      <c r="AH4196"/>
      <c r="AI4196"/>
      <c r="AJ4196"/>
      <c r="AK4196"/>
    </row>
    <row r="4197" spans="1:37" ht="13.05" customHeight="1" x14ac:dyDescent="0.25">
      <c r="A4197"/>
      <c r="C4197" s="191"/>
      <c r="D4197" s="191"/>
      <c r="F4197"/>
      <c r="G4197"/>
      <c r="H4197" s="36"/>
      <c r="I4197" s="125"/>
      <c r="S4197" s="4"/>
      <c r="T4197" s="124"/>
      <c r="U4197" s="22"/>
      <c r="V4197" s="22"/>
      <c r="W4197" s="78"/>
      <c r="X4197" s="78"/>
      <c r="AF4197"/>
      <c r="AG4197"/>
      <c r="AH4197"/>
      <c r="AI4197"/>
      <c r="AJ4197"/>
      <c r="AK4197"/>
    </row>
    <row r="4198" spans="1:37" ht="13.05" customHeight="1" x14ac:dyDescent="0.25">
      <c r="A4198"/>
      <c r="C4198" s="191"/>
      <c r="D4198" s="191"/>
      <c r="F4198"/>
      <c r="G4198"/>
      <c r="H4198" s="36"/>
      <c r="I4198" s="125"/>
      <c r="S4198" s="4"/>
      <c r="T4198" s="124"/>
      <c r="U4198" s="22"/>
      <c r="V4198" s="22"/>
      <c r="W4198" s="78"/>
      <c r="X4198" s="78"/>
      <c r="AF4198"/>
      <c r="AG4198"/>
      <c r="AH4198"/>
      <c r="AI4198"/>
      <c r="AJ4198"/>
      <c r="AK4198"/>
    </row>
    <row r="4199" spans="1:37" ht="13.05" customHeight="1" x14ac:dyDescent="0.25">
      <c r="A4199"/>
      <c r="C4199" s="191"/>
      <c r="D4199" s="191"/>
      <c r="F4199"/>
      <c r="G4199"/>
      <c r="H4199" s="36"/>
      <c r="I4199" s="125"/>
      <c r="S4199" s="4"/>
      <c r="T4199" s="124"/>
      <c r="U4199" s="22"/>
      <c r="V4199" s="22"/>
      <c r="W4199" s="78"/>
      <c r="X4199" s="78"/>
      <c r="AF4199"/>
      <c r="AG4199"/>
      <c r="AH4199"/>
      <c r="AI4199"/>
      <c r="AJ4199"/>
      <c r="AK4199"/>
    </row>
    <row r="4200" spans="1:37" ht="13.05" customHeight="1" x14ac:dyDescent="0.25">
      <c r="A4200"/>
      <c r="C4200" s="191"/>
      <c r="D4200" s="191"/>
      <c r="F4200"/>
      <c r="G4200"/>
      <c r="H4200" s="36"/>
      <c r="I4200" s="125"/>
      <c r="S4200" s="4"/>
      <c r="T4200" s="124"/>
      <c r="U4200" s="22"/>
      <c r="V4200" s="22"/>
      <c r="W4200" s="78"/>
      <c r="X4200" s="78"/>
      <c r="AF4200"/>
      <c r="AG4200"/>
      <c r="AH4200"/>
      <c r="AI4200"/>
      <c r="AJ4200"/>
      <c r="AK4200"/>
    </row>
    <row r="4201" spans="1:37" ht="13.05" customHeight="1" x14ac:dyDescent="0.25">
      <c r="A4201"/>
      <c r="C4201" s="191"/>
      <c r="D4201" s="191"/>
      <c r="F4201"/>
      <c r="G4201"/>
      <c r="H4201" s="36"/>
      <c r="I4201" s="125"/>
      <c r="S4201" s="4"/>
      <c r="T4201" s="124"/>
      <c r="U4201" s="22"/>
      <c r="V4201" s="22"/>
      <c r="W4201" s="78"/>
      <c r="X4201" s="78"/>
      <c r="AF4201"/>
      <c r="AG4201"/>
      <c r="AH4201"/>
      <c r="AI4201"/>
      <c r="AJ4201"/>
      <c r="AK4201"/>
    </row>
    <row r="4202" spans="1:37" ht="13.05" customHeight="1" x14ac:dyDescent="0.25">
      <c r="A4202"/>
      <c r="C4202" s="191"/>
      <c r="D4202" s="191"/>
      <c r="F4202"/>
      <c r="G4202"/>
      <c r="H4202" s="36"/>
      <c r="I4202" s="125"/>
      <c r="S4202" s="4"/>
      <c r="T4202" s="124"/>
      <c r="U4202" s="22"/>
      <c r="V4202" s="22"/>
      <c r="W4202" s="78"/>
      <c r="X4202" s="78"/>
      <c r="AF4202"/>
      <c r="AG4202"/>
      <c r="AH4202"/>
      <c r="AI4202"/>
      <c r="AJ4202"/>
      <c r="AK4202"/>
    </row>
    <row r="4203" spans="1:37" ht="13.05" customHeight="1" x14ac:dyDescent="0.25">
      <c r="A4203"/>
      <c r="C4203" s="191"/>
      <c r="D4203" s="191"/>
      <c r="F4203"/>
      <c r="G4203"/>
      <c r="H4203" s="36"/>
      <c r="I4203" s="125"/>
      <c r="S4203" s="4"/>
      <c r="T4203" s="124"/>
      <c r="U4203" s="22"/>
      <c r="V4203" s="22"/>
      <c r="W4203" s="78"/>
      <c r="X4203" s="78"/>
      <c r="AF4203"/>
      <c r="AG4203"/>
      <c r="AH4203"/>
      <c r="AI4203"/>
      <c r="AJ4203"/>
      <c r="AK4203"/>
    </row>
    <row r="4204" spans="1:37" ht="13.05" customHeight="1" x14ac:dyDescent="0.25">
      <c r="A4204"/>
      <c r="C4204" s="191"/>
      <c r="D4204" s="191"/>
      <c r="F4204"/>
      <c r="G4204"/>
      <c r="H4204" s="36"/>
      <c r="I4204" s="125"/>
      <c r="S4204" s="4"/>
      <c r="T4204" s="124"/>
      <c r="U4204" s="22"/>
      <c r="V4204" s="22"/>
      <c r="W4204" s="78"/>
      <c r="X4204" s="78"/>
      <c r="AF4204"/>
      <c r="AG4204"/>
      <c r="AH4204"/>
      <c r="AI4204"/>
      <c r="AJ4204"/>
      <c r="AK4204"/>
    </row>
    <row r="4205" spans="1:37" ht="13.05" customHeight="1" x14ac:dyDescent="0.25">
      <c r="A4205"/>
      <c r="C4205" s="191"/>
      <c r="D4205" s="191"/>
      <c r="F4205"/>
      <c r="G4205"/>
      <c r="H4205" s="36"/>
      <c r="I4205" s="125"/>
      <c r="S4205" s="4"/>
      <c r="T4205" s="124"/>
      <c r="U4205" s="22"/>
      <c r="V4205" s="22"/>
      <c r="W4205" s="78"/>
      <c r="X4205" s="78"/>
      <c r="AF4205"/>
      <c r="AG4205"/>
      <c r="AH4205"/>
      <c r="AI4205"/>
      <c r="AJ4205"/>
      <c r="AK4205"/>
    </row>
    <row r="4206" spans="1:37" ht="13.05" customHeight="1" x14ac:dyDescent="0.25">
      <c r="A4206"/>
      <c r="C4206" s="191"/>
      <c r="D4206" s="191"/>
      <c r="F4206"/>
      <c r="G4206"/>
      <c r="H4206" s="36"/>
      <c r="I4206" s="125"/>
      <c r="S4206" s="4"/>
      <c r="T4206" s="124"/>
      <c r="U4206" s="22"/>
      <c r="V4206" s="22"/>
      <c r="W4206" s="78"/>
      <c r="X4206" s="78"/>
      <c r="AF4206"/>
      <c r="AG4206"/>
      <c r="AH4206"/>
      <c r="AI4206"/>
      <c r="AJ4206"/>
      <c r="AK4206"/>
    </row>
    <row r="4207" spans="1:37" ht="13.05" customHeight="1" x14ac:dyDescent="0.25">
      <c r="A4207"/>
      <c r="C4207" s="191"/>
      <c r="D4207" s="191"/>
      <c r="F4207"/>
      <c r="G4207"/>
      <c r="H4207" s="36"/>
      <c r="I4207" s="125"/>
      <c r="S4207" s="4"/>
      <c r="T4207" s="124"/>
      <c r="U4207" s="22"/>
      <c r="V4207" s="22"/>
      <c r="W4207" s="78"/>
      <c r="X4207" s="78"/>
      <c r="AF4207"/>
      <c r="AG4207"/>
      <c r="AH4207"/>
      <c r="AI4207"/>
      <c r="AJ4207"/>
      <c r="AK4207"/>
    </row>
    <row r="4208" spans="1:37" ht="13.05" customHeight="1" x14ac:dyDescent="0.25">
      <c r="A4208"/>
      <c r="C4208" s="191"/>
      <c r="D4208" s="191"/>
      <c r="F4208"/>
      <c r="G4208"/>
      <c r="H4208" s="36"/>
      <c r="I4208" s="125"/>
      <c r="S4208" s="4"/>
      <c r="T4208" s="124"/>
      <c r="U4208" s="22"/>
      <c r="V4208" s="22"/>
      <c r="W4208" s="78"/>
      <c r="X4208" s="78"/>
      <c r="AF4208"/>
      <c r="AG4208"/>
      <c r="AH4208"/>
      <c r="AI4208"/>
      <c r="AJ4208"/>
      <c r="AK4208"/>
    </row>
    <row r="4209" spans="1:37" ht="13.05" customHeight="1" x14ac:dyDescent="0.25">
      <c r="A4209"/>
      <c r="C4209" s="191"/>
      <c r="D4209" s="191"/>
      <c r="F4209"/>
      <c r="G4209"/>
      <c r="H4209" s="36"/>
      <c r="I4209" s="125"/>
      <c r="S4209" s="4"/>
      <c r="T4209" s="124"/>
      <c r="U4209" s="22"/>
      <c r="V4209" s="22"/>
      <c r="W4209" s="78"/>
      <c r="X4209" s="78"/>
      <c r="AF4209"/>
      <c r="AG4209"/>
      <c r="AH4209"/>
      <c r="AI4209"/>
      <c r="AJ4209"/>
      <c r="AK4209"/>
    </row>
    <row r="4210" spans="1:37" ht="13.05" customHeight="1" x14ac:dyDescent="0.25">
      <c r="A4210"/>
      <c r="C4210" s="191"/>
      <c r="D4210" s="191"/>
      <c r="F4210"/>
      <c r="G4210"/>
      <c r="H4210" s="36"/>
      <c r="I4210" s="125"/>
      <c r="S4210" s="4"/>
      <c r="T4210" s="124"/>
      <c r="U4210" s="22"/>
      <c r="V4210" s="22"/>
      <c r="W4210" s="78"/>
      <c r="X4210" s="78"/>
      <c r="AF4210"/>
      <c r="AG4210"/>
      <c r="AH4210"/>
      <c r="AI4210"/>
      <c r="AJ4210"/>
      <c r="AK4210"/>
    </row>
    <row r="4211" spans="1:37" ht="13.05" customHeight="1" x14ac:dyDescent="0.25">
      <c r="A4211"/>
      <c r="C4211" s="191"/>
      <c r="D4211" s="191"/>
      <c r="F4211"/>
      <c r="G4211"/>
      <c r="H4211" s="36"/>
      <c r="I4211" s="125"/>
      <c r="S4211" s="4"/>
      <c r="T4211" s="124"/>
      <c r="U4211" s="22"/>
      <c r="V4211" s="22"/>
      <c r="W4211" s="78"/>
      <c r="X4211" s="78"/>
      <c r="AF4211"/>
      <c r="AG4211"/>
      <c r="AH4211"/>
      <c r="AI4211"/>
      <c r="AJ4211"/>
      <c r="AK4211"/>
    </row>
    <row r="4212" spans="1:37" ht="13.05" customHeight="1" x14ac:dyDescent="0.25">
      <c r="A4212"/>
      <c r="C4212" s="191"/>
      <c r="D4212" s="191"/>
      <c r="F4212"/>
      <c r="G4212"/>
      <c r="H4212" s="36"/>
      <c r="I4212" s="125"/>
      <c r="S4212" s="4"/>
      <c r="T4212" s="124"/>
      <c r="U4212" s="22"/>
      <c r="V4212" s="22"/>
      <c r="W4212" s="78"/>
      <c r="X4212" s="78"/>
      <c r="AF4212"/>
      <c r="AG4212"/>
      <c r="AH4212"/>
      <c r="AI4212"/>
      <c r="AJ4212"/>
      <c r="AK4212"/>
    </row>
    <row r="4213" spans="1:37" ht="13.05" customHeight="1" x14ac:dyDescent="0.25">
      <c r="A4213"/>
      <c r="C4213" s="191"/>
      <c r="D4213" s="191"/>
      <c r="F4213"/>
      <c r="G4213"/>
      <c r="H4213" s="36"/>
      <c r="I4213" s="125"/>
      <c r="S4213" s="4"/>
      <c r="T4213" s="124"/>
      <c r="U4213" s="22"/>
      <c r="V4213" s="22"/>
      <c r="W4213" s="78"/>
      <c r="X4213" s="78"/>
      <c r="AF4213"/>
      <c r="AG4213"/>
      <c r="AH4213"/>
      <c r="AI4213"/>
      <c r="AJ4213"/>
      <c r="AK4213"/>
    </row>
    <row r="4214" spans="1:37" ht="13.05" customHeight="1" x14ac:dyDescent="0.25">
      <c r="A4214"/>
      <c r="C4214" s="191"/>
      <c r="D4214" s="191"/>
      <c r="F4214"/>
      <c r="G4214"/>
      <c r="H4214" s="36"/>
      <c r="I4214" s="125"/>
      <c r="S4214" s="4"/>
      <c r="T4214" s="124"/>
      <c r="U4214" s="22"/>
      <c r="V4214" s="22"/>
      <c r="W4214" s="78"/>
      <c r="X4214" s="78"/>
      <c r="AF4214"/>
      <c r="AG4214"/>
      <c r="AH4214"/>
      <c r="AI4214"/>
      <c r="AJ4214"/>
      <c r="AK4214"/>
    </row>
    <row r="4215" spans="1:37" ht="13.05" customHeight="1" x14ac:dyDescent="0.25">
      <c r="A4215"/>
      <c r="C4215" s="191"/>
      <c r="D4215" s="191"/>
      <c r="F4215"/>
      <c r="G4215"/>
      <c r="H4215" s="36"/>
      <c r="I4215" s="125"/>
      <c r="S4215" s="4"/>
      <c r="T4215" s="124"/>
      <c r="U4215" s="22"/>
      <c r="V4215" s="22"/>
      <c r="W4215" s="78"/>
      <c r="X4215" s="78"/>
      <c r="AF4215"/>
      <c r="AG4215"/>
      <c r="AH4215"/>
      <c r="AI4215"/>
      <c r="AJ4215"/>
      <c r="AK4215"/>
    </row>
    <row r="4216" spans="1:37" ht="13.05" customHeight="1" x14ac:dyDescent="0.25">
      <c r="A4216"/>
      <c r="C4216" s="191"/>
      <c r="D4216" s="191"/>
      <c r="F4216"/>
      <c r="G4216"/>
      <c r="H4216" s="36"/>
      <c r="I4216" s="125"/>
      <c r="S4216" s="4"/>
      <c r="T4216" s="124"/>
      <c r="U4216" s="22"/>
      <c r="V4216" s="22"/>
      <c r="W4216" s="78"/>
      <c r="X4216" s="78"/>
      <c r="AF4216"/>
      <c r="AG4216"/>
      <c r="AH4216"/>
      <c r="AI4216"/>
      <c r="AJ4216"/>
      <c r="AK4216"/>
    </row>
    <row r="4217" spans="1:37" ht="13.05" customHeight="1" x14ac:dyDescent="0.25">
      <c r="A4217"/>
      <c r="C4217" s="191"/>
      <c r="D4217" s="191"/>
      <c r="F4217"/>
      <c r="G4217"/>
      <c r="H4217" s="36"/>
      <c r="I4217" s="125"/>
      <c r="S4217" s="4"/>
      <c r="T4217" s="124"/>
      <c r="U4217" s="22"/>
      <c r="V4217" s="22"/>
      <c r="W4217" s="78"/>
      <c r="X4217" s="78"/>
      <c r="AF4217"/>
      <c r="AG4217"/>
      <c r="AH4217"/>
      <c r="AI4217"/>
      <c r="AJ4217"/>
      <c r="AK4217"/>
    </row>
    <row r="4218" spans="1:37" ht="13.05" customHeight="1" x14ac:dyDescent="0.25">
      <c r="A4218"/>
      <c r="C4218" s="191"/>
      <c r="D4218" s="191"/>
      <c r="F4218"/>
      <c r="G4218"/>
      <c r="H4218" s="36"/>
      <c r="I4218" s="125"/>
      <c r="S4218" s="4"/>
      <c r="T4218" s="124"/>
      <c r="U4218" s="22"/>
      <c r="V4218" s="22"/>
      <c r="W4218" s="78"/>
      <c r="X4218" s="78"/>
      <c r="AF4218"/>
      <c r="AG4218"/>
      <c r="AH4218"/>
      <c r="AI4218"/>
      <c r="AJ4218"/>
      <c r="AK4218"/>
    </row>
    <row r="4219" spans="1:37" ht="13.05" customHeight="1" x14ac:dyDescent="0.25">
      <c r="A4219"/>
      <c r="C4219" s="191"/>
      <c r="D4219" s="191"/>
      <c r="F4219"/>
      <c r="G4219"/>
      <c r="H4219" s="36"/>
      <c r="I4219" s="125"/>
      <c r="S4219" s="4"/>
      <c r="T4219" s="124"/>
      <c r="U4219" s="22"/>
      <c r="V4219" s="22"/>
      <c r="W4219" s="78"/>
      <c r="X4219" s="78"/>
      <c r="AF4219"/>
      <c r="AG4219"/>
      <c r="AH4219"/>
      <c r="AI4219"/>
      <c r="AJ4219"/>
      <c r="AK4219"/>
    </row>
    <row r="4220" spans="1:37" ht="13.05" customHeight="1" x14ac:dyDescent="0.25">
      <c r="A4220"/>
      <c r="C4220" s="191"/>
      <c r="D4220" s="191"/>
      <c r="F4220"/>
      <c r="G4220"/>
      <c r="H4220" s="36"/>
      <c r="I4220" s="125"/>
      <c r="S4220" s="4"/>
      <c r="T4220" s="124"/>
      <c r="U4220" s="22"/>
      <c r="V4220" s="22"/>
      <c r="W4220" s="78"/>
      <c r="X4220" s="78"/>
      <c r="AF4220"/>
      <c r="AG4220"/>
      <c r="AH4220"/>
      <c r="AI4220"/>
      <c r="AJ4220"/>
      <c r="AK4220"/>
    </row>
    <row r="4221" spans="1:37" ht="13.05" customHeight="1" x14ac:dyDescent="0.25">
      <c r="A4221"/>
      <c r="C4221" s="191"/>
      <c r="D4221" s="191"/>
      <c r="F4221"/>
      <c r="G4221"/>
      <c r="H4221" s="36"/>
      <c r="I4221" s="125"/>
      <c r="S4221" s="4"/>
      <c r="T4221" s="124"/>
      <c r="U4221" s="22"/>
      <c r="V4221" s="22"/>
      <c r="W4221" s="78"/>
      <c r="X4221" s="78"/>
      <c r="AF4221"/>
      <c r="AG4221"/>
      <c r="AH4221"/>
      <c r="AI4221"/>
      <c r="AJ4221"/>
      <c r="AK4221"/>
    </row>
    <row r="4222" spans="1:37" ht="13.05" customHeight="1" x14ac:dyDescent="0.25">
      <c r="A4222"/>
      <c r="C4222" s="191"/>
      <c r="D4222" s="191"/>
      <c r="F4222"/>
      <c r="G4222"/>
      <c r="H4222" s="36"/>
      <c r="I4222" s="125"/>
      <c r="S4222" s="4"/>
      <c r="T4222" s="124"/>
      <c r="U4222" s="22"/>
      <c r="V4222" s="22"/>
      <c r="W4222" s="78"/>
      <c r="X4222" s="78"/>
      <c r="AF4222"/>
      <c r="AG4222"/>
      <c r="AH4222"/>
      <c r="AI4222"/>
      <c r="AJ4222"/>
      <c r="AK4222"/>
    </row>
    <row r="4223" spans="1:37" ht="13.05" customHeight="1" x14ac:dyDescent="0.25">
      <c r="A4223"/>
      <c r="C4223" s="191"/>
      <c r="D4223" s="191"/>
      <c r="F4223"/>
      <c r="G4223"/>
      <c r="H4223" s="36"/>
      <c r="I4223" s="125"/>
      <c r="S4223" s="4"/>
      <c r="T4223" s="124"/>
      <c r="U4223" s="22"/>
      <c r="V4223" s="22"/>
      <c r="W4223" s="78"/>
      <c r="X4223" s="78"/>
      <c r="AF4223"/>
      <c r="AG4223"/>
      <c r="AH4223"/>
      <c r="AI4223"/>
      <c r="AJ4223"/>
      <c r="AK4223"/>
    </row>
    <row r="4224" spans="1:37" ht="13.05" customHeight="1" x14ac:dyDescent="0.25">
      <c r="A4224"/>
      <c r="C4224" s="191"/>
      <c r="D4224" s="191"/>
      <c r="F4224"/>
      <c r="G4224"/>
      <c r="H4224" s="36"/>
      <c r="I4224" s="125"/>
      <c r="S4224" s="4"/>
      <c r="T4224" s="124"/>
      <c r="U4224" s="22"/>
      <c r="V4224" s="22"/>
      <c r="W4224" s="78"/>
      <c r="X4224" s="78"/>
      <c r="AF4224"/>
      <c r="AG4224"/>
      <c r="AH4224"/>
      <c r="AI4224"/>
      <c r="AJ4224"/>
      <c r="AK4224"/>
    </row>
    <row r="4225" spans="1:37" ht="13.05" customHeight="1" x14ac:dyDescent="0.25">
      <c r="A4225"/>
      <c r="C4225" s="191"/>
      <c r="D4225" s="191"/>
      <c r="F4225"/>
      <c r="G4225"/>
      <c r="H4225" s="36"/>
      <c r="I4225" s="125"/>
      <c r="S4225" s="4"/>
      <c r="T4225" s="124"/>
      <c r="U4225" s="22"/>
      <c r="V4225" s="22"/>
      <c r="W4225" s="78"/>
      <c r="X4225" s="78"/>
      <c r="AF4225"/>
      <c r="AG4225"/>
      <c r="AH4225"/>
      <c r="AI4225"/>
      <c r="AJ4225"/>
      <c r="AK4225"/>
    </row>
    <row r="4226" spans="1:37" ht="13.05" customHeight="1" x14ac:dyDescent="0.25">
      <c r="A4226"/>
      <c r="C4226" s="191"/>
      <c r="D4226" s="191"/>
      <c r="F4226"/>
      <c r="G4226"/>
      <c r="H4226" s="36"/>
      <c r="I4226" s="125"/>
      <c r="S4226" s="4"/>
      <c r="T4226" s="124"/>
      <c r="U4226" s="22"/>
      <c r="V4226" s="22"/>
      <c r="W4226" s="78"/>
      <c r="X4226" s="78"/>
      <c r="AF4226"/>
      <c r="AG4226"/>
      <c r="AH4226"/>
      <c r="AI4226"/>
      <c r="AJ4226"/>
      <c r="AK4226"/>
    </row>
    <row r="4227" spans="1:37" ht="13.05" customHeight="1" x14ac:dyDescent="0.25">
      <c r="A4227"/>
      <c r="C4227" s="191"/>
      <c r="D4227" s="191"/>
      <c r="F4227"/>
      <c r="G4227"/>
      <c r="H4227" s="36"/>
      <c r="I4227" s="125"/>
      <c r="S4227" s="4"/>
      <c r="T4227" s="124"/>
      <c r="U4227" s="22"/>
      <c r="V4227" s="22"/>
      <c r="W4227" s="78"/>
      <c r="X4227" s="78"/>
      <c r="AF4227"/>
      <c r="AG4227"/>
      <c r="AH4227"/>
      <c r="AI4227"/>
      <c r="AJ4227"/>
      <c r="AK4227"/>
    </row>
    <row r="4228" spans="1:37" ht="13.05" customHeight="1" x14ac:dyDescent="0.25">
      <c r="A4228"/>
      <c r="C4228" s="191"/>
      <c r="D4228" s="191"/>
      <c r="F4228"/>
      <c r="G4228"/>
      <c r="H4228" s="36"/>
      <c r="I4228" s="125"/>
      <c r="S4228" s="4"/>
      <c r="T4228" s="124"/>
      <c r="U4228" s="22"/>
      <c r="V4228" s="22"/>
      <c r="W4228" s="78"/>
      <c r="X4228" s="78"/>
      <c r="AF4228"/>
      <c r="AG4228"/>
      <c r="AH4228"/>
      <c r="AI4228"/>
      <c r="AJ4228"/>
      <c r="AK4228"/>
    </row>
    <row r="4229" spans="1:37" ht="13.05" customHeight="1" x14ac:dyDescent="0.25">
      <c r="A4229"/>
      <c r="C4229" s="191"/>
      <c r="D4229" s="191"/>
      <c r="F4229"/>
      <c r="G4229"/>
      <c r="H4229" s="36"/>
      <c r="I4229" s="125"/>
      <c r="S4229" s="4"/>
      <c r="T4229" s="124"/>
      <c r="U4229" s="22"/>
      <c r="V4229" s="22"/>
      <c r="W4229" s="78"/>
      <c r="X4229" s="78"/>
      <c r="AF4229"/>
      <c r="AG4229"/>
      <c r="AH4229"/>
      <c r="AI4229"/>
      <c r="AJ4229"/>
      <c r="AK4229"/>
    </row>
    <row r="4230" spans="1:37" ht="13.05" customHeight="1" x14ac:dyDescent="0.25">
      <c r="A4230"/>
      <c r="C4230" s="191"/>
      <c r="D4230" s="191"/>
      <c r="F4230"/>
      <c r="G4230"/>
      <c r="H4230" s="36"/>
      <c r="I4230" s="125"/>
      <c r="S4230" s="4"/>
      <c r="T4230" s="124"/>
      <c r="U4230" s="22"/>
      <c r="V4230" s="22"/>
      <c r="W4230" s="78"/>
      <c r="X4230" s="78"/>
      <c r="AF4230"/>
      <c r="AG4230"/>
      <c r="AH4230"/>
      <c r="AI4230"/>
      <c r="AJ4230"/>
      <c r="AK4230"/>
    </row>
    <row r="4231" spans="1:37" ht="13.05" customHeight="1" x14ac:dyDescent="0.25">
      <c r="A4231"/>
      <c r="C4231" s="191"/>
      <c r="D4231" s="191"/>
      <c r="F4231"/>
      <c r="G4231"/>
      <c r="H4231" s="36"/>
      <c r="I4231" s="125"/>
      <c r="S4231" s="4"/>
      <c r="T4231" s="124"/>
      <c r="U4231" s="22"/>
      <c r="V4231" s="22"/>
      <c r="W4231" s="78"/>
      <c r="X4231" s="78"/>
      <c r="AF4231"/>
      <c r="AG4231"/>
      <c r="AH4231"/>
      <c r="AI4231"/>
      <c r="AJ4231"/>
      <c r="AK4231"/>
    </row>
    <row r="4232" spans="1:37" ht="13.05" customHeight="1" x14ac:dyDescent="0.25">
      <c r="A4232"/>
      <c r="C4232" s="191"/>
      <c r="D4232" s="191"/>
      <c r="F4232"/>
      <c r="G4232"/>
      <c r="H4232" s="36"/>
      <c r="I4232" s="125"/>
      <c r="S4232" s="4"/>
      <c r="T4232" s="124"/>
      <c r="U4232" s="22"/>
      <c r="V4232" s="22"/>
      <c r="W4232" s="78"/>
      <c r="X4232" s="78"/>
      <c r="AF4232"/>
      <c r="AG4232"/>
      <c r="AH4232"/>
      <c r="AI4232"/>
      <c r="AJ4232"/>
      <c r="AK4232"/>
    </row>
    <row r="4233" spans="1:37" ht="13.05" customHeight="1" x14ac:dyDescent="0.25">
      <c r="A4233"/>
      <c r="C4233" s="191"/>
      <c r="D4233" s="191"/>
      <c r="F4233"/>
      <c r="G4233"/>
      <c r="H4233" s="36"/>
      <c r="I4233" s="125"/>
      <c r="S4233" s="4"/>
      <c r="T4233" s="124"/>
      <c r="U4233" s="22"/>
      <c r="V4233" s="22"/>
      <c r="W4233" s="78"/>
      <c r="X4233" s="78"/>
      <c r="AF4233"/>
      <c r="AG4233"/>
      <c r="AH4233"/>
      <c r="AI4233"/>
      <c r="AJ4233"/>
      <c r="AK4233"/>
    </row>
    <row r="4234" spans="1:37" ht="13.05" customHeight="1" x14ac:dyDescent="0.25">
      <c r="A4234"/>
      <c r="C4234" s="191"/>
      <c r="D4234" s="191"/>
      <c r="F4234"/>
      <c r="G4234"/>
      <c r="H4234" s="36"/>
      <c r="I4234" s="125"/>
      <c r="S4234" s="4"/>
      <c r="T4234" s="124"/>
      <c r="U4234" s="22"/>
      <c r="V4234" s="22"/>
      <c r="W4234" s="78"/>
      <c r="X4234" s="78"/>
      <c r="AF4234"/>
      <c r="AG4234"/>
      <c r="AH4234"/>
      <c r="AI4234"/>
      <c r="AJ4234"/>
      <c r="AK4234"/>
    </row>
    <row r="4235" spans="1:37" ht="13.05" customHeight="1" x14ac:dyDescent="0.25">
      <c r="A4235"/>
      <c r="C4235" s="191"/>
      <c r="D4235" s="191"/>
      <c r="F4235"/>
      <c r="G4235"/>
      <c r="H4235" s="36"/>
      <c r="I4235" s="125"/>
      <c r="S4235" s="4"/>
      <c r="T4235" s="124"/>
      <c r="U4235" s="22"/>
      <c r="V4235" s="22"/>
      <c r="W4235" s="78"/>
      <c r="X4235" s="78"/>
      <c r="AF4235"/>
      <c r="AG4235"/>
      <c r="AH4235"/>
      <c r="AI4235"/>
      <c r="AJ4235"/>
      <c r="AK4235"/>
    </row>
    <row r="4236" spans="1:37" ht="13.05" customHeight="1" x14ac:dyDescent="0.25">
      <c r="A4236"/>
      <c r="C4236" s="191"/>
      <c r="D4236" s="191"/>
      <c r="F4236"/>
      <c r="G4236"/>
      <c r="H4236" s="36"/>
      <c r="I4236" s="125"/>
      <c r="S4236" s="4"/>
      <c r="T4236" s="124"/>
      <c r="U4236" s="22"/>
      <c r="V4236" s="22"/>
      <c r="W4236" s="78"/>
      <c r="X4236" s="78"/>
      <c r="AF4236"/>
      <c r="AG4236"/>
      <c r="AH4236"/>
      <c r="AI4236"/>
      <c r="AJ4236"/>
      <c r="AK4236"/>
    </row>
    <row r="4237" spans="1:37" ht="13.05" customHeight="1" x14ac:dyDescent="0.25">
      <c r="A4237"/>
      <c r="C4237" s="191"/>
      <c r="D4237" s="191"/>
      <c r="F4237"/>
      <c r="G4237"/>
      <c r="H4237" s="36"/>
      <c r="I4237" s="125"/>
      <c r="S4237" s="4"/>
      <c r="T4237" s="124"/>
      <c r="U4237" s="22"/>
      <c r="V4237" s="22"/>
      <c r="W4237" s="78"/>
      <c r="X4237" s="78"/>
      <c r="AF4237"/>
      <c r="AG4237"/>
      <c r="AH4237"/>
      <c r="AI4237"/>
      <c r="AJ4237"/>
      <c r="AK4237"/>
    </row>
    <row r="4238" spans="1:37" ht="13.05" customHeight="1" x14ac:dyDescent="0.25">
      <c r="A4238"/>
      <c r="C4238" s="191"/>
      <c r="D4238" s="191"/>
      <c r="F4238"/>
      <c r="G4238"/>
      <c r="H4238" s="36"/>
      <c r="I4238" s="125"/>
      <c r="S4238" s="4"/>
      <c r="T4238" s="124"/>
      <c r="U4238" s="22"/>
      <c r="V4238" s="22"/>
      <c r="W4238" s="78"/>
      <c r="X4238" s="78"/>
      <c r="AF4238"/>
      <c r="AG4238"/>
      <c r="AH4238"/>
      <c r="AI4238"/>
      <c r="AJ4238"/>
      <c r="AK4238"/>
    </row>
    <row r="4239" spans="1:37" ht="13.05" customHeight="1" x14ac:dyDescent="0.25">
      <c r="A4239"/>
      <c r="C4239" s="191"/>
      <c r="D4239" s="191"/>
      <c r="F4239"/>
      <c r="G4239"/>
      <c r="H4239" s="36"/>
      <c r="I4239" s="125"/>
      <c r="S4239" s="4"/>
      <c r="T4239" s="124"/>
      <c r="U4239" s="22"/>
      <c r="V4239" s="22"/>
      <c r="W4239" s="78"/>
      <c r="X4239" s="78"/>
      <c r="AF4239"/>
      <c r="AG4239"/>
      <c r="AH4239"/>
      <c r="AI4239"/>
      <c r="AJ4239"/>
      <c r="AK4239"/>
    </row>
    <row r="4240" spans="1:37" ht="13.05" customHeight="1" x14ac:dyDescent="0.25">
      <c r="A4240"/>
      <c r="C4240" s="191"/>
      <c r="D4240" s="191"/>
      <c r="F4240"/>
      <c r="G4240"/>
      <c r="H4240" s="36"/>
      <c r="I4240" s="125"/>
      <c r="S4240" s="4"/>
      <c r="T4240" s="124"/>
      <c r="U4240" s="22"/>
      <c r="V4240" s="22"/>
      <c r="W4240" s="78"/>
      <c r="X4240" s="78"/>
      <c r="AF4240"/>
      <c r="AG4240"/>
      <c r="AH4240"/>
      <c r="AI4240"/>
      <c r="AJ4240"/>
      <c r="AK4240"/>
    </row>
    <row r="4241" spans="1:37" ht="13.05" customHeight="1" x14ac:dyDescent="0.25">
      <c r="A4241"/>
      <c r="C4241" s="191"/>
      <c r="D4241" s="191"/>
      <c r="F4241"/>
      <c r="G4241"/>
      <c r="H4241" s="36"/>
      <c r="I4241" s="125"/>
      <c r="S4241" s="4"/>
      <c r="T4241" s="124"/>
      <c r="U4241" s="22"/>
      <c r="V4241" s="22"/>
      <c r="W4241" s="78"/>
      <c r="X4241" s="78"/>
      <c r="AF4241"/>
      <c r="AG4241"/>
      <c r="AH4241"/>
      <c r="AI4241"/>
      <c r="AJ4241"/>
      <c r="AK4241"/>
    </row>
    <row r="4242" spans="1:37" ht="13.05" customHeight="1" x14ac:dyDescent="0.25">
      <c r="A4242"/>
      <c r="C4242" s="191"/>
      <c r="D4242" s="191"/>
      <c r="F4242"/>
      <c r="G4242"/>
      <c r="H4242" s="36"/>
      <c r="I4242" s="125"/>
      <c r="S4242" s="4"/>
      <c r="T4242" s="124"/>
      <c r="U4242" s="22"/>
      <c r="V4242" s="22"/>
      <c r="W4242" s="78"/>
      <c r="X4242" s="78"/>
      <c r="AF4242"/>
      <c r="AG4242"/>
      <c r="AH4242"/>
      <c r="AI4242"/>
      <c r="AJ4242"/>
      <c r="AK4242"/>
    </row>
    <row r="4243" spans="1:37" ht="13.05" customHeight="1" x14ac:dyDescent="0.25">
      <c r="A4243"/>
      <c r="C4243" s="191"/>
      <c r="D4243" s="191"/>
      <c r="F4243"/>
      <c r="G4243"/>
      <c r="H4243" s="36"/>
      <c r="I4243" s="125"/>
      <c r="S4243" s="4"/>
      <c r="T4243" s="124"/>
      <c r="U4243" s="22"/>
      <c r="V4243" s="22"/>
      <c r="W4243" s="78"/>
      <c r="X4243" s="78"/>
      <c r="AF4243"/>
      <c r="AG4243"/>
      <c r="AH4243"/>
      <c r="AI4243"/>
      <c r="AJ4243"/>
      <c r="AK4243"/>
    </row>
    <row r="4244" spans="1:37" ht="13.05" customHeight="1" x14ac:dyDescent="0.25">
      <c r="A4244"/>
      <c r="C4244" s="191"/>
      <c r="D4244" s="191"/>
      <c r="F4244"/>
      <c r="G4244"/>
      <c r="H4244" s="36"/>
      <c r="I4244" s="125"/>
      <c r="S4244" s="4"/>
      <c r="T4244" s="124"/>
      <c r="U4244" s="22"/>
      <c r="V4244" s="22"/>
      <c r="W4244" s="78"/>
      <c r="X4244" s="78"/>
      <c r="AF4244"/>
      <c r="AG4244"/>
      <c r="AH4244"/>
      <c r="AI4244"/>
      <c r="AJ4244"/>
      <c r="AK4244"/>
    </row>
    <row r="4245" spans="1:37" ht="13.05" customHeight="1" x14ac:dyDescent="0.25">
      <c r="A4245"/>
      <c r="C4245" s="191"/>
      <c r="D4245" s="191"/>
      <c r="F4245"/>
      <c r="G4245"/>
      <c r="H4245" s="36"/>
      <c r="I4245" s="125"/>
      <c r="S4245" s="4"/>
      <c r="T4245" s="124"/>
      <c r="U4245" s="22"/>
      <c r="V4245" s="22"/>
      <c r="W4245" s="78"/>
      <c r="X4245" s="78"/>
      <c r="AF4245"/>
      <c r="AG4245"/>
      <c r="AH4245"/>
      <c r="AI4245"/>
      <c r="AJ4245"/>
      <c r="AK4245"/>
    </row>
    <row r="4246" spans="1:37" ht="13.05" customHeight="1" x14ac:dyDescent="0.25">
      <c r="A4246"/>
      <c r="C4246" s="191"/>
      <c r="D4246" s="191"/>
      <c r="F4246"/>
      <c r="G4246"/>
      <c r="H4246" s="36"/>
      <c r="I4246" s="125"/>
      <c r="S4246" s="4"/>
      <c r="T4246" s="124"/>
      <c r="U4246" s="22"/>
      <c r="V4246" s="22"/>
      <c r="W4246" s="78"/>
      <c r="X4246" s="78"/>
      <c r="AF4246"/>
      <c r="AG4246"/>
      <c r="AH4246"/>
      <c r="AI4246"/>
      <c r="AJ4246"/>
      <c r="AK4246"/>
    </row>
    <row r="4247" spans="1:37" ht="13.05" customHeight="1" x14ac:dyDescent="0.25">
      <c r="A4247"/>
      <c r="C4247" s="191"/>
      <c r="D4247" s="191"/>
      <c r="F4247"/>
      <c r="G4247"/>
      <c r="H4247" s="36"/>
      <c r="I4247" s="125"/>
      <c r="S4247" s="4"/>
      <c r="T4247" s="124"/>
      <c r="U4247" s="22"/>
      <c r="V4247" s="22"/>
      <c r="W4247" s="78"/>
      <c r="X4247" s="78"/>
      <c r="AF4247"/>
      <c r="AG4247"/>
      <c r="AH4247"/>
      <c r="AI4247"/>
      <c r="AJ4247"/>
      <c r="AK4247"/>
    </row>
    <row r="4248" spans="1:37" ht="13.05" customHeight="1" x14ac:dyDescent="0.25">
      <c r="A4248"/>
      <c r="C4248" s="191"/>
      <c r="D4248" s="191"/>
      <c r="F4248"/>
      <c r="G4248"/>
      <c r="H4248" s="36"/>
      <c r="I4248" s="125"/>
      <c r="S4248" s="4"/>
      <c r="T4248" s="124"/>
      <c r="U4248" s="22"/>
      <c r="V4248" s="22"/>
      <c r="W4248" s="78"/>
      <c r="X4248" s="78"/>
      <c r="AF4248"/>
      <c r="AG4248"/>
      <c r="AH4248"/>
      <c r="AI4248"/>
      <c r="AJ4248"/>
      <c r="AK4248"/>
    </row>
    <row r="4249" spans="1:37" ht="13.05" customHeight="1" x14ac:dyDescent="0.25">
      <c r="A4249"/>
      <c r="C4249" s="191"/>
      <c r="D4249" s="191"/>
      <c r="F4249"/>
      <c r="G4249"/>
      <c r="H4249" s="36"/>
      <c r="I4249" s="125"/>
      <c r="S4249" s="4"/>
      <c r="T4249" s="124"/>
      <c r="U4249" s="22"/>
      <c r="V4249" s="22"/>
      <c r="W4249" s="78"/>
      <c r="X4249" s="78"/>
      <c r="AF4249"/>
      <c r="AG4249"/>
      <c r="AH4249"/>
      <c r="AI4249"/>
      <c r="AJ4249"/>
      <c r="AK4249"/>
    </row>
    <row r="4250" spans="1:37" ht="13.05" customHeight="1" x14ac:dyDescent="0.25">
      <c r="A4250"/>
      <c r="C4250" s="191"/>
      <c r="D4250" s="191"/>
      <c r="F4250"/>
      <c r="G4250"/>
      <c r="H4250" s="36"/>
      <c r="I4250" s="125"/>
      <c r="S4250" s="4"/>
      <c r="T4250" s="124"/>
      <c r="U4250" s="22"/>
      <c r="V4250" s="22"/>
      <c r="W4250" s="78"/>
      <c r="X4250" s="78"/>
      <c r="AF4250"/>
      <c r="AG4250"/>
      <c r="AH4250"/>
      <c r="AI4250"/>
      <c r="AJ4250"/>
      <c r="AK4250"/>
    </row>
    <row r="4251" spans="1:37" ht="13.05" customHeight="1" x14ac:dyDescent="0.25">
      <c r="A4251"/>
      <c r="C4251" s="191"/>
      <c r="D4251" s="191"/>
      <c r="F4251"/>
      <c r="G4251"/>
      <c r="H4251" s="36"/>
      <c r="I4251" s="125"/>
      <c r="S4251" s="4"/>
      <c r="T4251" s="124"/>
      <c r="U4251" s="22"/>
      <c r="V4251" s="22"/>
      <c r="W4251" s="78"/>
      <c r="X4251" s="78"/>
      <c r="AF4251"/>
      <c r="AG4251"/>
      <c r="AH4251"/>
      <c r="AI4251"/>
      <c r="AJ4251"/>
      <c r="AK4251"/>
    </row>
    <row r="4252" spans="1:37" ht="13.05" customHeight="1" x14ac:dyDescent="0.25">
      <c r="A4252"/>
      <c r="C4252" s="191"/>
      <c r="D4252" s="191"/>
      <c r="F4252"/>
      <c r="G4252"/>
      <c r="H4252" s="36"/>
      <c r="I4252" s="125"/>
      <c r="S4252" s="4"/>
      <c r="T4252" s="124"/>
      <c r="U4252" s="22"/>
      <c r="V4252" s="22"/>
      <c r="W4252" s="78"/>
      <c r="X4252" s="78"/>
      <c r="AF4252"/>
      <c r="AG4252"/>
      <c r="AH4252"/>
      <c r="AI4252"/>
      <c r="AJ4252"/>
      <c r="AK4252"/>
    </row>
    <row r="4253" spans="1:37" ht="13.05" customHeight="1" x14ac:dyDescent="0.25">
      <c r="A4253"/>
      <c r="C4253" s="191"/>
      <c r="D4253" s="191"/>
      <c r="F4253"/>
      <c r="G4253"/>
      <c r="H4253" s="36"/>
      <c r="I4253" s="125"/>
      <c r="S4253" s="4"/>
      <c r="T4253" s="124"/>
      <c r="U4253" s="22"/>
      <c r="V4253" s="22"/>
      <c r="W4253" s="78"/>
      <c r="X4253" s="78"/>
      <c r="AF4253"/>
      <c r="AG4253"/>
      <c r="AH4253"/>
      <c r="AI4253"/>
      <c r="AJ4253"/>
      <c r="AK4253"/>
    </row>
    <row r="4254" spans="1:37" ht="13.05" customHeight="1" x14ac:dyDescent="0.25">
      <c r="A4254"/>
      <c r="C4254" s="191"/>
      <c r="D4254" s="191"/>
      <c r="F4254"/>
      <c r="G4254"/>
      <c r="H4254" s="36"/>
      <c r="I4254" s="125"/>
      <c r="S4254" s="4"/>
      <c r="T4254" s="124"/>
      <c r="U4254" s="22"/>
      <c r="V4254" s="22"/>
      <c r="W4254" s="78"/>
      <c r="X4254" s="78"/>
      <c r="AF4254"/>
      <c r="AG4254"/>
      <c r="AH4254"/>
      <c r="AI4254"/>
      <c r="AJ4254"/>
      <c r="AK4254"/>
    </row>
    <row r="4255" spans="1:37" ht="13.05" customHeight="1" x14ac:dyDescent="0.25">
      <c r="A4255"/>
      <c r="C4255" s="191"/>
      <c r="D4255" s="191"/>
      <c r="F4255"/>
      <c r="G4255"/>
      <c r="H4255" s="36"/>
      <c r="I4255" s="125"/>
      <c r="S4255" s="4"/>
      <c r="T4255" s="124"/>
      <c r="U4255" s="22"/>
      <c r="V4255" s="22"/>
      <c r="W4255" s="78"/>
      <c r="X4255" s="78"/>
      <c r="AF4255"/>
      <c r="AG4255"/>
      <c r="AH4255"/>
      <c r="AI4255"/>
      <c r="AJ4255"/>
      <c r="AK4255"/>
    </row>
    <row r="4256" spans="1:37" ht="13.05" customHeight="1" x14ac:dyDescent="0.25">
      <c r="A4256"/>
      <c r="C4256" s="191"/>
      <c r="D4256" s="191"/>
      <c r="F4256"/>
      <c r="G4256"/>
      <c r="H4256" s="36"/>
      <c r="I4256" s="125"/>
      <c r="S4256" s="4"/>
      <c r="T4256" s="124"/>
      <c r="U4256" s="22"/>
      <c r="V4256" s="22"/>
      <c r="W4256" s="78"/>
      <c r="X4256" s="78"/>
      <c r="AF4256"/>
      <c r="AG4256"/>
      <c r="AH4256"/>
      <c r="AI4256"/>
      <c r="AJ4256"/>
      <c r="AK4256"/>
    </row>
    <row r="4257" spans="1:37" ht="13.05" customHeight="1" x14ac:dyDescent="0.25">
      <c r="A4257"/>
      <c r="C4257" s="191"/>
      <c r="D4257" s="191"/>
      <c r="F4257"/>
      <c r="G4257"/>
      <c r="H4257" s="36"/>
      <c r="I4257" s="125"/>
      <c r="S4257" s="4"/>
      <c r="T4257" s="124"/>
      <c r="U4257" s="22"/>
      <c r="V4257" s="22"/>
      <c r="W4257" s="78"/>
      <c r="X4257" s="78"/>
      <c r="AF4257"/>
      <c r="AG4257"/>
      <c r="AH4257"/>
      <c r="AI4257"/>
      <c r="AJ4257"/>
      <c r="AK4257"/>
    </row>
    <row r="4258" spans="1:37" ht="13.05" customHeight="1" x14ac:dyDescent="0.25">
      <c r="A4258"/>
      <c r="C4258" s="191"/>
      <c r="D4258" s="191"/>
      <c r="F4258"/>
      <c r="G4258"/>
      <c r="H4258" s="36"/>
      <c r="I4258" s="125"/>
      <c r="S4258" s="4"/>
      <c r="T4258" s="124"/>
      <c r="U4258" s="22"/>
      <c r="V4258" s="22"/>
      <c r="W4258" s="78"/>
      <c r="X4258" s="78"/>
      <c r="AF4258"/>
      <c r="AG4258"/>
      <c r="AH4258"/>
      <c r="AI4258"/>
      <c r="AJ4258"/>
      <c r="AK4258"/>
    </row>
    <row r="4259" spans="1:37" ht="13.05" customHeight="1" x14ac:dyDescent="0.25">
      <c r="A4259"/>
      <c r="C4259" s="191"/>
      <c r="D4259" s="191"/>
      <c r="F4259"/>
      <c r="G4259"/>
      <c r="H4259" s="36"/>
      <c r="I4259" s="125"/>
      <c r="S4259" s="4"/>
      <c r="T4259" s="124"/>
      <c r="U4259" s="22"/>
      <c r="V4259" s="22"/>
      <c r="W4259" s="78"/>
      <c r="X4259" s="78"/>
      <c r="AF4259"/>
      <c r="AG4259"/>
      <c r="AH4259"/>
      <c r="AI4259"/>
      <c r="AJ4259"/>
      <c r="AK4259"/>
    </row>
    <row r="4260" spans="1:37" ht="13.05" customHeight="1" x14ac:dyDescent="0.25">
      <c r="A4260"/>
      <c r="C4260" s="191"/>
      <c r="D4260" s="191"/>
      <c r="F4260"/>
      <c r="G4260"/>
      <c r="H4260" s="36"/>
      <c r="I4260" s="125"/>
      <c r="S4260" s="4"/>
      <c r="T4260" s="124"/>
      <c r="U4260" s="22"/>
      <c r="V4260" s="22"/>
      <c r="W4260" s="78"/>
      <c r="X4260" s="78"/>
      <c r="AF4260"/>
      <c r="AG4260"/>
      <c r="AH4260"/>
      <c r="AI4260"/>
      <c r="AJ4260"/>
      <c r="AK4260"/>
    </row>
    <row r="4261" spans="1:37" ht="13.05" customHeight="1" x14ac:dyDescent="0.25">
      <c r="A4261"/>
      <c r="C4261" s="191"/>
      <c r="D4261" s="191"/>
      <c r="F4261"/>
      <c r="G4261"/>
      <c r="H4261" s="36"/>
      <c r="I4261" s="125"/>
      <c r="S4261" s="4"/>
      <c r="T4261" s="124"/>
      <c r="U4261" s="22"/>
      <c r="V4261" s="22"/>
      <c r="W4261" s="78"/>
      <c r="X4261" s="78"/>
      <c r="AF4261"/>
      <c r="AG4261"/>
      <c r="AH4261"/>
      <c r="AI4261"/>
      <c r="AJ4261"/>
      <c r="AK4261"/>
    </row>
    <row r="4262" spans="1:37" ht="13.05" customHeight="1" x14ac:dyDescent="0.25">
      <c r="A4262"/>
      <c r="C4262" s="191"/>
      <c r="D4262" s="191"/>
      <c r="F4262"/>
      <c r="G4262"/>
      <c r="H4262" s="36"/>
      <c r="I4262" s="125"/>
      <c r="S4262" s="4"/>
      <c r="T4262" s="124"/>
      <c r="U4262" s="22"/>
      <c r="V4262" s="22"/>
      <c r="W4262" s="78"/>
      <c r="X4262" s="78"/>
      <c r="AF4262"/>
      <c r="AG4262"/>
      <c r="AH4262"/>
      <c r="AI4262"/>
      <c r="AJ4262"/>
      <c r="AK4262"/>
    </row>
    <row r="4263" spans="1:37" ht="13.05" customHeight="1" x14ac:dyDescent="0.25">
      <c r="A4263"/>
      <c r="C4263" s="191"/>
      <c r="D4263" s="191"/>
      <c r="F4263"/>
      <c r="G4263"/>
      <c r="H4263" s="36"/>
      <c r="I4263" s="125"/>
      <c r="S4263" s="4"/>
      <c r="T4263" s="124"/>
      <c r="U4263" s="22"/>
      <c r="V4263" s="22"/>
      <c r="W4263" s="78"/>
      <c r="X4263" s="78"/>
      <c r="AF4263"/>
      <c r="AG4263"/>
      <c r="AH4263"/>
      <c r="AI4263"/>
      <c r="AJ4263"/>
      <c r="AK4263"/>
    </row>
    <row r="4264" spans="1:37" ht="13.05" customHeight="1" x14ac:dyDescent="0.25">
      <c r="A4264"/>
      <c r="C4264" s="191"/>
      <c r="D4264" s="191"/>
      <c r="F4264"/>
      <c r="G4264"/>
      <c r="H4264" s="36"/>
      <c r="I4264" s="125"/>
      <c r="S4264" s="4"/>
      <c r="T4264" s="124"/>
      <c r="U4264" s="22"/>
      <c r="V4264" s="22"/>
      <c r="W4264" s="78"/>
      <c r="X4264" s="78"/>
      <c r="AF4264"/>
      <c r="AG4264"/>
      <c r="AH4264"/>
      <c r="AI4264"/>
      <c r="AJ4264"/>
      <c r="AK4264"/>
    </row>
    <row r="4265" spans="1:37" ht="13.05" customHeight="1" x14ac:dyDescent="0.25">
      <c r="A4265"/>
      <c r="C4265" s="191"/>
      <c r="D4265" s="191"/>
      <c r="F4265"/>
      <c r="G4265"/>
      <c r="H4265" s="36"/>
      <c r="I4265" s="125"/>
      <c r="S4265" s="4"/>
      <c r="T4265" s="124"/>
      <c r="U4265" s="22"/>
      <c r="V4265" s="22"/>
      <c r="W4265" s="78"/>
      <c r="X4265" s="78"/>
      <c r="AF4265"/>
      <c r="AG4265"/>
      <c r="AH4265"/>
      <c r="AI4265"/>
      <c r="AJ4265"/>
      <c r="AK4265"/>
    </row>
    <row r="4266" spans="1:37" ht="13.05" customHeight="1" x14ac:dyDescent="0.25">
      <c r="A4266"/>
      <c r="C4266" s="191"/>
      <c r="D4266" s="191"/>
      <c r="F4266"/>
      <c r="G4266"/>
      <c r="H4266" s="36"/>
      <c r="I4266" s="125"/>
      <c r="S4266" s="4"/>
      <c r="T4266" s="124"/>
      <c r="U4266" s="22"/>
      <c r="V4266" s="22"/>
      <c r="W4266" s="78"/>
      <c r="X4266" s="78"/>
      <c r="AF4266"/>
      <c r="AG4266"/>
      <c r="AH4266"/>
      <c r="AI4266"/>
      <c r="AJ4266"/>
      <c r="AK4266"/>
    </row>
    <row r="4267" spans="1:37" ht="13.05" customHeight="1" x14ac:dyDescent="0.25">
      <c r="A4267"/>
      <c r="C4267" s="191"/>
      <c r="D4267" s="191"/>
      <c r="F4267"/>
      <c r="G4267"/>
      <c r="H4267" s="36"/>
      <c r="I4267" s="125"/>
      <c r="S4267" s="4"/>
      <c r="T4267" s="124"/>
      <c r="U4267" s="22"/>
      <c r="V4267" s="22"/>
      <c r="W4267" s="78"/>
      <c r="X4267" s="78"/>
      <c r="AF4267"/>
      <c r="AG4267"/>
      <c r="AH4267"/>
      <c r="AI4267"/>
      <c r="AJ4267"/>
      <c r="AK4267"/>
    </row>
    <row r="4268" spans="1:37" ht="13.05" customHeight="1" x14ac:dyDescent="0.25">
      <c r="A4268"/>
      <c r="C4268" s="191"/>
      <c r="D4268" s="191"/>
      <c r="F4268"/>
      <c r="G4268"/>
      <c r="H4268" s="36"/>
      <c r="I4268" s="125"/>
      <c r="S4268" s="4"/>
      <c r="T4268" s="124"/>
      <c r="U4268" s="22"/>
      <c r="V4268" s="22"/>
      <c r="W4268" s="78"/>
      <c r="X4268" s="78"/>
      <c r="AF4268"/>
      <c r="AG4268"/>
      <c r="AH4268"/>
      <c r="AI4268"/>
      <c r="AJ4268"/>
      <c r="AK4268"/>
    </row>
    <row r="4269" spans="1:37" ht="13.05" customHeight="1" x14ac:dyDescent="0.25">
      <c r="A4269"/>
      <c r="C4269" s="191"/>
      <c r="D4269" s="191"/>
      <c r="F4269"/>
      <c r="G4269"/>
      <c r="H4269" s="36"/>
      <c r="I4269" s="125"/>
      <c r="S4269" s="4"/>
      <c r="T4269" s="124"/>
      <c r="U4269" s="22"/>
      <c r="V4269" s="22"/>
      <c r="W4269" s="78"/>
      <c r="X4269" s="78"/>
      <c r="AF4269"/>
      <c r="AG4269"/>
      <c r="AH4269"/>
      <c r="AI4269"/>
      <c r="AJ4269"/>
      <c r="AK4269"/>
    </row>
    <row r="4270" spans="1:37" ht="13.05" customHeight="1" x14ac:dyDescent="0.25">
      <c r="A4270"/>
      <c r="C4270" s="191"/>
      <c r="D4270" s="191"/>
      <c r="F4270"/>
      <c r="G4270"/>
      <c r="H4270" s="36"/>
      <c r="I4270" s="125"/>
      <c r="S4270" s="4"/>
      <c r="T4270" s="124"/>
      <c r="U4270" s="22"/>
      <c r="V4270" s="22"/>
      <c r="W4270" s="78"/>
      <c r="X4270" s="78"/>
      <c r="AF4270"/>
      <c r="AG4270"/>
      <c r="AH4270"/>
      <c r="AI4270"/>
      <c r="AJ4270"/>
      <c r="AK4270"/>
    </row>
    <row r="4271" spans="1:37" ht="13.05" customHeight="1" x14ac:dyDescent="0.25">
      <c r="A4271"/>
      <c r="C4271" s="191"/>
      <c r="D4271" s="191"/>
      <c r="F4271"/>
      <c r="G4271"/>
      <c r="H4271" s="36"/>
      <c r="I4271" s="125"/>
      <c r="S4271" s="4"/>
      <c r="T4271" s="124"/>
      <c r="U4271" s="22"/>
      <c r="V4271" s="22"/>
      <c r="W4271" s="78"/>
      <c r="X4271" s="78"/>
      <c r="AF4271"/>
      <c r="AG4271"/>
      <c r="AH4271"/>
      <c r="AI4271"/>
      <c r="AJ4271"/>
      <c r="AK4271"/>
    </row>
    <row r="4272" spans="1:37" ht="13.05" customHeight="1" x14ac:dyDescent="0.25">
      <c r="A4272"/>
      <c r="C4272" s="191"/>
      <c r="D4272" s="191"/>
      <c r="F4272"/>
      <c r="G4272"/>
      <c r="H4272" s="36"/>
      <c r="I4272" s="125"/>
      <c r="S4272" s="4"/>
      <c r="T4272" s="124"/>
      <c r="U4272" s="22"/>
      <c r="V4272" s="22"/>
      <c r="W4272" s="78"/>
      <c r="X4272" s="78"/>
      <c r="AF4272"/>
      <c r="AG4272"/>
      <c r="AH4272"/>
      <c r="AI4272"/>
      <c r="AJ4272"/>
      <c r="AK4272"/>
    </row>
    <row r="4273" spans="1:37" ht="13.05" customHeight="1" x14ac:dyDescent="0.25">
      <c r="A4273"/>
      <c r="C4273" s="191"/>
      <c r="D4273" s="191"/>
      <c r="F4273"/>
      <c r="G4273"/>
      <c r="H4273" s="36"/>
      <c r="I4273" s="125"/>
      <c r="S4273" s="4"/>
      <c r="T4273" s="124"/>
      <c r="U4273" s="22"/>
      <c r="V4273" s="22"/>
      <c r="W4273" s="78"/>
      <c r="X4273" s="78"/>
      <c r="AF4273"/>
      <c r="AG4273"/>
      <c r="AH4273"/>
      <c r="AI4273"/>
      <c r="AJ4273"/>
      <c r="AK4273"/>
    </row>
    <row r="4274" spans="1:37" ht="13.05" customHeight="1" x14ac:dyDescent="0.25">
      <c r="A4274"/>
      <c r="C4274" s="191"/>
      <c r="D4274" s="191"/>
      <c r="F4274"/>
      <c r="G4274"/>
      <c r="H4274" s="36"/>
      <c r="I4274" s="125"/>
      <c r="S4274" s="4"/>
      <c r="T4274" s="124"/>
      <c r="U4274" s="22"/>
      <c r="V4274" s="22"/>
      <c r="W4274" s="78"/>
      <c r="X4274" s="78"/>
      <c r="AF4274"/>
      <c r="AG4274"/>
      <c r="AH4274"/>
      <c r="AI4274"/>
      <c r="AJ4274"/>
      <c r="AK4274"/>
    </row>
    <row r="4275" spans="1:37" ht="13.05" customHeight="1" x14ac:dyDescent="0.25">
      <c r="A4275"/>
      <c r="C4275" s="191"/>
      <c r="D4275" s="191"/>
      <c r="F4275"/>
      <c r="G4275"/>
      <c r="H4275" s="36"/>
      <c r="I4275" s="125"/>
      <c r="S4275" s="4"/>
      <c r="T4275" s="124"/>
      <c r="U4275" s="22"/>
      <c r="V4275" s="22"/>
      <c r="W4275" s="78"/>
      <c r="X4275" s="78"/>
      <c r="AF4275"/>
      <c r="AG4275"/>
      <c r="AH4275"/>
      <c r="AI4275"/>
      <c r="AJ4275"/>
      <c r="AK4275"/>
    </row>
    <row r="4276" spans="1:37" ht="13.05" customHeight="1" x14ac:dyDescent="0.25">
      <c r="A4276"/>
      <c r="C4276" s="191"/>
      <c r="D4276" s="191"/>
      <c r="F4276"/>
      <c r="G4276"/>
      <c r="H4276" s="36"/>
      <c r="I4276" s="125"/>
      <c r="S4276" s="4"/>
      <c r="T4276" s="124"/>
      <c r="U4276" s="22"/>
      <c r="V4276" s="22"/>
      <c r="W4276" s="78"/>
      <c r="X4276" s="78"/>
      <c r="AF4276"/>
      <c r="AG4276"/>
      <c r="AH4276"/>
      <c r="AI4276"/>
      <c r="AJ4276"/>
      <c r="AK4276"/>
    </row>
    <row r="4277" spans="1:37" ht="13.05" customHeight="1" x14ac:dyDescent="0.25">
      <c r="A4277"/>
      <c r="C4277" s="191"/>
      <c r="D4277" s="191"/>
      <c r="F4277"/>
      <c r="G4277"/>
      <c r="H4277" s="36"/>
      <c r="I4277" s="125"/>
      <c r="S4277" s="4"/>
      <c r="T4277" s="124"/>
      <c r="U4277" s="22"/>
      <c r="V4277" s="22"/>
      <c r="W4277" s="78"/>
      <c r="X4277" s="78"/>
      <c r="AF4277"/>
      <c r="AG4277"/>
      <c r="AH4277"/>
      <c r="AI4277"/>
      <c r="AJ4277"/>
      <c r="AK4277"/>
    </row>
    <row r="4278" spans="1:37" ht="13.05" customHeight="1" x14ac:dyDescent="0.25">
      <c r="A4278"/>
      <c r="C4278" s="191"/>
      <c r="D4278" s="191"/>
      <c r="F4278"/>
      <c r="G4278"/>
      <c r="H4278" s="36"/>
      <c r="I4278" s="125"/>
      <c r="S4278" s="4"/>
      <c r="T4278" s="124"/>
      <c r="U4278" s="22"/>
      <c r="V4278" s="22"/>
      <c r="W4278" s="78"/>
      <c r="X4278" s="78"/>
      <c r="AF4278"/>
      <c r="AG4278"/>
      <c r="AH4278"/>
      <c r="AI4278"/>
      <c r="AJ4278"/>
      <c r="AK4278"/>
    </row>
    <row r="4279" spans="1:37" ht="13.05" customHeight="1" x14ac:dyDescent="0.25">
      <c r="A4279"/>
      <c r="C4279" s="191"/>
      <c r="D4279" s="191"/>
      <c r="F4279"/>
      <c r="G4279"/>
      <c r="H4279" s="36"/>
      <c r="I4279" s="125"/>
      <c r="S4279" s="4"/>
      <c r="T4279" s="124"/>
      <c r="U4279" s="22"/>
      <c r="V4279" s="22"/>
      <c r="W4279" s="78"/>
      <c r="X4279" s="78"/>
      <c r="AF4279"/>
      <c r="AG4279"/>
      <c r="AH4279"/>
      <c r="AI4279"/>
      <c r="AJ4279"/>
      <c r="AK4279"/>
    </row>
    <row r="4280" spans="1:37" ht="13.05" customHeight="1" x14ac:dyDescent="0.25">
      <c r="A4280"/>
      <c r="C4280" s="191"/>
      <c r="D4280" s="191"/>
      <c r="F4280"/>
      <c r="G4280"/>
      <c r="H4280" s="36"/>
      <c r="I4280" s="125"/>
      <c r="S4280" s="4"/>
      <c r="T4280" s="124"/>
      <c r="U4280" s="22"/>
      <c r="V4280" s="22"/>
      <c r="W4280" s="78"/>
      <c r="X4280" s="78"/>
      <c r="AF4280"/>
      <c r="AG4280"/>
      <c r="AH4280"/>
      <c r="AI4280"/>
      <c r="AJ4280"/>
      <c r="AK4280"/>
    </row>
    <row r="4281" spans="1:37" ht="13.05" customHeight="1" x14ac:dyDescent="0.25">
      <c r="A4281"/>
      <c r="C4281" s="191"/>
      <c r="D4281" s="191"/>
      <c r="F4281"/>
      <c r="G4281"/>
      <c r="H4281" s="36"/>
      <c r="I4281" s="125"/>
      <c r="S4281" s="4"/>
      <c r="T4281" s="124"/>
      <c r="U4281" s="22"/>
      <c r="V4281" s="22"/>
      <c r="W4281" s="78"/>
      <c r="X4281" s="78"/>
      <c r="AF4281"/>
      <c r="AG4281"/>
      <c r="AH4281"/>
      <c r="AI4281"/>
      <c r="AJ4281"/>
      <c r="AK4281"/>
    </row>
    <row r="4282" spans="1:37" ht="13.05" customHeight="1" x14ac:dyDescent="0.25">
      <c r="A4282"/>
      <c r="C4282" s="191"/>
      <c r="D4282" s="191"/>
      <c r="F4282"/>
      <c r="G4282"/>
      <c r="H4282" s="36"/>
      <c r="I4282" s="125"/>
      <c r="S4282" s="4"/>
      <c r="T4282" s="124"/>
      <c r="U4282" s="22"/>
      <c r="V4282" s="22"/>
      <c r="W4282" s="78"/>
      <c r="X4282" s="78"/>
      <c r="AF4282"/>
      <c r="AG4282"/>
      <c r="AH4282"/>
      <c r="AI4282"/>
      <c r="AJ4282"/>
      <c r="AK4282"/>
    </row>
    <row r="4283" spans="1:37" ht="13.05" customHeight="1" x14ac:dyDescent="0.25">
      <c r="A4283"/>
      <c r="C4283" s="191"/>
      <c r="D4283" s="191"/>
      <c r="F4283"/>
      <c r="G4283"/>
      <c r="H4283" s="36"/>
      <c r="I4283" s="125"/>
      <c r="S4283" s="4"/>
      <c r="T4283" s="124"/>
      <c r="U4283" s="22"/>
      <c r="V4283" s="22"/>
      <c r="W4283" s="78"/>
      <c r="X4283" s="78"/>
      <c r="AF4283"/>
      <c r="AG4283"/>
      <c r="AH4283"/>
      <c r="AI4283"/>
      <c r="AJ4283"/>
      <c r="AK4283"/>
    </row>
    <row r="4284" spans="1:37" ht="13.05" customHeight="1" x14ac:dyDescent="0.25">
      <c r="A4284"/>
      <c r="C4284" s="191"/>
      <c r="D4284" s="191"/>
      <c r="F4284"/>
      <c r="G4284"/>
      <c r="H4284" s="36"/>
      <c r="I4284" s="125"/>
      <c r="S4284" s="4"/>
      <c r="T4284" s="124"/>
      <c r="U4284" s="22"/>
      <c r="V4284" s="22"/>
      <c r="W4284" s="78"/>
      <c r="X4284" s="78"/>
      <c r="AF4284"/>
      <c r="AG4284"/>
      <c r="AH4284"/>
      <c r="AI4284"/>
      <c r="AJ4284"/>
      <c r="AK4284"/>
    </row>
    <row r="4285" spans="1:37" ht="13.05" customHeight="1" x14ac:dyDescent="0.25">
      <c r="A4285"/>
      <c r="C4285" s="191"/>
      <c r="D4285" s="191"/>
      <c r="F4285"/>
      <c r="G4285"/>
      <c r="H4285" s="36"/>
      <c r="I4285" s="125"/>
      <c r="S4285" s="4"/>
      <c r="T4285" s="124"/>
      <c r="U4285" s="22"/>
      <c r="V4285" s="22"/>
      <c r="W4285" s="78"/>
      <c r="X4285" s="78"/>
      <c r="AF4285"/>
      <c r="AG4285"/>
      <c r="AH4285"/>
      <c r="AI4285"/>
      <c r="AJ4285"/>
      <c r="AK4285"/>
    </row>
    <row r="4286" spans="1:37" ht="13.05" customHeight="1" x14ac:dyDescent="0.25">
      <c r="A4286"/>
      <c r="C4286" s="191"/>
      <c r="D4286" s="191"/>
      <c r="F4286"/>
      <c r="G4286"/>
      <c r="H4286" s="36"/>
      <c r="I4286" s="125"/>
      <c r="S4286" s="4"/>
      <c r="T4286" s="124"/>
      <c r="U4286" s="22"/>
      <c r="V4286" s="22"/>
      <c r="W4286" s="78"/>
      <c r="X4286" s="78"/>
      <c r="AF4286"/>
      <c r="AG4286"/>
      <c r="AH4286"/>
      <c r="AI4286"/>
      <c r="AJ4286"/>
      <c r="AK4286"/>
    </row>
    <row r="4287" spans="1:37" ht="13.05" customHeight="1" x14ac:dyDescent="0.25">
      <c r="A4287"/>
      <c r="C4287" s="191"/>
      <c r="D4287" s="191"/>
      <c r="F4287"/>
      <c r="G4287"/>
      <c r="H4287" s="36"/>
      <c r="I4287" s="125"/>
      <c r="S4287" s="4"/>
      <c r="T4287" s="124"/>
      <c r="U4287" s="22"/>
      <c r="V4287" s="22"/>
      <c r="W4287" s="78"/>
      <c r="X4287" s="78"/>
      <c r="AF4287"/>
      <c r="AG4287"/>
      <c r="AH4287"/>
      <c r="AI4287"/>
      <c r="AJ4287"/>
      <c r="AK4287"/>
    </row>
    <row r="4288" spans="1:37" ht="13.05" customHeight="1" x14ac:dyDescent="0.25">
      <c r="A4288"/>
      <c r="C4288" s="191"/>
      <c r="D4288" s="191"/>
      <c r="F4288"/>
      <c r="G4288"/>
      <c r="H4288" s="36"/>
      <c r="I4288" s="125"/>
      <c r="S4288" s="4"/>
      <c r="T4288" s="124"/>
      <c r="U4288" s="22"/>
      <c r="V4288" s="22"/>
      <c r="W4288" s="78"/>
      <c r="X4288" s="78"/>
      <c r="AF4288"/>
      <c r="AG4288"/>
      <c r="AH4288"/>
      <c r="AI4288"/>
      <c r="AJ4288"/>
      <c r="AK4288"/>
    </row>
    <row r="4289" spans="1:37" ht="13.05" customHeight="1" x14ac:dyDescent="0.25">
      <c r="A4289"/>
      <c r="C4289" s="191"/>
      <c r="D4289" s="191"/>
      <c r="F4289"/>
      <c r="G4289"/>
      <c r="H4289" s="36"/>
      <c r="I4289" s="125"/>
      <c r="S4289" s="4"/>
      <c r="T4289" s="124"/>
      <c r="U4289" s="22"/>
      <c r="V4289" s="22"/>
      <c r="W4289" s="78"/>
      <c r="X4289" s="78"/>
      <c r="AF4289"/>
      <c r="AG4289"/>
      <c r="AH4289"/>
      <c r="AI4289"/>
      <c r="AJ4289"/>
      <c r="AK4289"/>
    </row>
    <row r="4290" spans="1:37" ht="13.05" customHeight="1" x14ac:dyDescent="0.25">
      <c r="A4290"/>
      <c r="C4290" s="191"/>
      <c r="D4290" s="191"/>
      <c r="F4290"/>
      <c r="G4290"/>
      <c r="H4290" s="36"/>
      <c r="I4290" s="125"/>
      <c r="S4290" s="4"/>
      <c r="T4290" s="124"/>
      <c r="U4290" s="22"/>
      <c r="V4290" s="22"/>
      <c r="W4290" s="78"/>
      <c r="X4290" s="78"/>
      <c r="AF4290"/>
      <c r="AG4290"/>
      <c r="AH4290"/>
      <c r="AI4290"/>
      <c r="AJ4290"/>
      <c r="AK4290"/>
    </row>
    <row r="4291" spans="1:37" ht="13.05" customHeight="1" x14ac:dyDescent="0.25">
      <c r="A4291"/>
      <c r="C4291" s="191"/>
      <c r="D4291" s="191"/>
      <c r="F4291"/>
      <c r="G4291"/>
      <c r="H4291" s="36"/>
      <c r="I4291" s="125"/>
      <c r="S4291" s="4"/>
      <c r="T4291" s="124"/>
      <c r="U4291" s="22"/>
      <c r="V4291" s="22"/>
      <c r="W4291" s="78"/>
      <c r="X4291" s="78"/>
      <c r="AF4291"/>
      <c r="AG4291"/>
      <c r="AH4291"/>
      <c r="AI4291"/>
      <c r="AJ4291"/>
      <c r="AK4291"/>
    </row>
    <row r="4292" spans="1:37" ht="13.05" customHeight="1" x14ac:dyDescent="0.25">
      <c r="A4292"/>
      <c r="C4292" s="191"/>
      <c r="D4292" s="191"/>
      <c r="F4292"/>
      <c r="G4292"/>
      <c r="H4292" s="36"/>
      <c r="I4292" s="125"/>
      <c r="S4292" s="4"/>
      <c r="T4292" s="124"/>
      <c r="U4292" s="22"/>
      <c r="V4292" s="22"/>
      <c r="W4292" s="78"/>
      <c r="X4292" s="78"/>
      <c r="AF4292"/>
      <c r="AG4292"/>
      <c r="AH4292"/>
      <c r="AI4292"/>
      <c r="AJ4292"/>
      <c r="AK4292"/>
    </row>
    <row r="4293" spans="1:37" ht="13.05" customHeight="1" x14ac:dyDescent="0.25">
      <c r="A4293"/>
      <c r="C4293" s="191"/>
      <c r="D4293" s="191"/>
      <c r="F4293"/>
      <c r="G4293"/>
      <c r="H4293" s="36"/>
      <c r="I4293" s="125"/>
      <c r="S4293" s="4"/>
      <c r="T4293" s="124"/>
      <c r="U4293" s="22"/>
      <c r="V4293" s="22"/>
      <c r="W4293" s="78"/>
      <c r="X4293" s="78"/>
      <c r="AF4293"/>
      <c r="AG4293"/>
      <c r="AH4293"/>
      <c r="AI4293"/>
      <c r="AJ4293"/>
      <c r="AK4293"/>
    </row>
    <row r="4294" spans="1:37" ht="13.05" customHeight="1" x14ac:dyDescent="0.25">
      <c r="A4294"/>
      <c r="C4294" s="191"/>
      <c r="D4294" s="191"/>
      <c r="F4294"/>
      <c r="G4294"/>
      <c r="H4294" s="36"/>
      <c r="I4294" s="125"/>
      <c r="S4294" s="4"/>
      <c r="T4294" s="124"/>
      <c r="U4294" s="22"/>
      <c r="V4294" s="22"/>
      <c r="W4294" s="78"/>
      <c r="X4294" s="78"/>
      <c r="AF4294"/>
      <c r="AG4294"/>
      <c r="AH4294"/>
      <c r="AI4294"/>
      <c r="AJ4294"/>
      <c r="AK4294"/>
    </row>
    <row r="4295" spans="1:37" ht="13.05" customHeight="1" x14ac:dyDescent="0.25">
      <c r="A4295"/>
      <c r="C4295" s="191"/>
      <c r="D4295" s="191"/>
      <c r="F4295"/>
      <c r="G4295"/>
      <c r="H4295" s="36"/>
      <c r="I4295" s="125"/>
      <c r="S4295" s="4"/>
      <c r="T4295" s="124"/>
      <c r="U4295" s="22"/>
      <c r="V4295" s="22"/>
      <c r="W4295" s="78"/>
      <c r="X4295" s="78"/>
      <c r="AF4295"/>
      <c r="AG4295"/>
      <c r="AH4295"/>
      <c r="AI4295"/>
      <c r="AJ4295"/>
      <c r="AK4295"/>
    </row>
    <row r="4296" spans="1:37" ht="13.05" customHeight="1" x14ac:dyDescent="0.25">
      <c r="A4296"/>
      <c r="C4296" s="191"/>
      <c r="D4296" s="191"/>
      <c r="F4296"/>
      <c r="G4296"/>
      <c r="H4296" s="36"/>
      <c r="I4296" s="125"/>
      <c r="S4296" s="4"/>
      <c r="T4296" s="124"/>
      <c r="U4296" s="22"/>
      <c r="V4296" s="22"/>
      <c r="W4296" s="78"/>
      <c r="X4296" s="78"/>
      <c r="AF4296"/>
      <c r="AG4296"/>
      <c r="AH4296"/>
      <c r="AI4296"/>
      <c r="AJ4296"/>
      <c r="AK4296"/>
    </row>
    <row r="4297" spans="1:37" ht="13.05" customHeight="1" x14ac:dyDescent="0.25">
      <c r="A4297"/>
      <c r="C4297" s="191"/>
      <c r="D4297" s="191"/>
      <c r="F4297"/>
      <c r="G4297"/>
      <c r="H4297" s="36"/>
      <c r="I4297" s="125"/>
      <c r="S4297" s="4"/>
      <c r="T4297" s="124"/>
      <c r="U4297" s="22"/>
      <c r="V4297" s="22"/>
      <c r="W4297" s="78"/>
      <c r="X4297" s="78"/>
      <c r="AF4297"/>
      <c r="AG4297"/>
      <c r="AH4297"/>
      <c r="AI4297"/>
      <c r="AJ4297"/>
      <c r="AK4297"/>
    </row>
    <row r="4298" spans="1:37" ht="13.05" customHeight="1" x14ac:dyDescent="0.25">
      <c r="A4298"/>
      <c r="C4298" s="191"/>
      <c r="D4298" s="191"/>
      <c r="F4298"/>
      <c r="G4298"/>
      <c r="H4298" s="36"/>
      <c r="I4298" s="125"/>
      <c r="S4298" s="4"/>
      <c r="T4298" s="124"/>
      <c r="U4298" s="22"/>
      <c r="V4298" s="22"/>
      <c r="W4298" s="78"/>
      <c r="X4298" s="78"/>
      <c r="AF4298"/>
      <c r="AG4298"/>
      <c r="AH4298"/>
      <c r="AI4298"/>
      <c r="AJ4298"/>
      <c r="AK4298"/>
    </row>
    <row r="4299" spans="1:37" ht="13.05" customHeight="1" x14ac:dyDescent="0.25">
      <c r="A4299"/>
      <c r="C4299" s="191"/>
      <c r="D4299" s="191"/>
      <c r="F4299"/>
      <c r="G4299"/>
      <c r="H4299" s="36"/>
      <c r="I4299" s="125"/>
      <c r="S4299" s="4"/>
      <c r="T4299" s="124"/>
      <c r="U4299" s="22"/>
      <c r="V4299" s="22"/>
      <c r="W4299" s="78"/>
      <c r="X4299" s="78"/>
      <c r="AF4299"/>
      <c r="AG4299"/>
      <c r="AH4299"/>
      <c r="AI4299"/>
      <c r="AJ4299"/>
      <c r="AK4299"/>
    </row>
    <row r="4300" spans="1:37" ht="13.05" customHeight="1" x14ac:dyDescent="0.25">
      <c r="A4300"/>
      <c r="C4300" s="191"/>
      <c r="D4300" s="191"/>
      <c r="F4300"/>
      <c r="G4300"/>
      <c r="H4300" s="36"/>
      <c r="I4300" s="125"/>
      <c r="S4300" s="4"/>
      <c r="T4300" s="124"/>
      <c r="U4300" s="22"/>
      <c r="V4300" s="22"/>
      <c r="W4300" s="78"/>
      <c r="X4300" s="78"/>
      <c r="AF4300"/>
      <c r="AG4300"/>
      <c r="AH4300"/>
      <c r="AI4300"/>
      <c r="AJ4300"/>
      <c r="AK4300"/>
    </row>
    <row r="4301" spans="1:37" ht="13.05" customHeight="1" x14ac:dyDescent="0.25">
      <c r="A4301"/>
      <c r="C4301" s="191"/>
      <c r="D4301" s="191"/>
      <c r="F4301"/>
      <c r="G4301"/>
      <c r="H4301" s="36"/>
      <c r="I4301" s="125"/>
      <c r="S4301" s="4"/>
      <c r="T4301" s="124"/>
      <c r="U4301" s="22"/>
      <c r="V4301" s="22"/>
      <c r="W4301" s="78"/>
      <c r="X4301" s="78"/>
      <c r="AF4301"/>
      <c r="AG4301"/>
      <c r="AH4301"/>
      <c r="AI4301"/>
      <c r="AJ4301"/>
      <c r="AK4301"/>
    </row>
    <row r="4302" spans="1:37" ht="13.05" customHeight="1" x14ac:dyDescent="0.25">
      <c r="A4302"/>
      <c r="C4302" s="191"/>
      <c r="D4302" s="191"/>
      <c r="F4302"/>
      <c r="G4302"/>
      <c r="H4302" s="36"/>
      <c r="I4302" s="125"/>
      <c r="S4302" s="4"/>
      <c r="T4302" s="124"/>
      <c r="U4302" s="22"/>
      <c r="V4302" s="22"/>
      <c r="W4302" s="78"/>
      <c r="X4302" s="78"/>
      <c r="AF4302"/>
      <c r="AG4302"/>
      <c r="AH4302"/>
      <c r="AI4302"/>
      <c r="AJ4302"/>
      <c r="AK4302"/>
    </row>
    <row r="4303" spans="1:37" ht="13.05" customHeight="1" x14ac:dyDescent="0.25">
      <c r="A4303"/>
      <c r="C4303" s="191"/>
      <c r="D4303" s="191"/>
      <c r="F4303"/>
      <c r="G4303"/>
      <c r="H4303" s="36"/>
      <c r="I4303" s="125"/>
      <c r="S4303" s="4"/>
      <c r="T4303" s="124"/>
      <c r="U4303" s="22"/>
      <c r="V4303" s="22"/>
      <c r="W4303" s="78"/>
      <c r="X4303" s="78"/>
      <c r="AF4303"/>
      <c r="AG4303"/>
      <c r="AH4303"/>
      <c r="AI4303"/>
      <c r="AJ4303"/>
      <c r="AK4303"/>
    </row>
    <row r="4304" spans="1:37" ht="13.05" customHeight="1" x14ac:dyDescent="0.25">
      <c r="A4304"/>
      <c r="C4304" s="191"/>
      <c r="D4304" s="191"/>
      <c r="F4304"/>
      <c r="G4304"/>
      <c r="H4304" s="36"/>
      <c r="I4304" s="125"/>
      <c r="S4304" s="4"/>
      <c r="T4304" s="124"/>
      <c r="U4304" s="22"/>
      <c r="V4304" s="22"/>
      <c r="W4304" s="78"/>
      <c r="X4304" s="78"/>
      <c r="AF4304"/>
      <c r="AG4304"/>
      <c r="AH4304"/>
      <c r="AI4304"/>
      <c r="AJ4304"/>
      <c r="AK4304"/>
    </row>
    <row r="4305" spans="1:37" ht="13.05" customHeight="1" x14ac:dyDescent="0.25">
      <c r="A4305"/>
      <c r="C4305" s="191"/>
      <c r="D4305" s="191"/>
      <c r="F4305"/>
      <c r="G4305"/>
      <c r="H4305" s="36"/>
      <c r="I4305" s="125"/>
      <c r="S4305" s="4"/>
      <c r="T4305" s="124"/>
      <c r="U4305" s="22"/>
      <c r="V4305" s="22"/>
      <c r="W4305" s="78"/>
      <c r="X4305" s="78"/>
      <c r="AF4305"/>
      <c r="AG4305"/>
      <c r="AH4305"/>
      <c r="AI4305"/>
      <c r="AJ4305"/>
      <c r="AK4305"/>
    </row>
    <row r="4306" spans="1:37" ht="13.05" customHeight="1" x14ac:dyDescent="0.25">
      <c r="A4306"/>
      <c r="C4306" s="191"/>
      <c r="D4306" s="191"/>
      <c r="F4306"/>
      <c r="G4306"/>
      <c r="H4306" s="36"/>
      <c r="I4306" s="125"/>
      <c r="S4306" s="4"/>
      <c r="T4306" s="124"/>
      <c r="U4306" s="22"/>
      <c r="V4306" s="22"/>
      <c r="W4306" s="78"/>
      <c r="X4306" s="78"/>
      <c r="AF4306"/>
      <c r="AG4306"/>
      <c r="AH4306"/>
      <c r="AI4306"/>
      <c r="AJ4306"/>
      <c r="AK4306"/>
    </row>
    <row r="4307" spans="1:37" ht="13.05" customHeight="1" x14ac:dyDescent="0.25">
      <c r="A4307"/>
      <c r="C4307" s="191"/>
      <c r="D4307" s="191"/>
      <c r="F4307"/>
      <c r="G4307"/>
      <c r="H4307" s="36"/>
      <c r="I4307" s="125"/>
      <c r="S4307" s="4"/>
      <c r="T4307" s="124"/>
      <c r="U4307" s="22"/>
      <c r="V4307" s="22"/>
      <c r="W4307" s="78"/>
      <c r="X4307" s="78"/>
      <c r="AF4307"/>
      <c r="AG4307"/>
      <c r="AH4307"/>
      <c r="AI4307"/>
      <c r="AJ4307"/>
      <c r="AK4307"/>
    </row>
    <row r="4308" spans="1:37" ht="13.05" customHeight="1" x14ac:dyDescent="0.25">
      <c r="A4308"/>
      <c r="C4308" s="191"/>
      <c r="D4308" s="191"/>
      <c r="F4308"/>
      <c r="G4308"/>
      <c r="H4308" s="36"/>
      <c r="I4308" s="125"/>
      <c r="S4308" s="4"/>
      <c r="T4308" s="124"/>
      <c r="U4308" s="22"/>
      <c r="V4308" s="22"/>
      <c r="W4308" s="78"/>
      <c r="X4308" s="78"/>
      <c r="AF4308"/>
      <c r="AG4308"/>
      <c r="AH4308"/>
      <c r="AI4308"/>
      <c r="AJ4308"/>
      <c r="AK4308"/>
    </row>
    <row r="4309" spans="1:37" ht="13.05" customHeight="1" x14ac:dyDescent="0.25">
      <c r="A4309"/>
      <c r="C4309" s="191"/>
      <c r="D4309" s="191"/>
      <c r="F4309"/>
      <c r="G4309"/>
      <c r="H4309" s="36"/>
      <c r="I4309" s="125"/>
      <c r="S4309" s="4"/>
      <c r="T4309" s="124"/>
      <c r="U4309" s="22"/>
      <c r="V4309" s="22"/>
      <c r="W4309" s="78"/>
      <c r="X4309" s="78"/>
      <c r="AF4309"/>
      <c r="AG4309"/>
      <c r="AH4309"/>
      <c r="AI4309"/>
      <c r="AJ4309"/>
      <c r="AK4309"/>
    </row>
    <row r="4310" spans="1:37" ht="13.05" customHeight="1" x14ac:dyDescent="0.25">
      <c r="A4310"/>
      <c r="C4310" s="191"/>
      <c r="D4310" s="191"/>
      <c r="F4310"/>
      <c r="G4310"/>
      <c r="H4310" s="36"/>
      <c r="I4310" s="125"/>
      <c r="S4310" s="4"/>
      <c r="T4310" s="124"/>
      <c r="U4310" s="22"/>
      <c r="V4310" s="22"/>
      <c r="W4310" s="78"/>
      <c r="X4310" s="78"/>
      <c r="AF4310"/>
      <c r="AG4310"/>
      <c r="AH4310"/>
      <c r="AI4310"/>
      <c r="AJ4310"/>
      <c r="AK4310"/>
    </row>
    <row r="4311" spans="1:37" ht="13.05" customHeight="1" x14ac:dyDescent="0.25">
      <c r="A4311"/>
      <c r="C4311" s="191"/>
      <c r="D4311" s="191"/>
      <c r="F4311"/>
      <c r="G4311"/>
      <c r="H4311" s="36"/>
      <c r="I4311" s="125"/>
      <c r="S4311" s="4"/>
      <c r="T4311" s="124"/>
      <c r="U4311" s="22"/>
      <c r="V4311" s="22"/>
      <c r="W4311" s="78"/>
      <c r="X4311" s="78"/>
      <c r="AF4311"/>
      <c r="AG4311"/>
      <c r="AH4311"/>
      <c r="AI4311"/>
      <c r="AJ4311"/>
      <c r="AK4311"/>
    </row>
    <row r="4312" spans="1:37" ht="13.05" customHeight="1" x14ac:dyDescent="0.25">
      <c r="A4312"/>
      <c r="C4312" s="191"/>
      <c r="D4312" s="191"/>
      <c r="F4312"/>
      <c r="G4312"/>
      <c r="H4312" s="36"/>
      <c r="I4312" s="125"/>
      <c r="S4312" s="4"/>
      <c r="T4312" s="124"/>
      <c r="U4312" s="22"/>
      <c r="V4312" s="22"/>
      <c r="W4312" s="78"/>
      <c r="X4312" s="78"/>
      <c r="AF4312"/>
      <c r="AG4312"/>
      <c r="AH4312"/>
      <c r="AI4312"/>
      <c r="AJ4312"/>
      <c r="AK4312"/>
    </row>
    <row r="4313" spans="1:37" ht="13.05" customHeight="1" x14ac:dyDescent="0.25">
      <c r="A4313"/>
      <c r="C4313" s="191"/>
      <c r="D4313" s="191"/>
      <c r="F4313"/>
      <c r="G4313"/>
      <c r="H4313" s="36"/>
      <c r="I4313" s="125"/>
      <c r="S4313" s="4"/>
      <c r="T4313" s="124"/>
      <c r="U4313" s="22"/>
      <c r="V4313" s="22"/>
      <c r="W4313" s="78"/>
      <c r="X4313" s="78"/>
      <c r="AF4313"/>
      <c r="AG4313"/>
      <c r="AH4313"/>
      <c r="AI4313"/>
      <c r="AJ4313"/>
      <c r="AK4313"/>
    </row>
    <row r="4314" spans="1:37" ht="13.05" customHeight="1" x14ac:dyDescent="0.25">
      <c r="A4314"/>
      <c r="C4314" s="191"/>
      <c r="D4314" s="191"/>
      <c r="F4314"/>
      <c r="G4314"/>
      <c r="H4314" s="36"/>
      <c r="I4314" s="125"/>
      <c r="S4314" s="4"/>
      <c r="T4314" s="124"/>
      <c r="U4314" s="22"/>
      <c r="V4314" s="22"/>
      <c r="W4314" s="78"/>
      <c r="X4314" s="78"/>
      <c r="AF4314"/>
      <c r="AG4314"/>
      <c r="AH4314"/>
      <c r="AI4314"/>
      <c r="AJ4314"/>
      <c r="AK4314"/>
    </row>
    <row r="4315" spans="1:37" ht="13.05" customHeight="1" x14ac:dyDescent="0.25">
      <c r="A4315"/>
      <c r="C4315" s="191"/>
      <c r="D4315" s="191"/>
      <c r="F4315"/>
      <c r="G4315"/>
      <c r="H4315" s="36"/>
      <c r="I4315" s="125"/>
      <c r="S4315" s="4"/>
      <c r="T4315" s="124"/>
      <c r="U4315" s="22"/>
      <c r="V4315" s="22"/>
      <c r="W4315" s="78"/>
      <c r="X4315" s="78"/>
      <c r="AF4315"/>
      <c r="AG4315"/>
      <c r="AH4315"/>
      <c r="AI4315"/>
      <c r="AJ4315"/>
      <c r="AK4315"/>
    </row>
    <row r="4316" spans="1:37" ht="13.05" customHeight="1" x14ac:dyDescent="0.25">
      <c r="A4316"/>
      <c r="C4316" s="191"/>
      <c r="D4316" s="191"/>
      <c r="F4316"/>
      <c r="G4316"/>
      <c r="H4316" s="36"/>
      <c r="I4316" s="125"/>
      <c r="S4316" s="4"/>
      <c r="T4316" s="124"/>
      <c r="U4316" s="22"/>
      <c r="V4316" s="22"/>
      <c r="W4316" s="78"/>
      <c r="X4316" s="78"/>
      <c r="AF4316"/>
      <c r="AG4316"/>
      <c r="AH4316"/>
      <c r="AI4316"/>
      <c r="AJ4316"/>
      <c r="AK4316"/>
    </row>
    <row r="4317" spans="1:37" ht="13.05" customHeight="1" x14ac:dyDescent="0.25">
      <c r="A4317"/>
      <c r="C4317" s="191"/>
      <c r="D4317" s="191"/>
      <c r="F4317"/>
      <c r="G4317"/>
      <c r="H4317" s="36"/>
      <c r="I4317" s="125"/>
      <c r="S4317" s="4"/>
      <c r="T4317" s="124"/>
      <c r="U4317" s="22"/>
      <c r="V4317" s="22"/>
      <c r="W4317" s="78"/>
      <c r="X4317" s="78"/>
      <c r="AF4317"/>
      <c r="AG4317"/>
      <c r="AH4317"/>
      <c r="AI4317"/>
      <c r="AJ4317"/>
      <c r="AK4317"/>
    </row>
    <row r="4318" spans="1:37" ht="13.05" customHeight="1" x14ac:dyDescent="0.25">
      <c r="A4318"/>
      <c r="C4318" s="191"/>
      <c r="D4318" s="191"/>
      <c r="F4318"/>
      <c r="G4318"/>
      <c r="H4318" s="36"/>
      <c r="I4318" s="125"/>
      <c r="S4318" s="4"/>
      <c r="T4318" s="124"/>
      <c r="U4318" s="22"/>
      <c r="V4318" s="22"/>
      <c r="W4318" s="78"/>
      <c r="X4318" s="78"/>
      <c r="AF4318"/>
      <c r="AG4318"/>
      <c r="AH4318"/>
      <c r="AI4318"/>
      <c r="AJ4318"/>
      <c r="AK4318"/>
    </row>
    <row r="4319" spans="1:37" ht="13.05" customHeight="1" x14ac:dyDescent="0.25">
      <c r="A4319"/>
      <c r="C4319" s="191"/>
      <c r="D4319" s="191"/>
      <c r="F4319"/>
      <c r="G4319"/>
      <c r="H4319" s="36"/>
      <c r="I4319" s="125"/>
      <c r="S4319" s="4"/>
      <c r="T4319" s="124"/>
      <c r="U4319" s="22"/>
      <c r="V4319" s="22"/>
      <c r="W4319" s="78"/>
      <c r="X4319" s="78"/>
      <c r="AF4319"/>
      <c r="AG4319"/>
      <c r="AH4319"/>
      <c r="AI4319"/>
      <c r="AJ4319"/>
      <c r="AK4319"/>
    </row>
    <row r="4320" spans="1:37" ht="13.05" customHeight="1" x14ac:dyDescent="0.25">
      <c r="A4320"/>
      <c r="C4320" s="191"/>
      <c r="D4320" s="191"/>
      <c r="F4320"/>
      <c r="G4320"/>
      <c r="H4320" s="36"/>
      <c r="I4320" s="125"/>
      <c r="S4320" s="4"/>
      <c r="T4320" s="124"/>
      <c r="U4320" s="22"/>
      <c r="V4320" s="22"/>
      <c r="W4320" s="78"/>
      <c r="X4320" s="78"/>
      <c r="AF4320"/>
      <c r="AG4320"/>
      <c r="AH4320"/>
      <c r="AI4320"/>
      <c r="AJ4320"/>
      <c r="AK4320"/>
    </row>
    <row r="4321" spans="1:37" ht="13.05" customHeight="1" x14ac:dyDescent="0.25">
      <c r="A4321"/>
      <c r="C4321" s="191"/>
      <c r="D4321" s="191"/>
      <c r="F4321"/>
      <c r="G4321"/>
      <c r="H4321" s="36"/>
      <c r="I4321" s="125"/>
      <c r="S4321" s="4"/>
      <c r="T4321" s="124"/>
      <c r="U4321" s="22"/>
      <c r="V4321" s="22"/>
      <c r="W4321" s="78"/>
      <c r="X4321" s="78"/>
      <c r="AF4321"/>
      <c r="AG4321"/>
      <c r="AH4321"/>
      <c r="AI4321"/>
      <c r="AJ4321"/>
      <c r="AK4321"/>
    </row>
    <row r="4322" spans="1:37" ht="13.05" customHeight="1" x14ac:dyDescent="0.25">
      <c r="A4322"/>
      <c r="C4322" s="191"/>
      <c r="D4322" s="191"/>
      <c r="F4322"/>
      <c r="G4322"/>
      <c r="H4322" s="36"/>
      <c r="I4322" s="125"/>
      <c r="S4322" s="4"/>
      <c r="T4322" s="124"/>
      <c r="U4322" s="22"/>
      <c r="V4322" s="22"/>
      <c r="W4322" s="78"/>
      <c r="X4322" s="78"/>
      <c r="AF4322"/>
      <c r="AG4322"/>
      <c r="AH4322"/>
      <c r="AI4322"/>
      <c r="AJ4322"/>
      <c r="AK4322"/>
    </row>
    <row r="4323" spans="1:37" ht="13.05" customHeight="1" x14ac:dyDescent="0.25">
      <c r="A4323"/>
      <c r="C4323" s="191"/>
      <c r="D4323" s="191"/>
      <c r="F4323"/>
      <c r="G4323"/>
      <c r="H4323" s="36"/>
      <c r="I4323" s="125"/>
      <c r="S4323" s="4"/>
      <c r="T4323" s="124"/>
      <c r="U4323" s="22"/>
      <c r="V4323" s="22"/>
      <c r="W4323" s="78"/>
      <c r="X4323" s="78"/>
      <c r="AF4323"/>
      <c r="AG4323"/>
      <c r="AH4323"/>
      <c r="AI4323"/>
      <c r="AJ4323"/>
      <c r="AK4323"/>
    </row>
    <row r="4324" spans="1:37" ht="13.05" customHeight="1" x14ac:dyDescent="0.25">
      <c r="A4324"/>
      <c r="C4324" s="191"/>
      <c r="D4324" s="191"/>
      <c r="F4324"/>
      <c r="G4324"/>
      <c r="H4324" s="36"/>
      <c r="I4324" s="125"/>
      <c r="S4324" s="4"/>
      <c r="T4324" s="124"/>
      <c r="U4324" s="22"/>
      <c r="V4324" s="22"/>
      <c r="W4324" s="78"/>
      <c r="X4324" s="78"/>
      <c r="AF4324"/>
      <c r="AG4324"/>
      <c r="AH4324"/>
      <c r="AI4324"/>
      <c r="AJ4324"/>
      <c r="AK4324"/>
    </row>
    <row r="4325" spans="1:37" ht="13.05" customHeight="1" x14ac:dyDescent="0.25">
      <c r="A4325"/>
      <c r="C4325" s="191"/>
      <c r="D4325" s="191"/>
      <c r="F4325"/>
      <c r="G4325"/>
      <c r="H4325" s="36"/>
      <c r="I4325" s="125"/>
      <c r="S4325" s="4"/>
      <c r="T4325" s="124"/>
      <c r="U4325" s="22"/>
      <c r="V4325" s="22"/>
      <c r="W4325" s="78"/>
      <c r="X4325" s="78"/>
      <c r="AF4325"/>
      <c r="AG4325"/>
      <c r="AH4325"/>
      <c r="AI4325"/>
      <c r="AJ4325"/>
      <c r="AK4325"/>
    </row>
    <row r="4326" spans="1:37" ht="13.05" customHeight="1" x14ac:dyDescent="0.25">
      <c r="A4326"/>
      <c r="C4326" s="191"/>
      <c r="D4326" s="191"/>
      <c r="F4326"/>
      <c r="G4326"/>
      <c r="H4326" s="36"/>
      <c r="I4326" s="125"/>
      <c r="S4326" s="4"/>
      <c r="T4326" s="124"/>
      <c r="U4326" s="22"/>
      <c r="V4326" s="22"/>
      <c r="W4326" s="78"/>
      <c r="X4326" s="78"/>
      <c r="AF4326"/>
      <c r="AG4326"/>
      <c r="AH4326"/>
      <c r="AI4326"/>
      <c r="AJ4326"/>
      <c r="AK4326"/>
    </row>
    <row r="4327" spans="1:37" ht="13.05" customHeight="1" x14ac:dyDescent="0.25">
      <c r="A4327"/>
      <c r="C4327" s="191"/>
      <c r="D4327" s="191"/>
      <c r="F4327"/>
      <c r="G4327"/>
      <c r="H4327" s="36"/>
      <c r="I4327" s="125"/>
      <c r="S4327" s="4"/>
      <c r="T4327" s="124"/>
      <c r="U4327" s="22"/>
      <c r="V4327" s="22"/>
      <c r="W4327" s="78"/>
      <c r="X4327" s="78"/>
      <c r="AF4327"/>
      <c r="AG4327"/>
      <c r="AH4327"/>
      <c r="AI4327"/>
      <c r="AJ4327"/>
      <c r="AK4327"/>
    </row>
    <row r="4328" spans="1:37" ht="13.05" customHeight="1" x14ac:dyDescent="0.25">
      <c r="A4328"/>
      <c r="C4328" s="191"/>
      <c r="D4328" s="191"/>
      <c r="F4328"/>
      <c r="G4328"/>
      <c r="H4328" s="36"/>
      <c r="I4328" s="125"/>
      <c r="S4328" s="4"/>
      <c r="T4328" s="124"/>
      <c r="U4328" s="22"/>
      <c r="V4328" s="22"/>
      <c r="W4328" s="78"/>
      <c r="X4328" s="78"/>
      <c r="AF4328"/>
      <c r="AG4328"/>
      <c r="AH4328"/>
      <c r="AI4328"/>
      <c r="AJ4328"/>
      <c r="AK4328"/>
    </row>
    <row r="4329" spans="1:37" ht="13.05" customHeight="1" x14ac:dyDescent="0.25">
      <c r="A4329"/>
      <c r="C4329" s="191"/>
      <c r="D4329" s="191"/>
      <c r="F4329"/>
      <c r="G4329"/>
      <c r="H4329" s="36"/>
      <c r="I4329" s="125"/>
      <c r="S4329" s="4"/>
      <c r="T4329" s="124"/>
      <c r="U4329" s="22"/>
      <c r="V4329" s="22"/>
      <c r="W4329" s="78"/>
      <c r="X4329" s="78"/>
      <c r="AF4329"/>
      <c r="AG4329"/>
      <c r="AH4329"/>
      <c r="AI4329"/>
      <c r="AJ4329"/>
      <c r="AK4329"/>
    </row>
    <row r="4330" spans="1:37" ht="13.05" customHeight="1" x14ac:dyDescent="0.25">
      <c r="A4330"/>
      <c r="C4330" s="191"/>
      <c r="D4330" s="191"/>
      <c r="F4330"/>
      <c r="G4330"/>
      <c r="H4330" s="36"/>
      <c r="I4330" s="125"/>
      <c r="S4330" s="4"/>
      <c r="T4330" s="124"/>
      <c r="U4330" s="22"/>
      <c r="V4330" s="22"/>
      <c r="W4330" s="78"/>
      <c r="X4330" s="78"/>
      <c r="AF4330"/>
      <c r="AG4330"/>
      <c r="AH4330"/>
      <c r="AI4330"/>
      <c r="AJ4330"/>
      <c r="AK4330"/>
    </row>
    <row r="4331" spans="1:37" ht="13.05" customHeight="1" x14ac:dyDescent="0.25">
      <c r="A4331"/>
      <c r="C4331" s="191"/>
      <c r="D4331" s="191"/>
      <c r="F4331"/>
      <c r="G4331"/>
      <c r="H4331" s="36"/>
      <c r="I4331" s="125"/>
      <c r="S4331" s="4"/>
      <c r="T4331" s="124"/>
      <c r="U4331" s="22"/>
      <c r="V4331" s="22"/>
      <c r="W4331" s="78"/>
      <c r="X4331" s="78"/>
      <c r="AF4331"/>
      <c r="AG4331"/>
      <c r="AH4331"/>
      <c r="AI4331"/>
      <c r="AJ4331"/>
      <c r="AK4331"/>
    </row>
    <row r="4332" spans="1:37" ht="13.05" customHeight="1" x14ac:dyDescent="0.25">
      <c r="A4332"/>
      <c r="C4332" s="191"/>
      <c r="D4332" s="191"/>
      <c r="F4332"/>
      <c r="G4332"/>
      <c r="H4332" s="36"/>
      <c r="I4332" s="125"/>
      <c r="S4332" s="4"/>
      <c r="T4332" s="124"/>
      <c r="U4332" s="22"/>
      <c r="V4332" s="22"/>
      <c r="W4332" s="78"/>
      <c r="X4332" s="78"/>
      <c r="AF4332"/>
      <c r="AG4332"/>
      <c r="AH4332"/>
      <c r="AI4332"/>
      <c r="AJ4332"/>
      <c r="AK4332"/>
    </row>
    <row r="4333" spans="1:37" ht="13.05" customHeight="1" x14ac:dyDescent="0.25">
      <c r="A4333"/>
      <c r="C4333" s="191"/>
      <c r="D4333" s="191"/>
      <c r="F4333"/>
      <c r="G4333"/>
      <c r="H4333" s="36"/>
      <c r="I4333" s="125"/>
      <c r="S4333" s="4"/>
      <c r="T4333" s="124"/>
      <c r="U4333" s="22"/>
      <c r="V4333" s="22"/>
      <c r="W4333" s="78"/>
      <c r="X4333" s="78"/>
      <c r="AF4333"/>
      <c r="AG4333"/>
      <c r="AH4333"/>
      <c r="AI4333"/>
      <c r="AJ4333"/>
      <c r="AK4333"/>
    </row>
    <row r="4334" spans="1:37" ht="13.05" customHeight="1" x14ac:dyDescent="0.25">
      <c r="A4334"/>
      <c r="C4334" s="191"/>
      <c r="D4334" s="191"/>
      <c r="F4334"/>
      <c r="G4334"/>
      <c r="H4334" s="36"/>
      <c r="I4334" s="125"/>
      <c r="S4334" s="4"/>
      <c r="T4334" s="124"/>
      <c r="U4334" s="22"/>
      <c r="V4334" s="22"/>
      <c r="W4334" s="78"/>
      <c r="X4334" s="78"/>
      <c r="AF4334"/>
      <c r="AG4334"/>
      <c r="AH4334"/>
      <c r="AI4334"/>
      <c r="AJ4334"/>
      <c r="AK4334"/>
    </row>
    <row r="4335" spans="1:37" ht="13.05" customHeight="1" x14ac:dyDescent="0.25">
      <c r="A4335"/>
      <c r="C4335" s="191"/>
      <c r="D4335" s="191"/>
      <c r="F4335"/>
      <c r="G4335"/>
      <c r="H4335" s="36"/>
      <c r="I4335" s="125"/>
      <c r="S4335" s="4"/>
      <c r="T4335" s="124"/>
      <c r="U4335" s="22"/>
      <c r="V4335" s="22"/>
      <c r="W4335" s="78"/>
      <c r="X4335" s="78"/>
      <c r="AF4335"/>
      <c r="AG4335"/>
      <c r="AH4335"/>
      <c r="AI4335"/>
      <c r="AJ4335"/>
      <c r="AK4335"/>
    </row>
    <row r="4336" spans="1:37" ht="13.05" customHeight="1" x14ac:dyDescent="0.25">
      <c r="A4336"/>
      <c r="C4336" s="191"/>
      <c r="D4336" s="191"/>
      <c r="F4336"/>
      <c r="G4336"/>
      <c r="H4336" s="36"/>
      <c r="I4336" s="125"/>
      <c r="S4336" s="4"/>
      <c r="T4336" s="124"/>
      <c r="U4336" s="22"/>
      <c r="V4336" s="22"/>
      <c r="W4336" s="78"/>
      <c r="X4336" s="78"/>
      <c r="AF4336"/>
      <c r="AG4336"/>
      <c r="AH4336"/>
      <c r="AI4336"/>
      <c r="AJ4336"/>
      <c r="AK4336"/>
    </row>
    <row r="4337" spans="1:37" ht="13.05" customHeight="1" x14ac:dyDescent="0.25">
      <c r="A4337"/>
      <c r="C4337" s="191"/>
      <c r="D4337" s="191"/>
      <c r="F4337"/>
      <c r="G4337"/>
      <c r="H4337" s="36"/>
      <c r="I4337" s="125"/>
      <c r="S4337" s="4"/>
      <c r="T4337" s="124"/>
      <c r="U4337" s="22"/>
      <c r="V4337" s="22"/>
      <c r="W4337" s="78"/>
      <c r="X4337" s="78"/>
      <c r="AF4337"/>
      <c r="AG4337"/>
      <c r="AH4337"/>
      <c r="AI4337"/>
      <c r="AJ4337"/>
      <c r="AK4337"/>
    </row>
    <row r="4338" spans="1:37" ht="13.05" customHeight="1" x14ac:dyDescent="0.25">
      <c r="A4338"/>
      <c r="C4338" s="191"/>
      <c r="D4338" s="191"/>
      <c r="F4338"/>
      <c r="G4338"/>
      <c r="H4338" s="36"/>
      <c r="I4338" s="125"/>
      <c r="S4338" s="4"/>
      <c r="T4338" s="124"/>
      <c r="U4338" s="22"/>
      <c r="V4338" s="22"/>
      <c r="W4338" s="78"/>
      <c r="X4338" s="78"/>
      <c r="AF4338"/>
      <c r="AG4338"/>
      <c r="AH4338"/>
      <c r="AI4338"/>
      <c r="AJ4338"/>
      <c r="AK4338"/>
    </row>
    <row r="4339" spans="1:37" ht="13.05" customHeight="1" x14ac:dyDescent="0.25">
      <c r="A4339"/>
      <c r="C4339" s="191"/>
      <c r="D4339" s="191"/>
      <c r="F4339"/>
      <c r="G4339"/>
      <c r="H4339" s="36"/>
      <c r="I4339" s="125"/>
      <c r="S4339" s="4"/>
      <c r="T4339" s="124"/>
      <c r="U4339" s="22"/>
      <c r="V4339" s="22"/>
      <c r="W4339" s="78"/>
      <c r="X4339" s="78"/>
      <c r="AF4339"/>
      <c r="AG4339"/>
      <c r="AH4339"/>
      <c r="AI4339"/>
      <c r="AJ4339"/>
      <c r="AK4339"/>
    </row>
    <row r="4340" spans="1:37" ht="13.05" customHeight="1" x14ac:dyDescent="0.25">
      <c r="A4340"/>
      <c r="C4340" s="191"/>
      <c r="D4340" s="191"/>
      <c r="F4340"/>
      <c r="G4340"/>
      <c r="H4340" s="36"/>
      <c r="I4340" s="125"/>
      <c r="S4340" s="4"/>
      <c r="T4340" s="124"/>
      <c r="U4340" s="22"/>
      <c r="V4340" s="22"/>
      <c r="W4340" s="78"/>
      <c r="X4340" s="78"/>
      <c r="AF4340"/>
      <c r="AG4340"/>
      <c r="AH4340"/>
      <c r="AI4340"/>
      <c r="AJ4340"/>
      <c r="AK4340"/>
    </row>
    <row r="4341" spans="1:37" ht="13.05" customHeight="1" x14ac:dyDescent="0.25">
      <c r="A4341"/>
      <c r="C4341" s="191"/>
      <c r="D4341" s="191"/>
      <c r="F4341"/>
      <c r="G4341"/>
      <c r="H4341" s="36"/>
      <c r="I4341" s="125"/>
      <c r="S4341" s="4"/>
      <c r="T4341" s="124"/>
      <c r="U4341" s="22"/>
      <c r="V4341" s="22"/>
      <c r="W4341" s="78"/>
      <c r="X4341" s="78"/>
      <c r="AF4341"/>
      <c r="AG4341"/>
      <c r="AH4341"/>
      <c r="AI4341"/>
      <c r="AJ4341"/>
      <c r="AK4341"/>
    </row>
    <row r="4342" spans="1:37" ht="13.05" customHeight="1" x14ac:dyDescent="0.25">
      <c r="A4342"/>
      <c r="C4342" s="191"/>
      <c r="D4342" s="191"/>
      <c r="F4342"/>
      <c r="G4342"/>
      <c r="H4342" s="36"/>
      <c r="I4342" s="125"/>
      <c r="S4342" s="4"/>
      <c r="T4342" s="124"/>
      <c r="U4342" s="22"/>
      <c r="V4342" s="22"/>
      <c r="W4342" s="78"/>
      <c r="X4342" s="78"/>
      <c r="AF4342"/>
      <c r="AG4342"/>
      <c r="AH4342"/>
      <c r="AI4342"/>
      <c r="AJ4342"/>
      <c r="AK4342"/>
    </row>
    <row r="4343" spans="1:37" ht="13.05" customHeight="1" x14ac:dyDescent="0.25">
      <c r="A4343"/>
      <c r="C4343" s="191"/>
      <c r="D4343" s="191"/>
      <c r="F4343"/>
      <c r="G4343"/>
      <c r="H4343" s="36"/>
      <c r="I4343" s="125"/>
      <c r="S4343" s="4"/>
      <c r="T4343" s="124"/>
      <c r="U4343" s="22"/>
      <c r="V4343" s="22"/>
      <c r="W4343" s="78"/>
      <c r="X4343" s="78"/>
      <c r="AF4343"/>
      <c r="AG4343"/>
      <c r="AH4343"/>
      <c r="AI4343"/>
      <c r="AJ4343"/>
      <c r="AK4343"/>
    </row>
    <row r="4344" spans="1:37" ht="13.05" customHeight="1" x14ac:dyDescent="0.25">
      <c r="A4344"/>
      <c r="C4344" s="191"/>
      <c r="D4344" s="191"/>
      <c r="F4344"/>
      <c r="G4344"/>
      <c r="H4344" s="36"/>
      <c r="I4344" s="125"/>
      <c r="S4344" s="4"/>
      <c r="T4344" s="124"/>
      <c r="U4344" s="22"/>
      <c r="V4344" s="22"/>
      <c r="W4344" s="78"/>
      <c r="X4344" s="78"/>
      <c r="AF4344"/>
      <c r="AG4344"/>
      <c r="AH4344"/>
      <c r="AI4344"/>
      <c r="AJ4344"/>
      <c r="AK4344"/>
    </row>
    <row r="4345" spans="1:37" ht="13.05" customHeight="1" x14ac:dyDescent="0.25">
      <c r="A4345"/>
      <c r="C4345" s="191"/>
      <c r="D4345" s="191"/>
      <c r="F4345"/>
      <c r="G4345"/>
      <c r="H4345" s="36"/>
      <c r="I4345" s="125"/>
      <c r="S4345" s="4"/>
      <c r="T4345" s="124"/>
      <c r="U4345" s="22"/>
      <c r="V4345" s="22"/>
      <c r="W4345" s="78"/>
      <c r="X4345" s="78"/>
      <c r="AF4345"/>
      <c r="AG4345"/>
      <c r="AH4345"/>
      <c r="AI4345"/>
      <c r="AJ4345"/>
      <c r="AK4345"/>
    </row>
    <row r="4346" spans="1:37" ht="13.05" customHeight="1" x14ac:dyDescent="0.25">
      <c r="A4346"/>
      <c r="C4346" s="191"/>
      <c r="D4346" s="191"/>
      <c r="F4346"/>
      <c r="G4346"/>
      <c r="H4346" s="36"/>
      <c r="I4346" s="125"/>
      <c r="S4346" s="4"/>
      <c r="T4346" s="124"/>
      <c r="U4346" s="22"/>
      <c r="V4346" s="22"/>
      <c r="W4346" s="78"/>
      <c r="X4346" s="78"/>
      <c r="AF4346"/>
      <c r="AG4346"/>
      <c r="AH4346"/>
      <c r="AI4346"/>
      <c r="AJ4346"/>
      <c r="AK4346"/>
    </row>
    <row r="4347" spans="1:37" ht="13.05" customHeight="1" x14ac:dyDescent="0.25">
      <c r="A4347"/>
      <c r="C4347" s="191"/>
      <c r="D4347" s="191"/>
      <c r="F4347"/>
      <c r="G4347"/>
      <c r="H4347" s="36"/>
      <c r="I4347" s="125"/>
      <c r="S4347" s="4"/>
      <c r="T4347" s="124"/>
      <c r="U4347" s="22"/>
      <c r="V4347" s="22"/>
      <c r="W4347" s="78"/>
      <c r="X4347" s="78"/>
      <c r="AF4347"/>
      <c r="AG4347"/>
      <c r="AH4347"/>
      <c r="AI4347"/>
      <c r="AJ4347"/>
      <c r="AK4347"/>
    </row>
    <row r="4348" spans="1:37" ht="13.05" customHeight="1" x14ac:dyDescent="0.25">
      <c r="A4348"/>
      <c r="C4348" s="191"/>
      <c r="D4348" s="191"/>
      <c r="F4348"/>
      <c r="G4348"/>
      <c r="H4348" s="36"/>
      <c r="I4348" s="125"/>
      <c r="S4348" s="4"/>
      <c r="T4348" s="124"/>
      <c r="U4348" s="22"/>
      <c r="V4348" s="22"/>
      <c r="W4348" s="78"/>
      <c r="X4348" s="78"/>
      <c r="AF4348"/>
      <c r="AG4348"/>
      <c r="AH4348"/>
      <c r="AI4348"/>
      <c r="AJ4348"/>
      <c r="AK4348"/>
    </row>
    <row r="4349" spans="1:37" ht="13.05" customHeight="1" x14ac:dyDescent="0.25">
      <c r="A4349"/>
      <c r="C4349" s="191"/>
      <c r="D4349" s="191"/>
      <c r="F4349"/>
      <c r="G4349"/>
      <c r="H4349" s="36"/>
      <c r="I4349" s="125"/>
      <c r="S4349" s="4"/>
      <c r="T4349" s="124"/>
      <c r="U4349" s="22"/>
      <c r="V4349" s="22"/>
      <c r="W4349" s="78"/>
      <c r="X4349" s="78"/>
      <c r="AF4349"/>
      <c r="AG4349"/>
      <c r="AH4349"/>
      <c r="AI4349"/>
      <c r="AJ4349"/>
      <c r="AK4349"/>
    </row>
    <row r="4350" spans="1:37" ht="13.05" customHeight="1" x14ac:dyDescent="0.25">
      <c r="A4350"/>
      <c r="C4350" s="191"/>
      <c r="D4350" s="191"/>
      <c r="F4350"/>
      <c r="G4350"/>
      <c r="H4350" s="36"/>
      <c r="I4350" s="125"/>
      <c r="S4350" s="4"/>
      <c r="T4350" s="124"/>
      <c r="U4350" s="22"/>
      <c r="V4350" s="22"/>
      <c r="W4350" s="78"/>
      <c r="X4350" s="78"/>
      <c r="AF4350"/>
      <c r="AG4350"/>
      <c r="AH4350"/>
      <c r="AI4350"/>
      <c r="AJ4350"/>
      <c r="AK4350"/>
    </row>
    <row r="4351" spans="1:37" ht="13.05" customHeight="1" x14ac:dyDescent="0.25">
      <c r="A4351"/>
      <c r="C4351" s="191"/>
      <c r="D4351" s="191"/>
      <c r="F4351"/>
      <c r="G4351"/>
      <c r="H4351" s="36"/>
      <c r="I4351" s="125"/>
      <c r="S4351" s="4"/>
      <c r="T4351" s="124"/>
      <c r="U4351" s="22"/>
      <c r="V4351" s="22"/>
      <c r="W4351" s="78"/>
      <c r="X4351" s="78"/>
      <c r="AF4351"/>
      <c r="AG4351"/>
      <c r="AH4351"/>
      <c r="AI4351"/>
      <c r="AJ4351"/>
      <c r="AK4351"/>
    </row>
    <row r="4352" spans="1:37" ht="13.05" customHeight="1" x14ac:dyDescent="0.25">
      <c r="A4352"/>
      <c r="C4352" s="191"/>
      <c r="D4352" s="191"/>
      <c r="F4352"/>
      <c r="G4352"/>
      <c r="H4352" s="36"/>
      <c r="I4352" s="125"/>
      <c r="S4352" s="4"/>
      <c r="T4352" s="124"/>
      <c r="U4352" s="22"/>
      <c r="V4352" s="22"/>
      <c r="W4352" s="78"/>
      <c r="X4352" s="78"/>
      <c r="AF4352"/>
      <c r="AG4352"/>
      <c r="AH4352"/>
      <c r="AI4352"/>
      <c r="AJ4352"/>
      <c r="AK4352"/>
    </row>
    <row r="4353" spans="1:37" ht="13.05" customHeight="1" x14ac:dyDescent="0.25">
      <c r="A4353"/>
      <c r="C4353" s="191"/>
      <c r="D4353" s="191"/>
      <c r="F4353"/>
      <c r="G4353"/>
      <c r="H4353" s="36"/>
      <c r="I4353" s="125"/>
      <c r="S4353" s="4"/>
      <c r="T4353" s="124"/>
      <c r="U4353" s="22"/>
      <c r="V4353" s="22"/>
      <c r="W4353" s="78"/>
      <c r="X4353" s="78"/>
      <c r="AF4353"/>
      <c r="AG4353"/>
      <c r="AH4353"/>
      <c r="AI4353"/>
      <c r="AJ4353"/>
      <c r="AK4353"/>
    </row>
    <row r="4354" spans="1:37" ht="13.05" customHeight="1" x14ac:dyDescent="0.25">
      <c r="A4354"/>
      <c r="C4354" s="191"/>
      <c r="D4354" s="191"/>
      <c r="F4354"/>
      <c r="G4354"/>
      <c r="H4354" s="36"/>
      <c r="I4354" s="125"/>
      <c r="S4354" s="4"/>
      <c r="T4354" s="124"/>
      <c r="U4354" s="22"/>
      <c r="V4354" s="22"/>
      <c r="W4354" s="78"/>
      <c r="X4354" s="78"/>
      <c r="AF4354"/>
      <c r="AG4354"/>
      <c r="AH4354"/>
      <c r="AI4354"/>
      <c r="AJ4354"/>
      <c r="AK4354"/>
    </row>
    <row r="4355" spans="1:37" ht="13.05" customHeight="1" x14ac:dyDescent="0.25">
      <c r="A4355"/>
      <c r="C4355" s="191"/>
      <c r="D4355" s="191"/>
      <c r="F4355"/>
      <c r="G4355"/>
      <c r="H4355" s="36"/>
      <c r="I4355" s="125"/>
      <c r="S4355" s="4"/>
      <c r="T4355" s="124"/>
      <c r="U4355" s="22"/>
      <c r="V4355" s="22"/>
      <c r="W4355" s="78"/>
      <c r="X4355" s="78"/>
      <c r="AF4355"/>
      <c r="AG4355"/>
      <c r="AH4355"/>
      <c r="AI4355"/>
      <c r="AJ4355"/>
      <c r="AK4355"/>
    </row>
    <row r="4356" spans="1:37" ht="13.05" customHeight="1" x14ac:dyDescent="0.25">
      <c r="A4356"/>
      <c r="C4356" s="191"/>
      <c r="D4356" s="191"/>
      <c r="F4356"/>
      <c r="G4356"/>
      <c r="H4356" s="36"/>
      <c r="I4356" s="125"/>
      <c r="S4356" s="4"/>
      <c r="T4356" s="124"/>
      <c r="U4356" s="22"/>
      <c r="V4356" s="22"/>
      <c r="W4356" s="78"/>
      <c r="X4356" s="78"/>
      <c r="AF4356"/>
      <c r="AG4356"/>
      <c r="AH4356"/>
      <c r="AI4356"/>
      <c r="AJ4356"/>
      <c r="AK4356"/>
    </row>
    <row r="4357" spans="1:37" ht="13.05" customHeight="1" x14ac:dyDescent="0.25">
      <c r="A4357"/>
      <c r="C4357" s="191"/>
      <c r="D4357" s="191"/>
      <c r="F4357"/>
      <c r="G4357"/>
      <c r="H4357" s="36"/>
      <c r="I4357" s="125"/>
      <c r="S4357" s="4"/>
      <c r="T4357" s="124"/>
      <c r="U4357" s="22"/>
      <c r="V4357" s="22"/>
      <c r="W4357" s="78"/>
      <c r="X4357" s="78"/>
      <c r="AF4357"/>
      <c r="AG4357"/>
      <c r="AH4357"/>
      <c r="AI4357"/>
      <c r="AJ4357"/>
      <c r="AK4357"/>
    </row>
    <row r="4358" spans="1:37" ht="13.05" customHeight="1" x14ac:dyDescent="0.25">
      <c r="A4358"/>
      <c r="C4358" s="191"/>
      <c r="D4358" s="191"/>
      <c r="F4358"/>
      <c r="G4358"/>
      <c r="H4358" s="36"/>
      <c r="I4358" s="125"/>
      <c r="S4358" s="4"/>
      <c r="T4358" s="124"/>
      <c r="U4358" s="22"/>
      <c r="V4358" s="22"/>
      <c r="W4358" s="78"/>
      <c r="X4358" s="78"/>
      <c r="AF4358"/>
      <c r="AG4358"/>
      <c r="AH4358"/>
      <c r="AI4358"/>
      <c r="AJ4358"/>
      <c r="AK4358"/>
    </row>
    <row r="4359" spans="1:37" ht="13.05" customHeight="1" x14ac:dyDescent="0.25">
      <c r="A4359"/>
      <c r="C4359" s="191"/>
      <c r="D4359" s="191"/>
      <c r="F4359"/>
      <c r="G4359"/>
      <c r="H4359" s="36"/>
      <c r="I4359" s="125"/>
      <c r="S4359" s="4"/>
      <c r="T4359" s="124"/>
      <c r="U4359" s="22"/>
      <c r="V4359" s="22"/>
      <c r="W4359" s="78"/>
      <c r="X4359" s="78"/>
      <c r="AF4359"/>
      <c r="AG4359"/>
      <c r="AH4359"/>
      <c r="AI4359"/>
      <c r="AJ4359"/>
      <c r="AK4359"/>
    </row>
    <row r="4360" spans="1:37" ht="13.05" customHeight="1" x14ac:dyDescent="0.25">
      <c r="A4360"/>
      <c r="C4360" s="191"/>
      <c r="D4360" s="191"/>
      <c r="F4360"/>
      <c r="G4360"/>
      <c r="H4360" s="36"/>
      <c r="I4360" s="125"/>
      <c r="S4360" s="4"/>
      <c r="T4360" s="124"/>
      <c r="U4360" s="22"/>
      <c r="V4360" s="22"/>
      <c r="W4360" s="78"/>
      <c r="X4360" s="78"/>
      <c r="AF4360"/>
      <c r="AG4360"/>
      <c r="AH4360"/>
      <c r="AI4360"/>
      <c r="AJ4360"/>
      <c r="AK4360"/>
    </row>
    <row r="4361" spans="1:37" ht="13.05" customHeight="1" x14ac:dyDescent="0.25">
      <c r="A4361"/>
      <c r="C4361" s="191"/>
      <c r="D4361" s="191"/>
      <c r="F4361"/>
      <c r="G4361"/>
      <c r="H4361" s="36"/>
      <c r="I4361" s="125"/>
      <c r="S4361" s="4"/>
      <c r="T4361" s="124"/>
      <c r="U4361" s="22"/>
      <c r="V4361" s="22"/>
      <c r="W4361" s="78"/>
      <c r="X4361" s="78"/>
      <c r="AF4361"/>
      <c r="AG4361"/>
      <c r="AH4361"/>
      <c r="AI4361"/>
      <c r="AJ4361"/>
      <c r="AK4361"/>
    </row>
    <row r="4362" spans="1:37" ht="13.05" customHeight="1" x14ac:dyDescent="0.25">
      <c r="A4362"/>
      <c r="C4362" s="191"/>
      <c r="D4362" s="191"/>
      <c r="F4362"/>
      <c r="G4362"/>
      <c r="H4362" s="36"/>
      <c r="I4362" s="125"/>
      <c r="S4362" s="4"/>
      <c r="T4362" s="124"/>
      <c r="U4362" s="22"/>
      <c r="V4362" s="22"/>
      <c r="W4362" s="78"/>
      <c r="X4362" s="78"/>
      <c r="AF4362"/>
      <c r="AG4362"/>
      <c r="AH4362"/>
      <c r="AI4362"/>
      <c r="AJ4362"/>
      <c r="AK4362"/>
    </row>
    <row r="4363" spans="1:37" ht="13.05" customHeight="1" x14ac:dyDescent="0.25">
      <c r="A4363"/>
      <c r="C4363" s="191"/>
      <c r="D4363" s="191"/>
      <c r="F4363"/>
      <c r="G4363"/>
      <c r="H4363" s="36"/>
      <c r="I4363" s="125"/>
      <c r="S4363" s="4"/>
      <c r="T4363" s="124"/>
      <c r="U4363" s="22"/>
      <c r="V4363" s="22"/>
      <c r="W4363" s="78"/>
      <c r="X4363" s="78"/>
      <c r="AF4363"/>
      <c r="AG4363"/>
      <c r="AH4363"/>
      <c r="AI4363"/>
      <c r="AJ4363"/>
      <c r="AK4363"/>
    </row>
    <row r="4364" spans="1:37" ht="13.05" customHeight="1" x14ac:dyDescent="0.25">
      <c r="A4364"/>
      <c r="C4364" s="191"/>
      <c r="D4364" s="191"/>
      <c r="F4364"/>
      <c r="G4364"/>
      <c r="H4364" s="36"/>
      <c r="I4364" s="125"/>
      <c r="S4364" s="4"/>
      <c r="T4364" s="124"/>
      <c r="U4364" s="22"/>
      <c r="V4364" s="22"/>
      <c r="W4364" s="78"/>
      <c r="X4364" s="78"/>
      <c r="AF4364"/>
      <c r="AG4364"/>
      <c r="AH4364"/>
      <c r="AI4364"/>
      <c r="AJ4364"/>
      <c r="AK4364"/>
    </row>
    <row r="4365" spans="1:37" ht="13.05" customHeight="1" x14ac:dyDescent="0.25">
      <c r="A4365"/>
      <c r="C4365" s="191"/>
      <c r="D4365" s="191"/>
      <c r="F4365"/>
      <c r="G4365"/>
      <c r="H4365" s="36"/>
      <c r="I4365" s="125"/>
      <c r="S4365" s="4"/>
      <c r="T4365" s="124"/>
      <c r="U4365" s="22"/>
      <c r="V4365" s="22"/>
      <c r="W4365" s="78"/>
      <c r="X4365" s="78"/>
      <c r="AF4365"/>
      <c r="AG4365"/>
      <c r="AH4365"/>
      <c r="AI4365"/>
      <c r="AJ4365"/>
      <c r="AK4365"/>
    </row>
    <row r="4366" spans="1:37" ht="13.05" customHeight="1" x14ac:dyDescent="0.25">
      <c r="A4366"/>
      <c r="C4366" s="191"/>
      <c r="D4366" s="191"/>
      <c r="F4366"/>
      <c r="G4366"/>
      <c r="H4366" s="36"/>
      <c r="I4366" s="125"/>
      <c r="S4366" s="4"/>
      <c r="T4366" s="124"/>
      <c r="U4366" s="22"/>
      <c r="V4366" s="22"/>
      <c r="W4366" s="78"/>
      <c r="X4366" s="78"/>
      <c r="AF4366"/>
      <c r="AG4366"/>
      <c r="AH4366"/>
      <c r="AI4366"/>
      <c r="AJ4366"/>
      <c r="AK4366"/>
    </row>
    <row r="4367" spans="1:37" ht="13.05" customHeight="1" x14ac:dyDescent="0.25">
      <c r="A4367"/>
      <c r="C4367" s="191"/>
      <c r="D4367" s="191"/>
      <c r="F4367"/>
      <c r="G4367"/>
      <c r="H4367" s="36"/>
      <c r="I4367" s="125"/>
      <c r="S4367" s="4"/>
      <c r="T4367" s="124"/>
      <c r="U4367" s="22"/>
      <c r="V4367" s="22"/>
      <c r="W4367" s="78"/>
      <c r="X4367" s="78"/>
      <c r="AF4367"/>
      <c r="AG4367"/>
      <c r="AH4367"/>
      <c r="AI4367"/>
      <c r="AJ4367"/>
      <c r="AK4367"/>
    </row>
    <row r="4368" spans="1:37" ht="13.05" customHeight="1" x14ac:dyDescent="0.25">
      <c r="A4368"/>
      <c r="C4368" s="191"/>
      <c r="D4368" s="191"/>
      <c r="F4368"/>
      <c r="G4368"/>
      <c r="H4368" s="36"/>
      <c r="I4368" s="125"/>
      <c r="S4368" s="4"/>
      <c r="T4368" s="124"/>
      <c r="U4368" s="22"/>
      <c r="V4368" s="22"/>
      <c r="W4368" s="78"/>
      <c r="X4368" s="78"/>
      <c r="AF4368"/>
      <c r="AG4368"/>
      <c r="AH4368"/>
      <c r="AI4368"/>
      <c r="AJ4368"/>
      <c r="AK4368"/>
    </row>
    <row r="4369" spans="1:37" ht="13.05" customHeight="1" x14ac:dyDescent="0.25">
      <c r="A4369"/>
      <c r="C4369" s="191"/>
      <c r="D4369" s="191"/>
      <c r="F4369"/>
      <c r="G4369"/>
      <c r="H4369" s="36"/>
      <c r="I4369" s="125"/>
      <c r="S4369" s="4"/>
      <c r="T4369" s="124"/>
      <c r="U4369" s="22"/>
      <c r="V4369" s="22"/>
      <c r="W4369" s="78"/>
      <c r="X4369" s="78"/>
      <c r="AF4369"/>
      <c r="AG4369"/>
      <c r="AH4369"/>
      <c r="AI4369"/>
      <c r="AJ4369"/>
      <c r="AK4369"/>
    </row>
    <row r="4370" spans="1:37" ht="13.05" customHeight="1" x14ac:dyDescent="0.25">
      <c r="A4370"/>
      <c r="C4370" s="191"/>
      <c r="D4370" s="191"/>
      <c r="F4370"/>
      <c r="G4370"/>
      <c r="H4370" s="36"/>
      <c r="I4370" s="125"/>
      <c r="S4370" s="4"/>
      <c r="T4370" s="124"/>
      <c r="U4370" s="22"/>
      <c r="V4370" s="22"/>
      <c r="W4370" s="78"/>
      <c r="X4370" s="78"/>
      <c r="AF4370"/>
      <c r="AG4370"/>
      <c r="AH4370"/>
      <c r="AI4370"/>
      <c r="AJ4370"/>
      <c r="AK4370"/>
    </row>
    <row r="4371" spans="1:37" ht="13.05" customHeight="1" x14ac:dyDescent="0.25">
      <c r="A4371"/>
      <c r="C4371" s="191"/>
      <c r="D4371" s="191"/>
      <c r="F4371"/>
      <c r="G4371"/>
      <c r="H4371" s="36"/>
      <c r="I4371" s="125"/>
      <c r="S4371" s="4"/>
      <c r="T4371" s="124"/>
      <c r="U4371" s="22"/>
      <c r="V4371" s="22"/>
      <c r="W4371" s="78"/>
      <c r="X4371" s="78"/>
      <c r="AF4371"/>
      <c r="AG4371"/>
      <c r="AH4371"/>
      <c r="AI4371"/>
      <c r="AJ4371"/>
      <c r="AK4371"/>
    </row>
    <row r="4372" spans="1:37" ht="13.05" customHeight="1" x14ac:dyDescent="0.25">
      <c r="A4372"/>
      <c r="C4372" s="191"/>
      <c r="D4372" s="191"/>
      <c r="F4372"/>
      <c r="G4372"/>
      <c r="H4372" s="36"/>
      <c r="I4372" s="125"/>
      <c r="S4372" s="4"/>
      <c r="T4372" s="124"/>
      <c r="U4372" s="22"/>
      <c r="V4372" s="22"/>
      <c r="W4372" s="78"/>
      <c r="X4372" s="78"/>
      <c r="AF4372"/>
      <c r="AG4372"/>
      <c r="AH4372"/>
      <c r="AI4372"/>
      <c r="AJ4372"/>
      <c r="AK4372"/>
    </row>
    <row r="4373" spans="1:37" ht="13.05" customHeight="1" x14ac:dyDescent="0.25">
      <c r="A4373"/>
      <c r="C4373" s="191"/>
      <c r="D4373" s="191"/>
      <c r="F4373"/>
      <c r="G4373"/>
      <c r="H4373" s="36"/>
      <c r="I4373" s="125"/>
      <c r="S4373" s="4"/>
      <c r="T4373" s="124"/>
      <c r="U4373" s="22"/>
      <c r="V4373" s="22"/>
      <c r="W4373" s="78"/>
      <c r="X4373" s="78"/>
      <c r="AF4373"/>
      <c r="AG4373"/>
      <c r="AH4373"/>
      <c r="AI4373"/>
      <c r="AJ4373"/>
      <c r="AK4373"/>
    </row>
    <row r="4374" spans="1:37" ht="13.05" customHeight="1" x14ac:dyDescent="0.25">
      <c r="A4374"/>
      <c r="C4374" s="191"/>
      <c r="D4374" s="191"/>
      <c r="F4374"/>
      <c r="G4374"/>
      <c r="H4374" s="36"/>
      <c r="I4374" s="125"/>
      <c r="S4374" s="4"/>
      <c r="T4374" s="124"/>
      <c r="U4374" s="22"/>
      <c r="V4374" s="22"/>
      <c r="W4374" s="78"/>
      <c r="X4374" s="78"/>
      <c r="AF4374"/>
      <c r="AG4374"/>
      <c r="AH4374"/>
      <c r="AI4374"/>
      <c r="AJ4374"/>
      <c r="AK4374"/>
    </row>
    <row r="4375" spans="1:37" ht="13.05" customHeight="1" x14ac:dyDescent="0.25">
      <c r="A4375"/>
      <c r="C4375" s="191"/>
      <c r="D4375" s="191"/>
      <c r="F4375"/>
      <c r="G4375"/>
      <c r="H4375" s="36"/>
      <c r="I4375" s="125"/>
      <c r="S4375" s="4"/>
      <c r="T4375" s="124"/>
      <c r="U4375" s="22"/>
      <c r="V4375" s="22"/>
      <c r="W4375" s="78"/>
      <c r="X4375" s="78"/>
      <c r="AF4375"/>
      <c r="AG4375"/>
      <c r="AH4375"/>
      <c r="AI4375"/>
      <c r="AJ4375"/>
      <c r="AK4375"/>
    </row>
    <row r="4376" spans="1:37" ht="13.05" customHeight="1" x14ac:dyDescent="0.25">
      <c r="A4376"/>
      <c r="C4376" s="191"/>
      <c r="D4376" s="191"/>
      <c r="F4376"/>
      <c r="G4376"/>
      <c r="H4376" s="36"/>
      <c r="I4376" s="125"/>
      <c r="S4376" s="4"/>
      <c r="T4376" s="124"/>
      <c r="U4376" s="22"/>
      <c r="V4376" s="22"/>
      <c r="W4376" s="78"/>
      <c r="X4376" s="78"/>
      <c r="AF4376"/>
      <c r="AG4376"/>
      <c r="AH4376"/>
      <c r="AI4376"/>
      <c r="AJ4376"/>
      <c r="AK4376"/>
    </row>
    <row r="4377" spans="1:37" ht="13.05" customHeight="1" x14ac:dyDescent="0.25">
      <c r="A4377"/>
      <c r="C4377" s="191"/>
      <c r="D4377" s="191"/>
      <c r="F4377"/>
      <c r="G4377"/>
      <c r="H4377" s="36"/>
      <c r="I4377" s="125"/>
      <c r="S4377" s="4"/>
      <c r="T4377" s="124"/>
      <c r="U4377" s="22"/>
      <c r="V4377" s="22"/>
      <c r="W4377" s="78"/>
      <c r="X4377" s="78"/>
      <c r="AF4377"/>
      <c r="AG4377"/>
      <c r="AH4377"/>
      <c r="AI4377"/>
      <c r="AJ4377"/>
      <c r="AK4377"/>
    </row>
    <row r="4378" spans="1:37" ht="13.05" customHeight="1" x14ac:dyDescent="0.25">
      <c r="A4378"/>
      <c r="C4378" s="191"/>
      <c r="D4378" s="191"/>
      <c r="F4378"/>
      <c r="G4378"/>
      <c r="H4378" s="36"/>
      <c r="I4378" s="125"/>
      <c r="S4378" s="4"/>
      <c r="T4378" s="124"/>
      <c r="U4378" s="22"/>
      <c r="V4378" s="22"/>
      <c r="W4378" s="78"/>
      <c r="X4378" s="78"/>
      <c r="AF4378"/>
      <c r="AG4378"/>
      <c r="AH4378"/>
      <c r="AI4378"/>
      <c r="AJ4378"/>
      <c r="AK4378"/>
    </row>
    <row r="4379" spans="1:37" ht="13.05" customHeight="1" x14ac:dyDescent="0.25">
      <c r="A4379"/>
      <c r="C4379" s="191"/>
      <c r="D4379" s="191"/>
      <c r="F4379"/>
      <c r="G4379"/>
      <c r="H4379" s="36"/>
      <c r="I4379" s="125"/>
      <c r="S4379" s="4"/>
      <c r="T4379" s="124"/>
      <c r="U4379" s="22"/>
      <c r="V4379" s="22"/>
      <c r="W4379" s="78"/>
      <c r="X4379" s="78"/>
      <c r="AF4379"/>
      <c r="AG4379"/>
      <c r="AH4379"/>
      <c r="AI4379"/>
      <c r="AJ4379"/>
      <c r="AK4379"/>
    </row>
    <row r="4380" spans="1:37" ht="13.05" customHeight="1" x14ac:dyDescent="0.25">
      <c r="A4380"/>
      <c r="C4380" s="191"/>
      <c r="D4380" s="191"/>
      <c r="F4380"/>
      <c r="G4380"/>
      <c r="H4380" s="36"/>
      <c r="I4380" s="125"/>
      <c r="S4380" s="4"/>
      <c r="T4380" s="124"/>
      <c r="U4380" s="22"/>
      <c r="V4380" s="22"/>
      <c r="W4380" s="78"/>
      <c r="X4380" s="78"/>
      <c r="AF4380"/>
      <c r="AG4380"/>
      <c r="AH4380"/>
      <c r="AI4380"/>
      <c r="AJ4380"/>
      <c r="AK4380"/>
    </row>
    <row r="4381" spans="1:37" ht="13.05" customHeight="1" x14ac:dyDescent="0.25">
      <c r="A4381"/>
      <c r="C4381" s="191"/>
      <c r="D4381" s="191"/>
      <c r="F4381"/>
      <c r="G4381"/>
      <c r="H4381" s="36"/>
      <c r="I4381" s="125"/>
      <c r="S4381" s="4"/>
      <c r="T4381" s="124"/>
      <c r="U4381" s="22"/>
      <c r="V4381" s="22"/>
      <c r="W4381" s="78"/>
      <c r="X4381" s="78"/>
      <c r="AF4381"/>
      <c r="AG4381"/>
      <c r="AH4381"/>
      <c r="AI4381"/>
      <c r="AJ4381"/>
      <c r="AK4381"/>
    </row>
    <row r="4382" spans="1:37" ht="13.05" customHeight="1" x14ac:dyDescent="0.25">
      <c r="A4382"/>
      <c r="C4382" s="191"/>
      <c r="D4382" s="191"/>
      <c r="F4382"/>
      <c r="G4382"/>
      <c r="H4382" s="36"/>
      <c r="I4382" s="125"/>
      <c r="S4382" s="4"/>
      <c r="T4382" s="124"/>
      <c r="U4382" s="22"/>
      <c r="V4382" s="22"/>
      <c r="W4382" s="78"/>
      <c r="X4382" s="78"/>
      <c r="AF4382"/>
      <c r="AG4382"/>
      <c r="AH4382"/>
      <c r="AI4382"/>
      <c r="AJ4382"/>
      <c r="AK4382"/>
    </row>
    <row r="4383" spans="1:37" ht="13.05" customHeight="1" x14ac:dyDescent="0.25">
      <c r="A4383"/>
      <c r="C4383" s="191"/>
      <c r="D4383" s="191"/>
      <c r="F4383"/>
      <c r="G4383"/>
      <c r="H4383" s="36"/>
      <c r="I4383" s="125"/>
      <c r="S4383" s="4"/>
      <c r="T4383" s="124"/>
      <c r="U4383" s="22"/>
      <c r="V4383" s="22"/>
      <c r="W4383" s="78"/>
      <c r="X4383" s="78"/>
      <c r="AF4383"/>
      <c r="AG4383"/>
      <c r="AH4383"/>
      <c r="AI4383"/>
      <c r="AJ4383"/>
      <c r="AK4383"/>
    </row>
    <row r="4384" spans="1:37" ht="13.05" customHeight="1" x14ac:dyDescent="0.25">
      <c r="A4384"/>
      <c r="C4384" s="191"/>
      <c r="D4384" s="191"/>
      <c r="F4384"/>
      <c r="G4384"/>
      <c r="H4384" s="36"/>
      <c r="I4384" s="125"/>
      <c r="S4384" s="4"/>
      <c r="T4384" s="124"/>
      <c r="U4384" s="22"/>
      <c r="V4384" s="22"/>
      <c r="W4384" s="78"/>
      <c r="X4384" s="78"/>
      <c r="AF4384"/>
      <c r="AG4384"/>
      <c r="AH4384"/>
      <c r="AI4384"/>
      <c r="AJ4384"/>
      <c r="AK4384"/>
    </row>
    <row r="4385" spans="1:37" ht="13.05" customHeight="1" x14ac:dyDescent="0.25">
      <c r="A4385"/>
      <c r="C4385" s="191"/>
      <c r="D4385" s="191"/>
      <c r="F4385"/>
      <c r="G4385"/>
      <c r="H4385" s="36"/>
      <c r="I4385" s="125"/>
      <c r="S4385" s="4"/>
      <c r="T4385" s="124"/>
      <c r="U4385" s="22"/>
      <c r="V4385" s="22"/>
      <c r="W4385" s="78"/>
      <c r="X4385" s="78"/>
      <c r="AF4385"/>
      <c r="AG4385"/>
      <c r="AH4385"/>
      <c r="AI4385"/>
      <c r="AJ4385"/>
      <c r="AK4385"/>
    </row>
    <row r="4386" spans="1:37" ht="13.05" customHeight="1" x14ac:dyDescent="0.25">
      <c r="A4386"/>
      <c r="C4386" s="191"/>
      <c r="D4386" s="191"/>
      <c r="F4386"/>
      <c r="G4386"/>
      <c r="H4386" s="36"/>
      <c r="I4386" s="125"/>
      <c r="S4386" s="4"/>
      <c r="T4386" s="124"/>
      <c r="U4386" s="22"/>
      <c r="V4386" s="22"/>
      <c r="W4386" s="78"/>
      <c r="X4386" s="78"/>
      <c r="AF4386"/>
      <c r="AG4386"/>
      <c r="AH4386"/>
      <c r="AI4386"/>
      <c r="AJ4386"/>
      <c r="AK4386"/>
    </row>
    <row r="4387" spans="1:37" ht="13.05" customHeight="1" x14ac:dyDescent="0.25">
      <c r="A4387"/>
      <c r="C4387" s="191"/>
      <c r="D4387" s="191"/>
      <c r="F4387"/>
      <c r="G4387"/>
      <c r="H4387" s="36"/>
      <c r="I4387" s="125"/>
      <c r="S4387" s="4"/>
      <c r="T4387" s="124"/>
      <c r="U4387" s="22"/>
      <c r="V4387" s="22"/>
      <c r="W4387" s="78"/>
      <c r="X4387" s="78"/>
      <c r="AF4387"/>
      <c r="AG4387"/>
      <c r="AH4387"/>
      <c r="AI4387"/>
      <c r="AJ4387"/>
      <c r="AK4387"/>
    </row>
    <row r="4388" spans="1:37" ht="13.05" customHeight="1" x14ac:dyDescent="0.25">
      <c r="A4388"/>
      <c r="C4388" s="191"/>
      <c r="D4388" s="191"/>
      <c r="F4388"/>
      <c r="G4388"/>
      <c r="H4388" s="36"/>
      <c r="I4388" s="125"/>
      <c r="S4388" s="4"/>
      <c r="T4388" s="124"/>
      <c r="U4388" s="22"/>
      <c r="V4388" s="22"/>
      <c r="W4388" s="78"/>
      <c r="X4388" s="78"/>
      <c r="AF4388"/>
      <c r="AG4388"/>
      <c r="AH4388"/>
      <c r="AI4388"/>
      <c r="AJ4388"/>
      <c r="AK4388"/>
    </row>
    <row r="4389" spans="1:37" ht="13.05" customHeight="1" x14ac:dyDescent="0.25">
      <c r="A4389"/>
      <c r="C4389" s="191"/>
      <c r="D4389" s="191"/>
      <c r="F4389"/>
      <c r="G4389"/>
      <c r="H4389" s="36"/>
      <c r="I4389" s="125"/>
      <c r="S4389" s="4"/>
      <c r="T4389" s="124"/>
      <c r="U4389" s="22"/>
      <c r="V4389" s="22"/>
      <c r="W4389" s="78"/>
      <c r="X4389" s="78"/>
      <c r="AF4389"/>
      <c r="AG4389"/>
      <c r="AH4389"/>
      <c r="AI4389"/>
      <c r="AJ4389"/>
      <c r="AK4389"/>
    </row>
    <row r="4390" spans="1:37" ht="13.05" customHeight="1" x14ac:dyDescent="0.25">
      <c r="A4390"/>
      <c r="C4390" s="191"/>
      <c r="D4390" s="191"/>
      <c r="F4390"/>
      <c r="G4390"/>
      <c r="H4390" s="36"/>
      <c r="I4390" s="125"/>
      <c r="S4390" s="4"/>
      <c r="T4390" s="124"/>
      <c r="U4390" s="22"/>
      <c r="V4390" s="22"/>
      <c r="W4390" s="78"/>
      <c r="X4390" s="78"/>
      <c r="AF4390"/>
      <c r="AG4390"/>
      <c r="AH4390"/>
      <c r="AI4390"/>
      <c r="AJ4390"/>
      <c r="AK4390"/>
    </row>
    <row r="4391" spans="1:37" ht="13.05" customHeight="1" x14ac:dyDescent="0.25">
      <c r="A4391"/>
      <c r="C4391" s="191"/>
      <c r="D4391" s="191"/>
      <c r="F4391"/>
      <c r="G4391"/>
      <c r="H4391" s="36"/>
      <c r="I4391" s="125"/>
      <c r="S4391" s="4"/>
      <c r="T4391" s="124"/>
      <c r="U4391" s="22"/>
      <c r="V4391" s="22"/>
      <c r="W4391" s="78"/>
      <c r="X4391" s="78"/>
      <c r="AF4391"/>
      <c r="AG4391"/>
      <c r="AH4391"/>
      <c r="AI4391"/>
      <c r="AJ4391"/>
      <c r="AK4391"/>
    </row>
    <row r="4392" spans="1:37" ht="13.05" customHeight="1" x14ac:dyDescent="0.25">
      <c r="A4392"/>
      <c r="C4392" s="191"/>
      <c r="D4392" s="191"/>
      <c r="F4392"/>
      <c r="G4392"/>
      <c r="H4392" s="36"/>
      <c r="I4392" s="125"/>
      <c r="S4392" s="4"/>
      <c r="T4392" s="124"/>
      <c r="U4392" s="22"/>
      <c r="V4392" s="22"/>
      <c r="W4392" s="78"/>
      <c r="X4392" s="78"/>
      <c r="AF4392"/>
      <c r="AG4392"/>
      <c r="AH4392"/>
      <c r="AI4392"/>
      <c r="AJ4392"/>
      <c r="AK4392"/>
    </row>
    <row r="4393" spans="1:37" ht="13.05" customHeight="1" x14ac:dyDescent="0.25">
      <c r="A4393"/>
      <c r="C4393" s="191"/>
      <c r="D4393" s="191"/>
      <c r="F4393"/>
      <c r="G4393"/>
      <c r="H4393" s="36"/>
      <c r="I4393" s="125"/>
      <c r="S4393" s="4"/>
      <c r="T4393" s="124"/>
      <c r="U4393" s="22"/>
      <c r="V4393" s="22"/>
      <c r="W4393" s="78"/>
      <c r="X4393" s="78"/>
      <c r="AF4393"/>
      <c r="AG4393"/>
      <c r="AH4393"/>
      <c r="AI4393"/>
      <c r="AJ4393"/>
      <c r="AK4393"/>
    </row>
    <row r="4394" spans="1:37" ht="13.05" customHeight="1" x14ac:dyDescent="0.25">
      <c r="A4394"/>
      <c r="C4394" s="191"/>
      <c r="D4394" s="191"/>
      <c r="F4394"/>
      <c r="G4394"/>
      <c r="H4394" s="36"/>
      <c r="I4394" s="125"/>
      <c r="S4394" s="4"/>
      <c r="T4394" s="124"/>
      <c r="U4394" s="22"/>
      <c r="V4394" s="22"/>
      <c r="W4394" s="78"/>
      <c r="X4394" s="78"/>
      <c r="AF4394"/>
      <c r="AG4394"/>
      <c r="AH4394"/>
      <c r="AI4394"/>
      <c r="AJ4394"/>
      <c r="AK4394"/>
    </row>
    <row r="4395" spans="1:37" ht="13.05" customHeight="1" x14ac:dyDescent="0.25">
      <c r="A4395"/>
      <c r="C4395" s="191"/>
      <c r="D4395" s="191"/>
      <c r="F4395"/>
      <c r="G4395"/>
      <c r="H4395" s="36"/>
      <c r="I4395" s="125"/>
      <c r="S4395" s="4"/>
      <c r="T4395" s="124"/>
      <c r="U4395" s="22"/>
      <c r="V4395" s="22"/>
      <c r="W4395" s="78"/>
      <c r="X4395" s="78"/>
      <c r="AF4395"/>
      <c r="AG4395"/>
      <c r="AH4395"/>
      <c r="AI4395"/>
      <c r="AJ4395"/>
      <c r="AK4395"/>
    </row>
    <row r="4396" spans="1:37" ht="13.05" customHeight="1" x14ac:dyDescent="0.25">
      <c r="A4396"/>
      <c r="C4396" s="191"/>
      <c r="D4396" s="191"/>
      <c r="F4396"/>
      <c r="G4396"/>
      <c r="H4396" s="36"/>
      <c r="I4396" s="125"/>
      <c r="S4396" s="4"/>
      <c r="T4396" s="124"/>
      <c r="U4396" s="22"/>
      <c r="V4396" s="22"/>
      <c r="W4396" s="78"/>
      <c r="X4396" s="78"/>
      <c r="AF4396"/>
      <c r="AG4396"/>
      <c r="AH4396"/>
      <c r="AI4396"/>
      <c r="AJ4396"/>
      <c r="AK4396"/>
    </row>
    <row r="4397" spans="1:37" ht="13.05" customHeight="1" x14ac:dyDescent="0.25">
      <c r="A4397"/>
      <c r="C4397" s="191"/>
      <c r="D4397" s="191"/>
      <c r="F4397"/>
      <c r="G4397"/>
      <c r="H4397" s="36"/>
      <c r="I4397" s="125"/>
      <c r="S4397" s="4"/>
      <c r="T4397" s="124"/>
      <c r="U4397" s="22"/>
      <c r="V4397" s="22"/>
      <c r="W4397" s="78"/>
      <c r="X4397" s="78"/>
      <c r="AF4397"/>
      <c r="AG4397"/>
      <c r="AH4397"/>
      <c r="AI4397"/>
      <c r="AJ4397"/>
      <c r="AK4397"/>
    </row>
    <row r="4398" spans="1:37" ht="13.05" customHeight="1" x14ac:dyDescent="0.25">
      <c r="A4398"/>
      <c r="C4398" s="191"/>
      <c r="D4398" s="191"/>
      <c r="F4398"/>
      <c r="G4398"/>
      <c r="H4398" s="36"/>
      <c r="I4398" s="125"/>
      <c r="S4398" s="4"/>
      <c r="T4398" s="124"/>
      <c r="U4398" s="22"/>
      <c r="V4398" s="22"/>
      <c r="W4398" s="78"/>
      <c r="X4398" s="78"/>
      <c r="AF4398"/>
      <c r="AG4398"/>
      <c r="AH4398"/>
      <c r="AI4398"/>
      <c r="AJ4398"/>
      <c r="AK4398"/>
    </row>
    <row r="4399" spans="1:37" ht="13.05" customHeight="1" x14ac:dyDescent="0.25">
      <c r="A4399"/>
      <c r="C4399" s="191"/>
      <c r="D4399" s="191"/>
      <c r="F4399"/>
      <c r="G4399"/>
      <c r="H4399" s="36"/>
      <c r="I4399" s="125"/>
      <c r="S4399" s="4"/>
      <c r="T4399" s="124"/>
      <c r="U4399" s="22"/>
      <c r="V4399" s="22"/>
      <c r="W4399" s="78"/>
      <c r="X4399" s="78"/>
      <c r="AF4399"/>
      <c r="AG4399"/>
      <c r="AH4399"/>
      <c r="AI4399"/>
      <c r="AJ4399"/>
      <c r="AK4399"/>
    </row>
    <row r="4400" spans="1:37" ht="13.05" customHeight="1" x14ac:dyDescent="0.25">
      <c r="A4400"/>
      <c r="C4400" s="191"/>
      <c r="D4400" s="191"/>
      <c r="F4400"/>
      <c r="G4400"/>
      <c r="H4400" s="36"/>
      <c r="I4400" s="125"/>
      <c r="S4400" s="4"/>
      <c r="T4400" s="124"/>
      <c r="U4400" s="22"/>
      <c r="V4400" s="22"/>
      <c r="W4400" s="78"/>
      <c r="X4400" s="78"/>
      <c r="AF4400"/>
      <c r="AG4400"/>
      <c r="AH4400"/>
      <c r="AI4400"/>
      <c r="AJ4400"/>
      <c r="AK4400"/>
    </row>
    <row r="4401" spans="1:37" ht="13.05" customHeight="1" x14ac:dyDescent="0.25">
      <c r="A4401"/>
      <c r="C4401" s="191"/>
      <c r="D4401" s="191"/>
      <c r="F4401"/>
      <c r="G4401"/>
      <c r="H4401" s="36"/>
      <c r="I4401" s="125"/>
      <c r="S4401" s="4"/>
      <c r="T4401" s="124"/>
      <c r="U4401" s="22"/>
      <c r="V4401" s="22"/>
      <c r="W4401" s="78"/>
      <c r="X4401" s="78"/>
      <c r="AF4401"/>
      <c r="AG4401"/>
      <c r="AH4401"/>
      <c r="AI4401"/>
      <c r="AJ4401"/>
      <c r="AK4401"/>
    </row>
    <row r="4402" spans="1:37" ht="13.05" customHeight="1" x14ac:dyDescent="0.25">
      <c r="A4402"/>
      <c r="C4402" s="191"/>
      <c r="D4402" s="191"/>
      <c r="F4402"/>
      <c r="G4402"/>
      <c r="H4402" s="36"/>
      <c r="I4402" s="125"/>
      <c r="S4402" s="4"/>
      <c r="T4402" s="124"/>
      <c r="U4402" s="22"/>
      <c r="V4402" s="22"/>
      <c r="W4402" s="78"/>
      <c r="X4402" s="78"/>
      <c r="AF4402"/>
      <c r="AG4402"/>
      <c r="AH4402"/>
      <c r="AI4402"/>
      <c r="AJ4402"/>
      <c r="AK4402"/>
    </row>
    <row r="4403" spans="1:37" ht="13.05" customHeight="1" x14ac:dyDescent="0.25">
      <c r="A4403"/>
      <c r="C4403" s="191"/>
      <c r="D4403" s="191"/>
      <c r="F4403"/>
      <c r="G4403"/>
      <c r="H4403" s="36"/>
      <c r="I4403" s="125"/>
      <c r="S4403" s="4"/>
      <c r="T4403" s="124"/>
      <c r="U4403" s="22"/>
      <c r="V4403" s="22"/>
      <c r="W4403" s="78"/>
      <c r="X4403" s="78"/>
      <c r="AF4403"/>
      <c r="AG4403"/>
      <c r="AH4403"/>
      <c r="AI4403"/>
      <c r="AJ4403"/>
      <c r="AK4403"/>
    </row>
    <row r="4404" spans="1:37" ht="13.05" customHeight="1" x14ac:dyDescent="0.25">
      <c r="A4404"/>
      <c r="C4404" s="191"/>
      <c r="D4404" s="191"/>
      <c r="F4404"/>
      <c r="G4404"/>
      <c r="H4404" s="36"/>
      <c r="I4404" s="125"/>
      <c r="S4404" s="4"/>
      <c r="T4404" s="124"/>
      <c r="U4404" s="22"/>
      <c r="V4404" s="22"/>
      <c r="W4404" s="78"/>
      <c r="X4404" s="78"/>
      <c r="AF4404"/>
      <c r="AG4404"/>
      <c r="AH4404"/>
      <c r="AI4404"/>
      <c r="AJ4404"/>
      <c r="AK4404"/>
    </row>
    <row r="4405" spans="1:37" ht="13.05" customHeight="1" x14ac:dyDescent="0.25">
      <c r="A4405"/>
      <c r="C4405" s="191"/>
      <c r="D4405" s="191"/>
      <c r="F4405"/>
      <c r="G4405"/>
      <c r="H4405" s="36"/>
      <c r="I4405" s="125"/>
      <c r="S4405" s="4"/>
      <c r="T4405" s="124"/>
      <c r="U4405" s="22"/>
      <c r="V4405" s="22"/>
      <c r="W4405" s="78"/>
      <c r="X4405" s="78"/>
      <c r="AF4405"/>
      <c r="AG4405"/>
      <c r="AH4405"/>
      <c r="AI4405"/>
      <c r="AJ4405"/>
      <c r="AK4405"/>
    </row>
    <row r="4406" spans="1:37" ht="13.05" customHeight="1" x14ac:dyDescent="0.25">
      <c r="A4406"/>
      <c r="C4406" s="191"/>
      <c r="D4406" s="191"/>
      <c r="F4406"/>
      <c r="G4406"/>
      <c r="H4406" s="36"/>
      <c r="I4406" s="125"/>
      <c r="S4406" s="4"/>
      <c r="T4406" s="124"/>
      <c r="U4406" s="22"/>
      <c r="V4406" s="22"/>
      <c r="W4406" s="78"/>
      <c r="X4406" s="78"/>
      <c r="AF4406"/>
      <c r="AG4406"/>
      <c r="AH4406"/>
      <c r="AI4406"/>
      <c r="AJ4406"/>
      <c r="AK4406"/>
    </row>
    <row r="4407" spans="1:37" ht="13.05" customHeight="1" x14ac:dyDescent="0.25">
      <c r="A4407"/>
      <c r="C4407" s="191"/>
      <c r="D4407" s="191"/>
      <c r="F4407"/>
      <c r="G4407"/>
      <c r="H4407" s="36"/>
      <c r="I4407" s="125"/>
      <c r="S4407" s="4"/>
      <c r="T4407" s="124"/>
      <c r="U4407" s="22"/>
      <c r="V4407" s="22"/>
      <c r="W4407" s="78"/>
      <c r="X4407" s="78"/>
      <c r="AF4407"/>
      <c r="AG4407"/>
      <c r="AH4407"/>
      <c r="AI4407"/>
      <c r="AJ4407"/>
      <c r="AK4407"/>
    </row>
    <row r="4408" spans="1:37" ht="13.05" customHeight="1" x14ac:dyDescent="0.25">
      <c r="A4408"/>
      <c r="C4408" s="191"/>
      <c r="D4408" s="191"/>
      <c r="F4408"/>
      <c r="G4408"/>
      <c r="H4408" s="36"/>
      <c r="I4408" s="125"/>
      <c r="S4408" s="4"/>
      <c r="T4408" s="124"/>
      <c r="U4408" s="22"/>
      <c r="V4408" s="22"/>
      <c r="W4408" s="78"/>
      <c r="X4408" s="78"/>
      <c r="AF4408"/>
      <c r="AG4408"/>
      <c r="AH4408"/>
      <c r="AI4408"/>
      <c r="AJ4408"/>
      <c r="AK4408"/>
    </row>
    <row r="4409" spans="1:37" ht="13.05" customHeight="1" x14ac:dyDescent="0.25">
      <c r="A4409"/>
      <c r="C4409" s="191"/>
      <c r="D4409" s="191"/>
      <c r="F4409"/>
      <c r="G4409"/>
      <c r="H4409" s="36"/>
      <c r="I4409" s="125"/>
      <c r="S4409" s="4"/>
      <c r="T4409" s="124"/>
      <c r="U4409" s="22"/>
      <c r="V4409" s="22"/>
      <c r="W4409" s="78"/>
      <c r="X4409" s="78"/>
      <c r="AF4409"/>
      <c r="AG4409"/>
      <c r="AH4409"/>
      <c r="AI4409"/>
      <c r="AJ4409"/>
      <c r="AK4409"/>
    </row>
    <row r="4410" spans="1:37" ht="13.05" customHeight="1" x14ac:dyDescent="0.25">
      <c r="A4410"/>
      <c r="C4410" s="191"/>
      <c r="D4410" s="191"/>
      <c r="F4410"/>
      <c r="G4410"/>
      <c r="H4410" s="36"/>
      <c r="I4410" s="125"/>
      <c r="S4410" s="4"/>
      <c r="T4410" s="124"/>
      <c r="U4410" s="22"/>
      <c r="V4410" s="22"/>
      <c r="W4410" s="78"/>
      <c r="X4410" s="78"/>
      <c r="AF4410"/>
      <c r="AG4410"/>
      <c r="AH4410"/>
      <c r="AI4410"/>
      <c r="AJ4410"/>
      <c r="AK4410"/>
    </row>
    <row r="4411" spans="1:37" ht="13.05" customHeight="1" x14ac:dyDescent="0.25">
      <c r="A4411"/>
      <c r="C4411" s="191"/>
      <c r="D4411" s="191"/>
      <c r="F4411"/>
      <c r="G4411"/>
      <c r="H4411" s="36"/>
      <c r="I4411" s="125"/>
      <c r="S4411" s="4"/>
      <c r="T4411" s="124"/>
      <c r="U4411" s="22"/>
      <c r="V4411" s="22"/>
      <c r="W4411" s="78"/>
      <c r="X4411" s="78"/>
      <c r="AF4411"/>
      <c r="AG4411"/>
      <c r="AH4411"/>
      <c r="AI4411"/>
      <c r="AJ4411"/>
      <c r="AK4411"/>
    </row>
    <row r="4412" spans="1:37" ht="13.05" customHeight="1" x14ac:dyDescent="0.25">
      <c r="A4412"/>
      <c r="C4412" s="191"/>
      <c r="D4412" s="191"/>
      <c r="F4412"/>
      <c r="G4412"/>
      <c r="H4412" s="36"/>
      <c r="I4412" s="125"/>
      <c r="S4412" s="4"/>
      <c r="T4412" s="124"/>
      <c r="U4412" s="22"/>
      <c r="V4412" s="22"/>
      <c r="W4412" s="78"/>
      <c r="X4412" s="78"/>
      <c r="AF4412"/>
      <c r="AG4412"/>
      <c r="AH4412"/>
      <c r="AI4412"/>
      <c r="AJ4412"/>
      <c r="AK4412"/>
    </row>
    <row r="4413" spans="1:37" ht="13.05" customHeight="1" x14ac:dyDescent="0.25">
      <c r="A4413"/>
      <c r="C4413" s="191"/>
      <c r="D4413" s="191"/>
      <c r="F4413"/>
      <c r="G4413"/>
      <c r="H4413" s="36"/>
      <c r="I4413" s="125"/>
      <c r="S4413" s="4"/>
      <c r="T4413" s="124"/>
      <c r="U4413" s="22"/>
      <c r="V4413" s="22"/>
      <c r="W4413" s="78"/>
      <c r="X4413" s="78"/>
      <c r="AF4413"/>
      <c r="AG4413"/>
      <c r="AH4413"/>
      <c r="AI4413"/>
      <c r="AJ4413"/>
      <c r="AK4413"/>
    </row>
    <row r="4414" spans="1:37" ht="13.05" customHeight="1" x14ac:dyDescent="0.25">
      <c r="A4414"/>
      <c r="C4414" s="191"/>
      <c r="D4414" s="191"/>
      <c r="F4414"/>
      <c r="G4414"/>
      <c r="H4414" s="36"/>
      <c r="I4414" s="125"/>
      <c r="S4414" s="4"/>
      <c r="T4414" s="124"/>
      <c r="U4414" s="22"/>
      <c r="V4414" s="22"/>
      <c r="W4414" s="78"/>
      <c r="X4414" s="78"/>
      <c r="AF4414"/>
      <c r="AG4414"/>
      <c r="AH4414"/>
      <c r="AI4414"/>
      <c r="AJ4414"/>
      <c r="AK4414"/>
    </row>
    <row r="4415" spans="1:37" ht="13.05" customHeight="1" x14ac:dyDescent="0.25">
      <c r="A4415"/>
      <c r="C4415" s="191"/>
      <c r="D4415" s="191"/>
      <c r="F4415"/>
      <c r="G4415"/>
      <c r="H4415" s="36"/>
      <c r="I4415" s="125"/>
      <c r="S4415" s="4"/>
      <c r="T4415" s="124"/>
      <c r="U4415" s="22"/>
      <c r="V4415" s="22"/>
      <c r="W4415" s="78"/>
      <c r="X4415" s="78"/>
      <c r="AF4415"/>
      <c r="AG4415"/>
      <c r="AH4415"/>
      <c r="AI4415"/>
      <c r="AJ4415"/>
      <c r="AK4415"/>
    </row>
    <row r="4416" spans="1:37" ht="13.05" customHeight="1" x14ac:dyDescent="0.25">
      <c r="A4416"/>
      <c r="C4416" s="191"/>
      <c r="D4416" s="191"/>
      <c r="F4416"/>
      <c r="G4416"/>
      <c r="H4416" s="36"/>
      <c r="I4416" s="125"/>
      <c r="S4416" s="4"/>
      <c r="T4416" s="124"/>
      <c r="U4416" s="22"/>
      <c r="V4416" s="22"/>
      <c r="W4416" s="78"/>
      <c r="X4416" s="78"/>
      <c r="AF4416"/>
      <c r="AG4416"/>
      <c r="AH4416"/>
      <c r="AI4416"/>
      <c r="AJ4416"/>
      <c r="AK4416"/>
    </row>
    <row r="4417" spans="1:37" ht="13.05" customHeight="1" x14ac:dyDescent="0.25">
      <c r="A4417"/>
      <c r="C4417" s="191"/>
      <c r="D4417" s="191"/>
      <c r="F4417"/>
      <c r="G4417"/>
      <c r="H4417" s="36"/>
      <c r="I4417" s="125"/>
      <c r="S4417" s="4"/>
      <c r="T4417" s="124"/>
      <c r="U4417" s="22"/>
      <c r="V4417" s="22"/>
      <c r="W4417" s="78"/>
      <c r="X4417" s="78"/>
      <c r="AF4417"/>
      <c r="AG4417"/>
      <c r="AH4417"/>
      <c r="AI4417"/>
      <c r="AJ4417"/>
      <c r="AK4417"/>
    </row>
    <row r="4418" spans="1:37" ht="13.05" customHeight="1" x14ac:dyDescent="0.25">
      <c r="A4418"/>
      <c r="C4418" s="191"/>
      <c r="D4418" s="191"/>
      <c r="F4418"/>
      <c r="G4418"/>
      <c r="H4418" s="36"/>
      <c r="I4418" s="125"/>
      <c r="S4418" s="4"/>
      <c r="T4418" s="124"/>
      <c r="U4418" s="22"/>
      <c r="V4418" s="22"/>
      <c r="W4418" s="78"/>
      <c r="X4418" s="78"/>
      <c r="AF4418"/>
      <c r="AG4418"/>
      <c r="AH4418"/>
      <c r="AI4418"/>
      <c r="AJ4418"/>
      <c r="AK4418"/>
    </row>
    <row r="4419" spans="1:37" ht="13.05" customHeight="1" x14ac:dyDescent="0.25">
      <c r="A4419"/>
      <c r="C4419" s="191"/>
      <c r="D4419" s="191"/>
      <c r="F4419"/>
      <c r="G4419"/>
      <c r="H4419" s="36"/>
      <c r="I4419" s="125"/>
      <c r="S4419" s="4"/>
      <c r="T4419" s="124"/>
      <c r="U4419" s="22"/>
      <c r="V4419" s="22"/>
      <c r="W4419" s="78"/>
      <c r="X4419" s="78"/>
      <c r="AF4419"/>
      <c r="AG4419"/>
      <c r="AH4419"/>
      <c r="AI4419"/>
      <c r="AJ4419"/>
      <c r="AK4419"/>
    </row>
    <row r="4420" spans="1:37" ht="13.05" customHeight="1" x14ac:dyDescent="0.25">
      <c r="A4420"/>
      <c r="C4420" s="191"/>
      <c r="D4420" s="191"/>
      <c r="F4420"/>
      <c r="G4420"/>
      <c r="H4420" s="36"/>
      <c r="I4420" s="125"/>
      <c r="S4420" s="4"/>
      <c r="T4420" s="124"/>
      <c r="U4420" s="22"/>
      <c r="V4420" s="22"/>
      <c r="W4420" s="78"/>
      <c r="X4420" s="78"/>
      <c r="AF4420"/>
      <c r="AG4420"/>
      <c r="AH4420"/>
      <c r="AI4420"/>
      <c r="AJ4420"/>
      <c r="AK4420"/>
    </row>
    <row r="4421" spans="1:37" ht="13.05" customHeight="1" x14ac:dyDescent="0.25">
      <c r="A4421"/>
      <c r="C4421" s="191"/>
      <c r="D4421" s="191"/>
      <c r="F4421"/>
      <c r="G4421"/>
      <c r="H4421" s="36"/>
      <c r="I4421" s="125"/>
      <c r="S4421" s="4"/>
      <c r="T4421" s="124"/>
      <c r="U4421" s="22"/>
      <c r="V4421" s="22"/>
      <c r="W4421" s="78"/>
      <c r="X4421" s="78"/>
      <c r="AF4421"/>
      <c r="AG4421"/>
      <c r="AH4421"/>
      <c r="AI4421"/>
      <c r="AJ4421"/>
      <c r="AK4421"/>
    </row>
    <row r="4422" spans="1:37" ht="13.05" customHeight="1" x14ac:dyDescent="0.25">
      <c r="A4422"/>
      <c r="C4422" s="191"/>
      <c r="D4422" s="191"/>
      <c r="F4422"/>
      <c r="G4422"/>
      <c r="H4422" s="36"/>
      <c r="I4422" s="125"/>
      <c r="S4422" s="4"/>
      <c r="T4422" s="124"/>
      <c r="U4422" s="22"/>
      <c r="V4422" s="22"/>
      <c r="W4422" s="78"/>
      <c r="X4422" s="78"/>
      <c r="AF4422"/>
      <c r="AG4422"/>
      <c r="AH4422"/>
      <c r="AI4422"/>
      <c r="AJ4422"/>
      <c r="AK4422"/>
    </row>
    <row r="4423" spans="1:37" ht="13.05" customHeight="1" x14ac:dyDescent="0.25">
      <c r="A4423"/>
      <c r="C4423" s="191"/>
      <c r="D4423" s="191"/>
      <c r="F4423"/>
      <c r="G4423"/>
      <c r="H4423" s="36"/>
      <c r="I4423" s="125"/>
      <c r="S4423" s="4"/>
      <c r="T4423" s="124"/>
      <c r="U4423" s="22"/>
      <c r="V4423" s="22"/>
      <c r="W4423" s="78"/>
      <c r="X4423" s="78"/>
      <c r="AF4423"/>
      <c r="AG4423"/>
      <c r="AH4423"/>
      <c r="AI4423"/>
      <c r="AJ4423"/>
      <c r="AK4423"/>
    </row>
    <row r="4424" spans="1:37" ht="13.05" customHeight="1" x14ac:dyDescent="0.25">
      <c r="A4424"/>
      <c r="C4424" s="191"/>
      <c r="D4424" s="191"/>
      <c r="F4424"/>
      <c r="G4424"/>
      <c r="H4424" s="36"/>
      <c r="I4424" s="125"/>
      <c r="S4424" s="4"/>
      <c r="T4424" s="124"/>
      <c r="U4424" s="22"/>
      <c r="V4424" s="22"/>
      <c r="W4424" s="78"/>
      <c r="X4424" s="78"/>
      <c r="AF4424"/>
      <c r="AG4424"/>
      <c r="AH4424"/>
      <c r="AI4424"/>
      <c r="AJ4424"/>
      <c r="AK4424"/>
    </row>
    <row r="4425" spans="1:37" ht="13.05" customHeight="1" x14ac:dyDescent="0.25">
      <c r="A4425"/>
      <c r="C4425" s="191"/>
      <c r="D4425" s="191"/>
      <c r="F4425"/>
      <c r="G4425"/>
      <c r="H4425" s="36"/>
      <c r="I4425" s="125"/>
      <c r="S4425" s="4"/>
      <c r="T4425" s="124"/>
      <c r="U4425" s="22"/>
      <c r="V4425" s="22"/>
      <c r="W4425" s="78"/>
      <c r="X4425" s="78"/>
      <c r="AF4425"/>
      <c r="AG4425"/>
      <c r="AH4425"/>
      <c r="AI4425"/>
      <c r="AJ4425"/>
      <c r="AK4425"/>
    </row>
    <row r="4426" spans="1:37" ht="13.05" customHeight="1" x14ac:dyDescent="0.25">
      <c r="A4426"/>
      <c r="C4426" s="191"/>
      <c r="D4426" s="191"/>
      <c r="F4426"/>
      <c r="G4426"/>
      <c r="H4426" s="36"/>
      <c r="I4426" s="125"/>
      <c r="S4426" s="4"/>
      <c r="T4426" s="124"/>
      <c r="U4426" s="22"/>
      <c r="V4426" s="22"/>
      <c r="W4426" s="78"/>
      <c r="X4426" s="78"/>
      <c r="AF4426"/>
      <c r="AG4426"/>
      <c r="AH4426"/>
      <c r="AI4426"/>
      <c r="AJ4426"/>
      <c r="AK4426"/>
    </row>
    <row r="4427" spans="1:37" ht="13.05" customHeight="1" x14ac:dyDescent="0.25">
      <c r="A4427"/>
      <c r="C4427" s="191"/>
      <c r="D4427" s="191"/>
      <c r="F4427"/>
      <c r="G4427"/>
      <c r="H4427" s="36"/>
      <c r="I4427" s="125"/>
      <c r="S4427" s="4"/>
      <c r="T4427" s="124"/>
      <c r="U4427" s="22"/>
      <c r="V4427" s="22"/>
      <c r="W4427" s="78"/>
      <c r="X4427" s="78"/>
      <c r="AF4427"/>
      <c r="AG4427"/>
      <c r="AH4427"/>
      <c r="AI4427"/>
      <c r="AJ4427"/>
      <c r="AK4427"/>
    </row>
    <row r="4428" spans="1:37" ht="13.05" customHeight="1" x14ac:dyDescent="0.25">
      <c r="A4428"/>
      <c r="C4428" s="191"/>
      <c r="D4428" s="191"/>
      <c r="F4428"/>
      <c r="G4428"/>
      <c r="H4428" s="36"/>
      <c r="I4428" s="125"/>
      <c r="S4428" s="4"/>
      <c r="T4428" s="124"/>
      <c r="U4428" s="22"/>
      <c r="V4428" s="22"/>
      <c r="W4428" s="78"/>
      <c r="X4428" s="78"/>
      <c r="AF4428"/>
      <c r="AG4428"/>
      <c r="AH4428"/>
      <c r="AI4428"/>
      <c r="AJ4428"/>
      <c r="AK4428"/>
    </row>
    <row r="4429" spans="1:37" ht="13.05" customHeight="1" x14ac:dyDescent="0.25">
      <c r="A4429"/>
      <c r="C4429" s="191"/>
      <c r="D4429" s="191"/>
      <c r="F4429"/>
      <c r="G4429"/>
      <c r="H4429" s="36"/>
      <c r="I4429" s="125"/>
      <c r="S4429" s="4"/>
      <c r="T4429" s="124"/>
      <c r="U4429" s="22"/>
      <c r="V4429" s="22"/>
      <c r="W4429" s="78"/>
      <c r="X4429" s="78"/>
      <c r="AF4429"/>
      <c r="AG4429"/>
      <c r="AH4429"/>
      <c r="AI4429"/>
      <c r="AJ4429"/>
      <c r="AK4429"/>
    </row>
    <row r="4430" spans="1:37" ht="13.05" customHeight="1" x14ac:dyDescent="0.25">
      <c r="A4430"/>
      <c r="C4430" s="191"/>
      <c r="D4430" s="191"/>
      <c r="F4430"/>
      <c r="G4430"/>
      <c r="H4430" s="36"/>
      <c r="I4430" s="125"/>
      <c r="S4430" s="4"/>
      <c r="T4430" s="124"/>
      <c r="U4430" s="22"/>
      <c r="V4430" s="22"/>
      <c r="W4430" s="78"/>
      <c r="X4430" s="78"/>
      <c r="AF4430"/>
      <c r="AG4430"/>
      <c r="AH4430"/>
      <c r="AI4430"/>
      <c r="AJ4430"/>
      <c r="AK4430"/>
    </row>
    <row r="4431" spans="1:37" ht="13.05" customHeight="1" x14ac:dyDescent="0.25">
      <c r="A4431"/>
      <c r="C4431" s="191"/>
      <c r="D4431" s="191"/>
      <c r="F4431"/>
      <c r="G4431"/>
      <c r="H4431" s="36"/>
      <c r="I4431" s="125"/>
      <c r="S4431" s="4"/>
      <c r="T4431" s="124"/>
      <c r="U4431" s="22"/>
      <c r="V4431" s="22"/>
      <c r="W4431" s="78"/>
      <c r="X4431" s="78"/>
      <c r="AF4431"/>
      <c r="AG4431"/>
      <c r="AH4431"/>
      <c r="AI4431"/>
      <c r="AJ4431"/>
      <c r="AK4431"/>
    </row>
    <row r="4432" spans="1:37" ht="13.05" customHeight="1" x14ac:dyDescent="0.25">
      <c r="A4432"/>
      <c r="C4432" s="191"/>
      <c r="D4432" s="191"/>
      <c r="F4432"/>
      <c r="G4432"/>
      <c r="H4432" s="36"/>
      <c r="I4432" s="125"/>
      <c r="S4432" s="4"/>
      <c r="T4432" s="124"/>
      <c r="U4432" s="22"/>
      <c r="V4432" s="22"/>
      <c r="W4432" s="78"/>
      <c r="X4432" s="78"/>
      <c r="AF4432"/>
      <c r="AG4432"/>
      <c r="AH4432"/>
      <c r="AI4432"/>
      <c r="AJ4432"/>
      <c r="AK4432"/>
    </row>
    <row r="4433" spans="1:37" ht="13.05" customHeight="1" x14ac:dyDescent="0.25">
      <c r="A4433"/>
      <c r="C4433" s="191"/>
      <c r="D4433" s="191"/>
      <c r="F4433"/>
      <c r="G4433"/>
      <c r="H4433" s="36"/>
      <c r="I4433" s="125"/>
      <c r="S4433" s="4"/>
      <c r="T4433" s="124"/>
      <c r="U4433" s="22"/>
      <c r="V4433" s="22"/>
      <c r="W4433" s="78"/>
      <c r="X4433" s="78"/>
      <c r="AF4433"/>
      <c r="AG4433"/>
      <c r="AH4433"/>
      <c r="AI4433"/>
      <c r="AJ4433"/>
      <c r="AK4433"/>
    </row>
    <row r="4434" spans="1:37" ht="13.05" customHeight="1" x14ac:dyDescent="0.25">
      <c r="A4434"/>
      <c r="C4434" s="191"/>
      <c r="D4434" s="191"/>
      <c r="F4434"/>
      <c r="G4434"/>
      <c r="H4434" s="36"/>
      <c r="I4434" s="125"/>
      <c r="S4434" s="4"/>
      <c r="T4434" s="124"/>
      <c r="U4434" s="22"/>
      <c r="V4434" s="22"/>
      <c r="W4434" s="78"/>
      <c r="X4434" s="78"/>
      <c r="AF4434"/>
      <c r="AG4434"/>
      <c r="AH4434"/>
      <c r="AI4434"/>
      <c r="AJ4434"/>
      <c r="AK4434"/>
    </row>
    <row r="4435" spans="1:37" ht="13.05" customHeight="1" x14ac:dyDescent="0.25">
      <c r="A4435"/>
      <c r="C4435" s="191"/>
      <c r="D4435" s="191"/>
      <c r="F4435"/>
      <c r="G4435"/>
      <c r="H4435" s="36"/>
      <c r="I4435" s="125"/>
      <c r="S4435" s="4"/>
      <c r="T4435" s="124"/>
      <c r="U4435" s="22"/>
      <c r="V4435" s="22"/>
      <c r="W4435" s="78"/>
      <c r="X4435" s="78"/>
      <c r="AF4435"/>
      <c r="AG4435"/>
      <c r="AH4435"/>
      <c r="AI4435"/>
      <c r="AJ4435"/>
      <c r="AK4435"/>
    </row>
    <row r="4436" spans="1:37" ht="13.05" customHeight="1" x14ac:dyDescent="0.25">
      <c r="A4436"/>
      <c r="C4436" s="191"/>
      <c r="D4436" s="191"/>
      <c r="F4436"/>
      <c r="G4436"/>
      <c r="H4436" s="36"/>
      <c r="I4436" s="125"/>
      <c r="S4436" s="4"/>
      <c r="T4436" s="124"/>
      <c r="U4436" s="22"/>
      <c r="V4436" s="22"/>
      <c r="W4436" s="78"/>
      <c r="X4436" s="78"/>
      <c r="AF4436"/>
      <c r="AG4436"/>
      <c r="AH4436"/>
      <c r="AI4436"/>
      <c r="AJ4436"/>
      <c r="AK4436"/>
    </row>
    <row r="4437" spans="1:37" ht="13.05" customHeight="1" x14ac:dyDescent="0.25">
      <c r="A4437"/>
      <c r="C4437" s="191"/>
      <c r="D4437" s="191"/>
      <c r="F4437"/>
      <c r="G4437"/>
      <c r="H4437" s="36"/>
      <c r="I4437" s="125"/>
      <c r="S4437" s="4"/>
      <c r="T4437" s="124"/>
      <c r="U4437" s="22"/>
      <c r="V4437" s="22"/>
      <c r="W4437" s="78"/>
      <c r="X4437" s="78"/>
      <c r="AF4437"/>
      <c r="AG4437"/>
      <c r="AH4437"/>
      <c r="AI4437"/>
      <c r="AJ4437"/>
      <c r="AK4437"/>
    </row>
    <row r="4438" spans="1:37" ht="13.05" customHeight="1" x14ac:dyDescent="0.25">
      <c r="A4438"/>
      <c r="C4438" s="191"/>
      <c r="D4438" s="191"/>
      <c r="F4438"/>
      <c r="G4438"/>
      <c r="H4438" s="36"/>
      <c r="I4438" s="125"/>
      <c r="S4438" s="4"/>
      <c r="T4438" s="124"/>
      <c r="U4438" s="22"/>
      <c r="V4438" s="22"/>
      <c r="W4438" s="78"/>
      <c r="X4438" s="78"/>
      <c r="AF4438"/>
      <c r="AG4438"/>
      <c r="AH4438"/>
      <c r="AI4438"/>
      <c r="AJ4438"/>
      <c r="AK4438"/>
    </row>
    <row r="4439" spans="1:37" ht="13.05" customHeight="1" x14ac:dyDescent="0.25">
      <c r="A4439"/>
      <c r="C4439" s="191"/>
      <c r="D4439" s="191"/>
      <c r="F4439"/>
      <c r="G4439"/>
      <c r="H4439" s="36"/>
      <c r="I4439" s="125"/>
      <c r="S4439" s="4"/>
      <c r="T4439" s="124"/>
      <c r="U4439" s="22"/>
      <c r="V4439" s="22"/>
      <c r="W4439" s="78"/>
      <c r="X4439" s="78"/>
      <c r="AF4439"/>
      <c r="AG4439"/>
      <c r="AH4439"/>
      <c r="AI4439"/>
      <c r="AJ4439"/>
      <c r="AK4439"/>
    </row>
    <row r="4440" spans="1:37" ht="13.05" customHeight="1" x14ac:dyDescent="0.25">
      <c r="A4440"/>
      <c r="C4440" s="191"/>
      <c r="D4440" s="191"/>
      <c r="F4440"/>
      <c r="G4440"/>
      <c r="H4440" s="36"/>
      <c r="I4440" s="125"/>
      <c r="S4440" s="4"/>
      <c r="T4440" s="124"/>
      <c r="U4440" s="22"/>
      <c r="V4440" s="22"/>
      <c r="W4440" s="78"/>
      <c r="X4440" s="78"/>
      <c r="AF4440"/>
      <c r="AG4440"/>
      <c r="AH4440"/>
      <c r="AI4440"/>
      <c r="AJ4440"/>
      <c r="AK4440"/>
    </row>
    <row r="4441" spans="1:37" ht="13.05" customHeight="1" x14ac:dyDescent="0.25">
      <c r="A4441"/>
      <c r="C4441" s="191"/>
      <c r="D4441" s="191"/>
      <c r="F4441"/>
      <c r="G4441"/>
      <c r="H4441" s="36"/>
      <c r="I4441" s="125"/>
      <c r="S4441" s="4"/>
      <c r="T4441" s="124"/>
      <c r="U4441" s="22"/>
      <c r="V4441" s="22"/>
      <c r="W4441" s="78"/>
      <c r="X4441" s="78"/>
      <c r="AF4441"/>
      <c r="AG4441"/>
      <c r="AH4441"/>
      <c r="AI4441"/>
      <c r="AJ4441"/>
      <c r="AK4441"/>
    </row>
    <row r="4442" spans="1:37" ht="13.05" customHeight="1" x14ac:dyDescent="0.25">
      <c r="A4442"/>
      <c r="C4442" s="191"/>
      <c r="D4442" s="191"/>
      <c r="F4442"/>
      <c r="G4442"/>
      <c r="H4442" s="36"/>
      <c r="I4442" s="125"/>
      <c r="S4442" s="4"/>
      <c r="T4442" s="124"/>
      <c r="U4442" s="22"/>
      <c r="V4442" s="22"/>
      <c r="W4442" s="78"/>
      <c r="X4442" s="78"/>
      <c r="AF4442"/>
      <c r="AG4442"/>
      <c r="AH4442"/>
      <c r="AI4442"/>
      <c r="AJ4442"/>
      <c r="AK4442"/>
    </row>
    <row r="4443" spans="1:37" ht="13.05" customHeight="1" x14ac:dyDescent="0.25">
      <c r="A4443"/>
      <c r="C4443" s="191"/>
      <c r="D4443" s="191"/>
      <c r="F4443"/>
      <c r="G4443"/>
      <c r="H4443" s="36"/>
      <c r="I4443" s="125"/>
      <c r="S4443" s="4"/>
      <c r="T4443" s="124"/>
      <c r="U4443" s="22"/>
      <c r="V4443" s="22"/>
      <c r="W4443" s="78"/>
      <c r="X4443" s="78"/>
      <c r="AF4443"/>
      <c r="AG4443"/>
      <c r="AH4443"/>
      <c r="AI4443"/>
      <c r="AJ4443"/>
      <c r="AK4443"/>
    </row>
    <row r="4444" spans="1:37" ht="13.05" customHeight="1" x14ac:dyDescent="0.25">
      <c r="A4444"/>
      <c r="C4444" s="191"/>
      <c r="D4444" s="191"/>
      <c r="F4444"/>
      <c r="G4444"/>
      <c r="H4444" s="36"/>
      <c r="I4444" s="125"/>
      <c r="S4444" s="4"/>
      <c r="T4444" s="124"/>
      <c r="U4444" s="22"/>
      <c r="V4444" s="22"/>
      <c r="W4444" s="78"/>
      <c r="X4444" s="78"/>
      <c r="AF4444"/>
      <c r="AG4444"/>
      <c r="AH4444"/>
      <c r="AI4444"/>
      <c r="AJ4444"/>
      <c r="AK4444"/>
    </row>
    <row r="4445" spans="1:37" ht="13.05" customHeight="1" x14ac:dyDescent="0.25">
      <c r="A4445"/>
      <c r="C4445" s="191"/>
      <c r="D4445" s="191"/>
      <c r="F4445"/>
      <c r="G4445"/>
      <c r="H4445" s="36"/>
      <c r="I4445" s="125"/>
      <c r="S4445" s="4"/>
      <c r="T4445" s="124"/>
      <c r="U4445" s="22"/>
      <c r="V4445" s="22"/>
      <c r="W4445" s="78"/>
      <c r="X4445" s="78"/>
      <c r="AF4445"/>
      <c r="AG4445"/>
      <c r="AH4445"/>
      <c r="AI4445"/>
      <c r="AJ4445"/>
      <c r="AK4445"/>
    </row>
    <row r="4446" spans="1:37" ht="13.05" customHeight="1" x14ac:dyDescent="0.25">
      <c r="A4446"/>
      <c r="C4446" s="191"/>
      <c r="D4446" s="191"/>
      <c r="F4446"/>
      <c r="G4446"/>
      <c r="H4446" s="36"/>
      <c r="I4446" s="125"/>
      <c r="S4446" s="4"/>
      <c r="T4446" s="124"/>
      <c r="U4446" s="22"/>
      <c r="V4446" s="22"/>
      <c r="W4446" s="78"/>
      <c r="X4446" s="78"/>
      <c r="AF4446"/>
      <c r="AG4446"/>
      <c r="AH4446"/>
      <c r="AI4446"/>
      <c r="AJ4446"/>
      <c r="AK4446"/>
    </row>
    <row r="4447" spans="1:37" ht="13.05" customHeight="1" x14ac:dyDescent="0.25">
      <c r="A4447"/>
      <c r="C4447" s="191"/>
      <c r="D4447" s="191"/>
      <c r="F4447"/>
      <c r="G4447"/>
      <c r="H4447" s="36"/>
      <c r="I4447" s="125"/>
      <c r="S4447" s="4"/>
      <c r="T4447" s="124"/>
      <c r="U4447" s="22"/>
      <c r="V4447" s="22"/>
      <c r="W4447" s="78"/>
      <c r="X4447" s="78"/>
      <c r="AF4447"/>
      <c r="AG4447"/>
      <c r="AH4447"/>
      <c r="AI4447"/>
      <c r="AJ4447"/>
      <c r="AK4447"/>
    </row>
    <row r="4448" spans="1:37" ht="13.05" customHeight="1" x14ac:dyDescent="0.25">
      <c r="A4448"/>
      <c r="C4448" s="191"/>
      <c r="D4448" s="191"/>
      <c r="F4448"/>
      <c r="G4448"/>
      <c r="H4448" s="36"/>
      <c r="I4448" s="125"/>
      <c r="S4448" s="4"/>
      <c r="T4448" s="124"/>
      <c r="U4448" s="22"/>
      <c r="V4448" s="22"/>
      <c r="W4448" s="78"/>
      <c r="X4448" s="78"/>
      <c r="AF4448"/>
      <c r="AG4448"/>
      <c r="AH4448"/>
      <c r="AI4448"/>
      <c r="AJ4448"/>
      <c r="AK4448"/>
    </row>
    <row r="4449" spans="1:37" ht="13.05" customHeight="1" x14ac:dyDescent="0.25">
      <c r="A4449"/>
      <c r="C4449" s="191"/>
      <c r="D4449" s="191"/>
      <c r="F4449"/>
      <c r="G4449"/>
      <c r="H4449" s="36"/>
      <c r="I4449" s="125"/>
      <c r="S4449" s="4"/>
      <c r="T4449" s="124"/>
      <c r="U4449" s="22"/>
      <c r="V4449" s="22"/>
      <c r="W4449" s="78"/>
      <c r="X4449" s="78"/>
      <c r="AF4449"/>
      <c r="AG4449"/>
      <c r="AH4449"/>
      <c r="AI4449"/>
      <c r="AJ4449"/>
      <c r="AK4449"/>
    </row>
    <row r="4450" spans="1:37" ht="13.05" customHeight="1" x14ac:dyDescent="0.25">
      <c r="A4450"/>
      <c r="C4450" s="191"/>
      <c r="D4450" s="191"/>
      <c r="F4450"/>
      <c r="G4450"/>
      <c r="H4450" s="36"/>
      <c r="I4450" s="125"/>
      <c r="S4450" s="4"/>
      <c r="T4450" s="124"/>
      <c r="U4450" s="22"/>
      <c r="V4450" s="22"/>
      <c r="W4450" s="78"/>
      <c r="X4450" s="78"/>
      <c r="AF4450"/>
      <c r="AG4450"/>
      <c r="AH4450"/>
      <c r="AI4450"/>
      <c r="AJ4450"/>
      <c r="AK4450"/>
    </row>
    <row r="4451" spans="1:37" ht="13.05" customHeight="1" x14ac:dyDescent="0.25">
      <c r="A4451"/>
      <c r="C4451" s="191"/>
      <c r="D4451" s="191"/>
      <c r="F4451"/>
      <c r="G4451"/>
      <c r="H4451" s="36"/>
      <c r="I4451" s="125"/>
      <c r="S4451" s="4"/>
      <c r="T4451" s="124"/>
      <c r="U4451" s="22"/>
      <c r="V4451" s="22"/>
      <c r="W4451" s="78"/>
      <c r="X4451" s="78"/>
      <c r="AF4451"/>
      <c r="AG4451"/>
      <c r="AH4451"/>
      <c r="AI4451"/>
      <c r="AJ4451"/>
      <c r="AK4451"/>
    </row>
    <row r="4452" spans="1:37" ht="13.05" customHeight="1" x14ac:dyDescent="0.25">
      <c r="A4452"/>
      <c r="C4452" s="191"/>
      <c r="D4452" s="191"/>
      <c r="F4452"/>
      <c r="G4452"/>
      <c r="H4452" s="36"/>
      <c r="I4452" s="125"/>
      <c r="S4452" s="4"/>
      <c r="T4452" s="124"/>
      <c r="U4452" s="22"/>
      <c r="V4452" s="22"/>
      <c r="W4452" s="78"/>
      <c r="X4452" s="78"/>
      <c r="AF4452"/>
      <c r="AG4452"/>
      <c r="AH4452"/>
      <c r="AI4452"/>
      <c r="AJ4452"/>
      <c r="AK4452"/>
    </row>
    <row r="4453" spans="1:37" ht="13.05" customHeight="1" x14ac:dyDescent="0.25">
      <c r="A4453"/>
      <c r="C4453" s="191"/>
      <c r="D4453" s="191"/>
      <c r="F4453"/>
      <c r="G4453"/>
      <c r="H4453" s="36"/>
      <c r="I4453" s="125"/>
      <c r="S4453" s="4"/>
      <c r="T4453" s="124"/>
      <c r="U4453" s="22"/>
      <c r="V4453" s="22"/>
      <c r="W4453" s="78"/>
      <c r="X4453" s="78"/>
      <c r="AF4453"/>
      <c r="AG4453"/>
      <c r="AH4453"/>
      <c r="AI4453"/>
      <c r="AJ4453"/>
      <c r="AK4453"/>
    </row>
    <row r="4454" spans="1:37" ht="13.05" customHeight="1" x14ac:dyDescent="0.25">
      <c r="A4454"/>
      <c r="C4454" s="191"/>
      <c r="D4454" s="191"/>
      <c r="F4454"/>
      <c r="G4454"/>
      <c r="H4454" s="36"/>
      <c r="I4454" s="125"/>
      <c r="S4454" s="4"/>
      <c r="T4454" s="124"/>
      <c r="U4454" s="22"/>
      <c r="V4454" s="22"/>
      <c r="W4454" s="78"/>
      <c r="X4454" s="78"/>
      <c r="AF4454"/>
      <c r="AG4454"/>
      <c r="AH4454"/>
      <c r="AI4454"/>
      <c r="AJ4454"/>
      <c r="AK4454"/>
    </row>
    <row r="4455" spans="1:37" ht="13.05" customHeight="1" x14ac:dyDescent="0.25">
      <c r="A4455"/>
      <c r="C4455" s="191"/>
      <c r="D4455" s="191"/>
      <c r="F4455"/>
      <c r="G4455"/>
      <c r="H4455" s="36"/>
      <c r="I4455" s="125"/>
      <c r="S4455" s="4"/>
      <c r="T4455" s="124"/>
      <c r="U4455" s="22"/>
      <c r="V4455" s="22"/>
      <c r="W4455" s="78"/>
      <c r="X4455" s="78"/>
      <c r="AF4455"/>
      <c r="AG4455"/>
      <c r="AH4455"/>
      <c r="AI4455"/>
      <c r="AJ4455"/>
      <c r="AK4455"/>
    </row>
    <row r="4456" spans="1:37" ht="13.05" customHeight="1" x14ac:dyDescent="0.25">
      <c r="A4456"/>
      <c r="C4456" s="191"/>
      <c r="D4456" s="191"/>
      <c r="F4456"/>
      <c r="G4456"/>
      <c r="H4456" s="36"/>
      <c r="I4456" s="125"/>
      <c r="S4456" s="4"/>
      <c r="T4456" s="124"/>
      <c r="U4456" s="22"/>
      <c r="V4456" s="22"/>
      <c r="W4456" s="78"/>
      <c r="X4456" s="78"/>
      <c r="AF4456"/>
      <c r="AG4456"/>
      <c r="AH4456"/>
      <c r="AI4456"/>
      <c r="AJ4456"/>
      <c r="AK4456"/>
    </row>
    <row r="4457" spans="1:37" ht="13.05" customHeight="1" x14ac:dyDescent="0.25">
      <c r="A4457"/>
      <c r="C4457" s="191"/>
      <c r="D4457" s="191"/>
      <c r="F4457"/>
      <c r="G4457"/>
      <c r="H4457" s="36"/>
      <c r="I4457" s="125"/>
      <c r="S4457" s="4"/>
      <c r="T4457" s="124"/>
      <c r="U4457" s="22"/>
      <c r="V4457" s="22"/>
      <c r="W4457" s="78"/>
      <c r="X4457" s="78"/>
      <c r="AF4457"/>
      <c r="AG4457"/>
      <c r="AH4457"/>
      <c r="AI4457"/>
      <c r="AJ4457"/>
      <c r="AK4457"/>
    </row>
    <row r="4458" spans="1:37" ht="13.05" customHeight="1" x14ac:dyDescent="0.25">
      <c r="A4458"/>
      <c r="C4458" s="191"/>
      <c r="D4458" s="191"/>
      <c r="F4458"/>
      <c r="G4458"/>
      <c r="H4458" s="36"/>
      <c r="I4458" s="125"/>
      <c r="S4458" s="4"/>
      <c r="T4458" s="124"/>
      <c r="U4458" s="22"/>
      <c r="V4458" s="22"/>
      <c r="W4458" s="78"/>
      <c r="X4458" s="78"/>
      <c r="AF4458"/>
      <c r="AG4458"/>
      <c r="AH4458"/>
      <c r="AI4458"/>
      <c r="AJ4458"/>
      <c r="AK4458"/>
    </row>
    <row r="4459" spans="1:37" ht="13.05" customHeight="1" x14ac:dyDescent="0.25">
      <c r="A4459"/>
      <c r="C4459" s="191"/>
      <c r="D4459" s="191"/>
      <c r="F4459"/>
      <c r="G4459"/>
      <c r="H4459" s="36"/>
      <c r="I4459" s="125"/>
      <c r="S4459" s="4"/>
      <c r="T4459" s="124"/>
      <c r="U4459" s="22"/>
      <c r="V4459" s="22"/>
      <c r="W4459" s="78"/>
      <c r="X4459" s="78"/>
      <c r="AF4459"/>
      <c r="AG4459"/>
      <c r="AH4459"/>
      <c r="AI4459"/>
      <c r="AJ4459"/>
      <c r="AK4459"/>
    </row>
    <row r="4460" spans="1:37" ht="13.05" customHeight="1" x14ac:dyDescent="0.25">
      <c r="A4460"/>
      <c r="C4460" s="191"/>
      <c r="D4460" s="191"/>
      <c r="F4460"/>
      <c r="G4460"/>
      <c r="H4460" s="36"/>
      <c r="I4460" s="125"/>
      <c r="S4460" s="4"/>
      <c r="T4460" s="124"/>
      <c r="U4460" s="22"/>
      <c r="V4460" s="22"/>
      <c r="W4460" s="78"/>
      <c r="X4460" s="78"/>
      <c r="AF4460"/>
      <c r="AG4460"/>
      <c r="AH4460"/>
      <c r="AI4460"/>
      <c r="AJ4460"/>
      <c r="AK4460"/>
    </row>
    <row r="4461" spans="1:37" ht="13.05" customHeight="1" x14ac:dyDescent="0.25">
      <c r="A4461"/>
      <c r="C4461" s="191"/>
      <c r="D4461" s="191"/>
      <c r="F4461"/>
      <c r="G4461"/>
      <c r="H4461" s="36"/>
      <c r="I4461" s="125"/>
      <c r="S4461" s="4"/>
      <c r="T4461" s="124"/>
      <c r="U4461" s="22"/>
      <c r="V4461" s="22"/>
      <c r="W4461" s="78"/>
      <c r="X4461" s="78"/>
      <c r="AF4461"/>
      <c r="AG4461"/>
      <c r="AH4461"/>
      <c r="AI4461"/>
      <c r="AJ4461"/>
      <c r="AK4461"/>
    </row>
    <row r="4462" spans="1:37" ht="13.05" customHeight="1" x14ac:dyDescent="0.25">
      <c r="A4462"/>
      <c r="C4462" s="191"/>
      <c r="D4462" s="191"/>
      <c r="F4462"/>
      <c r="G4462"/>
      <c r="H4462" s="36"/>
      <c r="I4462" s="125"/>
      <c r="S4462" s="4"/>
      <c r="T4462" s="124"/>
      <c r="U4462" s="22"/>
      <c r="V4462" s="22"/>
      <c r="W4462" s="78"/>
      <c r="X4462" s="78"/>
      <c r="AF4462"/>
      <c r="AG4462"/>
      <c r="AH4462"/>
      <c r="AI4462"/>
      <c r="AJ4462"/>
      <c r="AK4462"/>
    </row>
    <row r="4463" spans="1:37" ht="13.05" customHeight="1" x14ac:dyDescent="0.25">
      <c r="A4463"/>
      <c r="C4463" s="191"/>
      <c r="D4463" s="191"/>
      <c r="F4463"/>
      <c r="G4463"/>
      <c r="H4463" s="36"/>
      <c r="I4463" s="125"/>
      <c r="S4463" s="4"/>
      <c r="T4463" s="124"/>
      <c r="U4463" s="22"/>
      <c r="V4463" s="22"/>
      <c r="W4463" s="78"/>
      <c r="X4463" s="78"/>
      <c r="AF4463"/>
      <c r="AG4463"/>
      <c r="AH4463"/>
      <c r="AI4463"/>
      <c r="AJ4463"/>
      <c r="AK4463"/>
    </row>
    <row r="4464" spans="1:37" ht="13.05" customHeight="1" x14ac:dyDescent="0.25">
      <c r="A4464"/>
      <c r="C4464" s="191"/>
      <c r="D4464" s="191"/>
      <c r="F4464"/>
      <c r="G4464"/>
      <c r="H4464" s="36"/>
      <c r="I4464" s="125"/>
      <c r="S4464" s="4"/>
      <c r="T4464" s="124"/>
      <c r="U4464" s="22"/>
      <c r="V4464" s="22"/>
      <c r="W4464" s="78"/>
      <c r="X4464" s="78"/>
      <c r="AF4464"/>
      <c r="AG4464"/>
      <c r="AH4464"/>
      <c r="AI4464"/>
      <c r="AJ4464"/>
      <c r="AK4464"/>
    </row>
    <row r="4465" spans="1:37" ht="13.05" customHeight="1" x14ac:dyDescent="0.25">
      <c r="A4465"/>
      <c r="C4465" s="191"/>
      <c r="D4465" s="191"/>
      <c r="F4465"/>
      <c r="G4465"/>
      <c r="H4465" s="36"/>
      <c r="I4465" s="125"/>
      <c r="S4465" s="4"/>
      <c r="T4465" s="124"/>
      <c r="U4465" s="22"/>
      <c r="V4465" s="22"/>
      <c r="W4465" s="78"/>
      <c r="X4465" s="78"/>
      <c r="AF4465"/>
      <c r="AG4465"/>
      <c r="AH4465"/>
      <c r="AI4465"/>
      <c r="AJ4465"/>
      <c r="AK4465"/>
    </row>
    <row r="4466" spans="1:37" ht="13.05" customHeight="1" x14ac:dyDescent="0.25">
      <c r="A4466"/>
      <c r="C4466" s="191"/>
      <c r="D4466" s="191"/>
      <c r="F4466"/>
      <c r="G4466"/>
      <c r="H4466" s="36"/>
      <c r="I4466" s="125"/>
      <c r="S4466" s="4"/>
      <c r="T4466" s="124"/>
      <c r="U4466" s="22"/>
      <c r="V4466" s="22"/>
      <c r="W4466" s="78"/>
      <c r="X4466" s="78"/>
      <c r="AF4466"/>
      <c r="AG4466"/>
      <c r="AH4466"/>
      <c r="AI4466"/>
      <c r="AJ4466"/>
      <c r="AK4466"/>
    </row>
    <row r="4467" spans="1:37" ht="13.05" customHeight="1" x14ac:dyDescent="0.25">
      <c r="A4467"/>
      <c r="C4467" s="191"/>
      <c r="D4467" s="191"/>
      <c r="F4467"/>
      <c r="G4467"/>
      <c r="H4467" s="36"/>
      <c r="I4467" s="125"/>
      <c r="S4467" s="4"/>
      <c r="T4467" s="124"/>
      <c r="U4467" s="22"/>
      <c r="V4467" s="22"/>
      <c r="W4467" s="78"/>
      <c r="X4467" s="78"/>
      <c r="AF4467"/>
      <c r="AG4467"/>
      <c r="AH4467"/>
      <c r="AI4467"/>
      <c r="AJ4467"/>
      <c r="AK4467"/>
    </row>
    <row r="4468" spans="1:37" ht="13.05" customHeight="1" x14ac:dyDescent="0.25">
      <c r="A4468"/>
      <c r="C4468" s="191"/>
      <c r="D4468" s="191"/>
      <c r="F4468"/>
      <c r="G4468"/>
      <c r="H4468" s="36"/>
      <c r="I4468" s="125"/>
      <c r="S4468" s="4"/>
      <c r="T4468" s="124"/>
      <c r="U4468" s="22"/>
      <c r="V4468" s="22"/>
      <c r="W4468" s="78"/>
      <c r="X4468" s="78"/>
      <c r="AF4468"/>
      <c r="AG4468"/>
      <c r="AH4468"/>
      <c r="AI4468"/>
      <c r="AJ4468"/>
      <c r="AK4468"/>
    </row>
    <row r="4469" spans="1:37" ht="13.05" customHeight="1" x14ac:dyDescent="0.25">
      <c r="A4469"/>
      <c r="C4469" s="191"/>
      <c r="D4469" s="191"/>
      <c r="F4469"/>
      <c r="G4469"/>
      <c r="H4469" s="36"/>
      <c r="I4469" s="125"/>
      <c r="S4469" s="4"/>
      <c r="T4469" s="124"/>
      <c r="U4469" s="22"/>
      <c r="V4469" s="22"/>
      <c r="W4469" s="78"/>
      <c r="X4469" s="78"/>
      <c r="AF4469"/>
      <c r="AG4469"/>
      <c r="AH4469"/>
      <c r="AI4469"/>
      <c r="AJ4469"/>
      <c r="AK4469"/>
    </row>
    <row r="4470" spans="1:37" ht="13.05" customHeight="1" x14ac:dyDescent="0.25">
      <c r="A4470"/>
      <c r="C4470" s="191"/>
      <c r="D4470" s="191"/>
      <c r="F4470"/>
      <c r="G4470"/>
      <c r="H4470" s="36"/>
      <c r="I4470" s="125"/>
      <c r="S4470" s="4"/>
      <c r="T4470" s="124"/>
      <c r="U4470" s="22"/>
      <c r="V4470" s="22"/>
      <c r="W4470" s="78"/>
      <c r="X4470" s="78"/>
      <c r="AF4470"/>
      <c r="AG4470"/>
      <c r="AH4470"/>
      <c r="AI4470"/>
      <c r="AJ4470"/>
      <c r="AK4470"/>
    </row>
    <row r="4471" spans="1:37" ht="13.05" customHeight="1" x14ac:dyDescent="0.25">
      <c r="A4471"/>
      <c r="C4471" s="191"/>
      <c r="D4471" s="191"/>
      <c r="F4471"/>
      <c r="G4471"/>
      <c r="H4471" s="36"/>
      <c r="I4471" s="125"/>
      <c r="S4471" s="4"/>
      <c r="T4471" s="124"/>
      <c r="U4471" s="22"/>
      <c r="V4471" s="22"/>
      <c r="W4471" s="78"/>
      <c r="X4471" s="78"/>
      <c r="AF4471"/>
      <c r="AG4471"/>
      <c r="AH4471"/>
      <c r="AI4471"/>
      <c r="AJ4471"/>
      <c r="AK4471"/>
    </row>
    <row r="4472" spans="1:37" ht="13.05" customHeight="1" x14ac:dyDescent="0.25">
      <c r="A4472"/>
      <c r="C4472" s="191"/>
      <c r="D4472" s="191"/>
      <c r="F4472"/>
      <c r="G4472"/>
      <c r="H4472" s="36"/>
      <c r="I4472" s="125"/>
      <c r="S4472" s="4"/>
      <c r="T4472" s="124"/>
      <c r="U4472" s="22"/>
      <c r="V4472" s="22"/>
      <c r="W4472" s="78"/>
      <c r="X4472" s="78"/>
      <c r="AF4472"/>
      <c r="AG4472"/>
      <c r="AH4472"/>
      <c r="AI4472"/>
      <c r="AJ4472"/>
      <c r="AK4472"/>
    </row>
    <row r="4473" spans="1:37" ht="13.05" customHeight="1" x14ac:dyDescent="0.25">
      <c r="A4473"/>
      <c r="C4473" s="191"/>
      <c r="D4473" s="191"/>
      <c r="F4473"/>
      <c r="G4473"/>
      <c r="H4473" s="36"/>
      <c r="I4473" s="125"/>
      <c r="S4473" s="4"/>
      <c r="T4473" s="124"/>
      <c r="U4473" s="22"/>
      <c r="V4473" s="22"/>
      <c r="W4473" s="78"/>
      <c r="X4473" s="78"/>
      <c r="AF4473"/>
      <c r="AG4473"/>
      <c r="AH4473"/>
      <c r="AI4473"/>
      <c r="AJ4473"/>
      <c r="AK4473"/>
    </row>
    <row r="4474" spans="1:37" ht="13.05" customHeight="1" x14ac:dyDescent="0.25">
      <c r="A4474"/>
      <c r="C4474" s="191"/>
      <c r="D4474" s="191"/>
      <c r="F4474"/>
      <c r="G4474"/>
      <c r="H4474" s="36"/>
      <c r="I4474" s="125"/>
      <c r="S4474" s="4"/>
      <c r="T4474" s="124"/>
      <c r="U4474" s="22"/>
      <c r="V4474" s="22"/>
      <c r="W4474" s="78"/>
      <c r="X4474" s="78"/>
      <c r="AF4474"/>
      <c r="AG4474"/>
      <c r="AH4474"/>
      <c r="AI4474"/>
      <c r="AJ4474"/>
      <c r="AK4474"/>
    </row>
    <row r="4475" spans="1:37" ht="13.05" customHeight="1" x14ac:dyDescent="0.25">
      <c r="A4475"/>
      <c r="C4475" s="191"/>
      <c r="D4475" s="191"/>
      <c r="F4475"/>
      <c r="G4475"/>
      <c r="H4475" s="36"/>
      <c r="I4475" s="125"/>
      <c r="S4475" s="4"/>
      <c r="T4475" s="124"/>
      <c r="U4475" s="22"/>
      <c r="V4475" s="22"/>
      <c r="W4475" s="78"/>
      <c r="X4475" s="78"/>
      <c r="AF4475"/>
      <c r="AG4475"/>
      <c r="AH4475"/>
      <c r="AI4475"/>
      <c r="AJ4475"/>
      <c r="AK4475"/>
    </row>
    <row r="4476" spans="1:37" ht="13.05" customHeight="1" x14ac:dyDescent="0.25">
      <c r="A4476"/>
      <c r="C4476" s="191"/>
      <c r="D4476" s="191"/>
      <c r="F4476"/>
      <c r="G4476"/>
      <c r="H4476" s="36"/>
      <c r="I4476" s="125"/>
      <c r="S4476" s="4"/>
      <c r="T4476" s="124"/>
      <c r="U4476" s="22"/>
      <c r="V4476" s="22"/>
      <c r="W4476" s="78"/>
      <c r="X4476" s="78"/>
      <c r="AF4476"/>
      <c r="AG4476"/>
      <c r="AH4476"/>
      <c r="AI4476"/>
      <c r="AJ4476"/>
      <c r="AK4476"/>
    </row>
    <row r="4477" spans="1:37" ht="13.05" customHeight="1" x14ac:dyDescent="0.25">
      <c r="A4477"/>
      <c r="C4477" s="191"/>
      <c r="D4477" s="191"/>
      <c r="F4477"/>
      <c r="G4477"/>
      <c r="H4477" s="36"/>
      <c r="I4477" s="125"/>
      <c r="S4477" s="4"/>
      <c r="T4477" s="124"/>
      <c r="U4477" s="22"/>
      <c r="V4477" s="22"/>
      <c r="W4477" s="78"/>
      <c r="X4477" s="78"/>
      <c r="AF4477"/>
      <c r="AG4477"/>
      <c r="AH4477"/>
      <c r="AI4477"/>
      <c r="AJ4477"/>
      <c r="AK4477"/>
    </row>
    <row r="4478" spans="1:37" ht="13.05" customHeight="1" x14ac:dyDescent="0.25">
      <c r="A4478"/>
      <c r="C4478" s="191"/>
      <c r="D4478" s="191"/>
      <c r="F4478"/>
      <c r="G4478"/>
      <c r="H4478" s="36"/>
      <c r="I4478" s="125"/>
      <c r="S4478" s="4"/>
      <c r="T4478" s="124"/>
      <c r="U4478" s="22"/>
      <c r="V4478" s="22"/>
      <c r="W4478" s="78"/>
      <c r="X4478" s="78"/>
      <c r="AF4478"/>
      <c r="AG4478"/>
      <c r="AH4478"/>
      <c r="AI4478"/>
      <c r="AJ4478"/>
      <c r="AK4478"/>
    </row>
    <row r="4479" spans="1:37" ht="13.05" customHeight="1" x14ac:dyDescent="0.25">
      <c r="A4479"/>
      <c r="C4479" s="191"/>
      <c r="D4479" s="191"/>
      <c r="F4479"/>
      <c r="G4479"/>
      <c r="H4479" s="36"/>
      <c r="I4479" s="125"/>
      <c r="S4479" s="4"/>
      <c r="T4479" s="124"/>
      <c r="U4479" s="22"/>
      <c r="V4479" s="22"/>
      <c r="W4479" s="78"/>
      <c r="X4479" s="78"/>
      <c r="AF4479"/>
      <c r="AG4479"/>
      <c r="AH4479"/>
      <c r="AI4479"/>
      <c r="AJ4479"/>
      <c r="AK4479"/>
    </row>
    <row r="4480" spans="1:37" ht="13.05" customHeight="1" x14ac:dyDescent="0.25">
      <c r="A4480"/>
      <c r="C4480" s="191"/>
      <c r="D4480" s="191"/>
      <c r="F4480"/>
      <c r="G4480"/>
      <c r="H4480" s="36"/>
      <c r="I4480" s="125"/>
      <c r="S4480" s="4"/>
      <c r="T4480" s="124"/>
      <c r="U4480" s="22"/>
      <c r="V4480" s="22"/>
      <c r="W4480" s="78"/>
      <c r="X4480" s="78"/>
      <c r="AF4480"/>
      <c r="AG4480"/>
      <c r="AH4480"/>
      <c r="AI4480"/>
      <c r="AJ4480"/>
      <c r="AK4480"/>
    </row>
    <row r="4481" spans="1:37" ht="13.05" customHeight="1" x14ac:dyDescent="0.25">
      <c r="A4481"/>
      <c r="C4481" s="191"/>
      <c r="D4481" s="191"/>
      <c r="F4481"/>
      <c r="G4481"/>
      <c r="H4481" s="36"/>
      <c r="I4481" s="125"/>
      <c r="S4481" s="4"/>
      <c r="T4481" s="124"/>
      <c r="U4481" s="22"/>
      <c r="V4481" s="22"/>
      <c r="W4481" s="78"/>
      <c r="X4481" s="78"/>
      <c r="AF4481"/>
      <c r="AG4481"/>
      <c r="AH4481"/>
      <c r="AI4481"/>
      <c r="AJ4481"/>
      <c r="AK4481"/>
    </row>
    <row r="4482" spans="1:37" ht="13.05" customHeight="1" x14ac:dyDescent="0.25">
      <c r="A4482"/>
      <c r="C4482" s="191"/>
      <c r="D4482" s="191"/>
      <c r="F4482"/>
      <c r="G4482"/>
      <c r="H4482" s="36"/>
      <c r="I4482" s="125"/>
      <c r="S4482" s="4"/>
      <c r="T4482" s="124"/>
      <c r="U4482" s="22"/>
      <c r="V4482" s="22"/>
      <c r="W4482" s="78"/>
      <c r="X4482" s="78"/>
      <c r="AF4482"/>
      <c r="AG4482"/>
      <c r="AH4482"/>
      <c r="AI4482"/>
      <c r="AJ4482"/>
      <c r="AK4482"/>
    </row>
    <row r="4483" spans="1:37" ht="13.05" customHeight="1" x14ac:dyDescent="0.25">
      <c r="A4483"/>
      <c r="C4483" s="191"/>
      <c r="D4483" s="191"/>
      <c r="F4483"/>
      <c r="G4483"/>
      <c r="H4483" s="36"/>
      <c r="I4483" s="125"/>
      <c r="S4483" s="4"/>
      <c r="T4483" s="124"/>
      <c r="U4483" s="22"/>
      <c r="V4483" s="22"/>
      <c r="W4483" s="78"/>
      <c r="X4483" s="78"/>
      <c r="AF4483"/>
      <c r="AG4483"/>
      <c r="AH4483"/>
      <c r="AI4483"/>
      <c r="AJ4483"/>
      <c r="AK4483"/>
    </row>
    <row r="4484" spans="1:37" ht="13.05" customHeight="1" x14ac:dyDescent="0.25">
      <c r="A4484"/>
      <c r="C4484" s="191"/>
      <c r="D4484" s="191"/>
      <c r="F4484"/>
      <c r="G4484"/>
      <c r="H4484" s="36"/>
      <c r="I4484" s="125"/>
      <c r="S4484" s="4"/>
      <c r="T4484" s="124"/>
      <c r="U4484" s="22"/>
      <c r="V4484" s="22"/>
      <c r="W4484" s="78"/>
      <c r="X4484" s="78"/>
      <c r="AF4484"/>
      <c r="AG4484"/>
      <c r="AH4484"/>
      <c r="AI4484"/>
      <c r="AJ4484"/>
      <c r="AK4484"/>
    </row>
    <row r="4485" spans="1:37" ht="13.05" customHeight="1" x14ac:dyDescent="0.25">
      <c r="A4485"/>
      <c r="C4485" s="191"/>
      <c r="D4485" s="191"/>
      <c r="F4485"/>
      <c r="G4485"/>
      <c r="H4485" s="36"/>
      <c r="I4485" s="125"/>
      <c r="S4485" s="4"/>
      <c r="T4485" s="124"/>
      <c r="U4485" s="22"/>
      <c r="V4485" s="22"/>
      <c r="W4485" s="78"/>
      <c r="X4485" s="78"/>
      <c r="AF4485"/>
      <c r="AG4485"/>
      <c r="AH4485"/>
      <c r="AI4485"/>
      <c r="AJ4485"/>
      <c r="AK4485"/>
    </row>
    <row r="4486" spans="1:37" ht="13.05" customHeight="1" x14ac:dyDescent="0.25">
      <c r="A4486"/>
      <c r="C4486" s="191"/>
      <c r="D4486" s="191"/>
      <c r="F4486"/>
      <c r="G4486"/>
      <c r="H4486" s="36"/>
      <c r="I4486" s="125"/>
      <c r="S4486" s="4"/>
      <c r="T4486" s="124"/>
      <c r="U4486" s="22"/>
      <c r="V4486" s="22"/>
      <c r="W4486" s="78"/>
      <c r="X4486" s="78"/>
      <c r="AF4486"/>
      <c r="AG4486"/>
      <c r="AH4486"/>
      <c r="AI4486"/>
      <c r="AJ4486"/>
      <c r="AK4486"/>
    </row>
    <row r="4487" spans="1:37" ht="13.05" customHeight="1" x14ac:dyDescent="0.25">
      <c r="A4487"/>
      <c r="C4487" s="191"/>
      <c r="D4487" s="191"/>
      <c r="F4487"/>
      <c r="G4487"/>
      <c r="H4487" s="36"/>
      <c r="I4487" s="125"/>
      <c r="S4487" s="4"/>
      <c r="T4487" s="124"/>
      <c r="U4487" s="22"/>
      <c r="V4487" s="22"/>
      <c r="W4487" s="78"/>
      <c r="X4487" s="78"/>
      <c r="AF4487"/>
      <c r="AG4487"/>
      <c r="AH4487"/>
      <c r="AI4487"/>
      <c r="AJ4487"/>
      <c r="AK4487"/>
    </row>
    <row r="4488" spans="1:37" ht="13.05" customHeight="1" x14ac:dyDescent="0.25">
      <c r="A4488"/>
      <c r="C4488" s="191"/>
      <c r="D4488" s="191"/>
      <c r="F4488"/>
      <c r="G4488"/>
      <c r="H4488" s="36"/>
      <c r="I4488" s="125"/>
      <c r="S4488" s="4"/>
      <c r="T4488" s="124"/>
      <c r="U4488" s="22"/>
      <c r="V4488" s="22"/>
      <c r="W4488" s="78"/>
      <c r="X4488" s="78"/>
      <c r="AF4488"/>
      <c r="AG4488"/>
      <c r="AH4488"/>
      <c r="AI4488"/>
      <c r="AJ4488"/>
      <c r="AK4488"/>
    </row>
    <row r="4489" spans="1:37" ht="13.05" customHeight="1" x14ac:dyDescent="0.25">
      <c r="A4489"/>
      <c r="C4489" s="191"/>
      <c r="D4489" s="191"/>
      <c r="F4489"/>
      <c r="G4489"/>
      <c r="H4489" s="36"/>
      <c r="I4489" s="125"/>
      <c r="S4489" s="4"/>
      <c r="T4489" s="124"/>
      <c r="U4489" s="22"/>
      <c r="V4489" s="22"/>
      <c r="W4489" s="78"/>
      <c r="X4489" s="78"/>
      <c r="AF4489"/>
      <c r="AG4489"/>
      <c r="AH4489"/>
      <c r="AI4489"/>
      <c r="AJ4489"/>
      <c r="AK4489"/>
    </row>
    <row r="4490" spans="1:37" ht="13.05" customHeight="1" x14ac:dyDescent="0.25">
      <c r="A4490"/>
      <c r="C4490" s="191"/>
      <c r="D4490" s="191"/>
      <c r="F4490"/>
      <c r="G4490"/>
      <c r="H4490" s="36"/>
      <c r="I4490" s="125"/>
      <c r="S4490" s="4"/>
      <c r="T4490" s="124"/>
      <c r="U4490" s="22"/>
      <c r="V4490" s="22"/>
      <c r="W4490" s="78"/>
      <c r="X4490" s="78"/>
      <c r="AF4490"/>
      <c r="AG4490"/>
      <c r="AH4490"/>
      <c r="AI4490"/>
      <c r="AJ4490"/>
      <c r="AK4490"/>
    </row>
    <row r="4491" spans="1:37" ht="13.05" customHeight="1" x14ac:dyDescent="0.25">
      <c r="A4491"/>
      <c r="C4491" s="191"/>
      <c r="D4491" s="191"/>
      <c r="F4491"/>
      <c r="G4491"/>
      <c r="H4491" s="36"/>
      <c r="I4491" s="125"/>
      <c r="S4491" s="4"/>
      <c r="T4491" s="124"/>
      <c r="U4491" s="22"/>
      <c r="V4491" s="22"/>
      <c r="W4491" s="78"/>
      <c r="X4491" s="78"/>
      <c r="AF4491"/>
      <c r="AG4491"/>
      <c r="AH4491"/>
      <c r="AI4491"/>
      <c r="AJ4491"/>
      <c r="AK4491"/>
    </row>
    <row r="4492" spans="1:37" ht="13.05" customHeight="1" x14ac:dyDescent="0.25">
      <c r="A4492"/>
      <c r="C4492" s="191"/>
      <c r="D4492" s="191"/>
      <c r="F4492"/>
      <c r="G4492"/>
      <c r="H4492" s="36"/>
      <c r="I4492" s="125"/>
      <c r="S4492" s="4"/>
      <c r="T4492" s="124"/>
      <c r="U4492" s="22"/>
      <c r="V4492" s="22"/>
      <c r="W4492" s="78"/>
      <c r="X4492" s="78"/>
      <c r="AF4492"/>
      <c r="AG4492"/>
      <c r="AH4492"/>
      <c r="AI4492"/>
      <c r="AJ4492"/>
      <c r="AK4492"/>
    </row>
    <row r="4493" spans="1:37" ht="13.05" customHeight="1" x14ac:dyDescent="0.25">
      <c r="A4493"/>
      <c r="C4493" s="191"/>
      <c r="D4493" s="191"/>
      <c r="F4493"/>
      <c r="G4493"/>
      <c r="H4493" s="36"/>
      <c r="I4493" s="125"/>
      <c r="S4493" s="4"/>
      <c r="T4493" s="124"/>
      <c r="U4493" s="22"/>
      <c r="V4493" s="22"/>
      <c r="W4493" s="78"/>
      <c r="X4493" s="78"/>
      <c r="AF4493"/>
      <c r="AG4493"/>
      <c r="AH4493"/>
      <c r="AI4493"/>
      <c r="AJ4493"/>
      <c r="AK4493"/>
    </row>
    <row r="4494" spans="1:37" ht="13.05" customHeight="1" x14ac:dyDescent="0.25">
      <c r="A4494"/>
      <c r="C4494" s="191"/>
      <c r="D4494" s="191"/>
      <c r="F4494"/>
      <c r="G4494"/>
      <c r="H4494" s="36"/>
      <c r="I4494" s="125"/>
      <c r="S4494" s="4"/>
      <c r="T4494" s="124"/>
      <c r="U4494" s="22"/>
      <c r="V4494" s="22"/>
      <c r="W4494" s="78"/>
      <c r="X4494" s="78"/>
      <c r="AF4494"/>
      <c r="AG4494"/>
      <c r="AH4494"/>
      <c r="AI4494"/>
      <c r="AJ4494"/>
      <c r="AK4494"/>
    </row>
    <row r="4495" spans="1:37" ht="13.05" customHeight="1" x14ac:dyDescent="0.25">
      <c r="A4495"/>
      <c r="C4495" s="191"/>
      <c r="D4495" s="191"/>
      <c r="F4495"/>
      <c r="G4495"/>
      <c r="H4495" s="36"/>
      <c r="I4495" s="125"/>
      <c r="S4495" s="4"/>
      <c r="T4495" s="124"/>
      <c r="U4495" s="22"/>
      <c r="V4495" s="22"/>
      <c r="W4495" s="78"/>
      <c r="X4495" s="78"/>
      <c r="AF4495"/>
      <c r="AG4495"/>
      <c r="AH4495"/>
      <c r="AI4495"/>
      <c r="AJ4495"/>
      <c r="AK4495"/>
    </row>
    <row r="4496" spans="1:37" ht="13.05" customHeight="1" x14ac:dyDescent="0.25">
      <c r="A4496"/>
      <c r="C4496" s="191"/>
      <c r="D4496" s="191"/>
      <c r="F4496"/>
      <c r="G4496"/>
      <c r="H4496" s="36"/>
      <c r="I4496" s="125"/>
      <c r="S4496" s="4"/>
      <c r="T4496" s="124"/>
      <c r="U4496" s="22"/>
      <c r="V4496" s="22"/>
      <c r="W4496" s="78"/>
      <c r="X4496" s="78"/>
      <c r="AF4496"/>
      <c r="AG4496"/>
      <c r="AH4496"/>
      <c r="AI4496"/>
      <c r="AJ4496"/>
      <c r="AK4496"/>
    </row>
    <row r="4497" spans="1:37" ht="13.05" customHeight="1" x14ac:dyDescent="0.25">
      <c r="A4497"/>
      <c r="C4497" s="191"/>
      <c r="D4497" s="191"/>
      <c r="F4497"/>
      <c r="G4497"/>
      <c r="H4497" s="36"/>
      <c r="I4497" s="125"/>
      <c r="S4497" s="4"/>
      <c r="T4497" s="124"/>
      <c r="U4497" s="22"/>
      <c r="V4497" s="22"/>
      <c r="W4497" s="78"/>
      <c r="X4497" s="78"/>
      <c r="AF4497"/>
      <c r="AG4497"/>
      <c r="AH4497"/>
      <c r="AI4497"/>
      <c r="AJ4497"/>
      <c r="AK4497"/>
    </row>
    <row r="4498" spans="1:37" ht="13.05" customHeight="1" x14ac:dyDescent="0.25">
      <c r="A4498"/>
      <c r="C4498" s="191"/>
      <c r="D4498" s="191"/>
      <c r="F4498"/>
      <c r="G4498"/>
      <c r="H4498" s="36"/>
      <c r="I4498" s="125"/>
      <c r="S4498" s="4"/>
      <c r="T4498" s="124"/>
      <c r="U4498" s="22"/>
      <c r="V4498" s="22"/>
      <c r="W4498" s="78"/>
      <c r="X4498" s="78"/>
      <c r="AF4498"/>
      <c r="AG4498"/>
      <c r="AH4498"/>
      <c r="AI4498"/>
      <c r="AJ4498"/>
      <c r="AK4498"/>
    </row>
    <row r="4499" spans="1:37" ht="13.05" customHeight="1" x14ac:dyDescent="0.25">
      <c r="A4499"/>
      <c r="C4499" s="191"/>
      <c r="D4499" s="191"/>
      <c r="F4499"/>
      <c r="G4499"/>
      <c r="H4499" s="36"/>
      <c r="I4499" s="125"/>
      <c r="S4499" s="4"/>
      <c r="T4499" s="124"/>
      <c r="U4499" s="22"/>
      <c r="V4499" s="22"/>
      <c r="W4499" s="78"/>
      <c r="X4499" s="78"/>
      <c r="AF4499"/>
      <c r="AG4499"/>
      <c r="AH4499"/>
      <c r="AI4499"/>
      <c r="AJ4499"/>
      <c r="AK4499"/>
    </row>
    <row r="4500" spans="1:37" ht="13.05" customHeight="1" x14ac:dyDescent="0.25">
      <c r="A4500"/>
      <c r="C4500" s="191"/>
      <c r="D4500" s="191"/>
      <c r="F4500"/>
      <c r="G4500"/>
      <c r="H4500" s="36"/>
      <c r="I4500" s="125"/>
      <c r="S4500" s="4"/>
      <c r="T4500" s="124"/>
      <c r="U4500" s="22"/>
      <c r="V4500" s="22"/>
      <c r="W4500" s="78"/>
      <c r="X4500" s="78"/>
      <c r="AF4500"/>
      <c r="AG4500"/>
      <c r="AH4500"/>
      <c r="AI4500"/>
      <c r="AJ4500"/>
      <c r="AK4500"/>
    </row>
    <row r="4501" spans="1:37" ht="13.05" customHeight="1" x14ac:dyDescent="0.25">
      <c r="A4501"/>
      <c r="C4501" s="191"/>
      <c r="D4501" s="191"/>
      <c r="F4501"/>
      <c r="G4501"/>
      <c r="H4501" s="36"/>
      <c r="I4501" s="125"/>
      <c r="S4501" s="4"/>
      <c r="T4501" s="124"/>
      <c r="U4501" s="22"/>
      <c r="V4501" s="22"/>
      <c r="W4501" s="78"/>
      <c r="X4501" s="78"/>
      <c r="AF4501"/>
      <c r="AG4501"/>
      <c r="AH4501"/>
      <c r="AI4501"/>
      <c r="AJ4501"/>
      <c r="AK4501"/>
    </row>
    <row r="4502" spans="1:37" ht="13.05" customHeight="1" x14ac:dyDescent="0.25">
      <c r="A4502"/>
      <c r="C4502" s="191"/>
      <c r="D4502" s="191"/>
      <c r="F4502"/>
      <c r="G4502"/>
      <c r="H4502" s="36"/>
      <c r="I4502" s="125"/>
      <c r="S4502" s="4"/>
      <c r="T4502" s="124"/>
      <c r="U4502" s="22"/>
      <c r="V4502" s="22"/>
      <c r="W4502" s="78"/>
      <c r="X4502" s="78"/>
      <c r="AF4502"/>
      <c r="AG4502"/>
      <c r="AH4502"/>
      <c r="AI4502"/>
      <c r="AJ4502"/>
      <c r="AK4502"/>
    </row>
    <row r="4503" spans="1:37" ht="13.05" customHeight="1" x14ac:dyDescent="0.25">
      <c r="A4503"/>
      <c r="C4503" s="191"/>
      <c r="D4503" s="191"/>
      <c r="F4503"/>
      <c r="G4503"/>
      <c r="H4503" s="36"/>
      <c r="I4503" s="125"/>
      <c r="S4503" s="4"/>
      <c r="T4503" s="124"/>
      <c r="U4503" s="22"/>
      <c r="V4503" s="22"/>
      <c r="W4503" s="78"/>
      <c r="X4503" s="78"/>
      <c r="AF4503"/>
      <c r="AG4503"/>
      <c r="AH4503"/>
      <c r="AI4503"/>
      <c r="AJ4503"/>
      <c r="AK4503"/>
    </row>
    <row r="4504" spans="1:37" ht="13.05" customHeight="1" x14ac:dyDescent="0.25">
      <c r="A4504"/>
      <c r="C4504" s="191"/>
      <c r="D4504" s="191"/>
      <c r="F4504"/>
      <c r="G4504"/>
      <c r="H4504" s="36"/>
      <c r="I4504" s="125"/>
      <c r="S4504" s="4"/>
      <c r="T4504" s="124"/>
      <c r="U4504" s="22"/>
      <c r="V4504" s="22"/>
      <c r="W4504" s="78"/>
      <c r="X4504" s="78"/>
      <c r="AF4504"/>
      <c r="AG4504"/>
      <c r="AH4504"/>
      <c r="AI4504"/>
      <c r="AJ4504"/>
      <c r="AK4504"/>
    </row>
    <row r="4505" spans="1:37" ht="13.05" customHeight="1" x14ac:dyDescent="0.25">
      <c r="A4505"/>
      <c r="C4505" s="191"/>
      <c r="D4505" s="191"/>
      <c r="F4505"/>
      <c r="G4505"/>
      <c r="H4505" s="36"/>
      <c r="I4505" s="125"/>
      <c r="S4505" s="4"/>
      <c r="T4505" s="124"/>
      <c r="U4505" s="22"/>
      <c r="V4505" s="22"/>
      <c r="W4505" s="78"/>
      <c r="X4505" s="78"/>
      <c r="AF4505"/>
      <c r="AG4505"/>
      <c r="AH4505"/>
      <c r="AI4505"/>
      <c r="AJ4505"/>
      <c r="AK4505"/>
    </row>
    <row r="4506" spans="1:37" ht="13.05" customHeight="1" x14ac:dyDescent="0.25">
      <c r="A4506"/>
      <c r="C4506" s="191"/>
      <c r="D4506" s="191"/>
      <c r="F4506"/>
      <c r="G4506"/>
      <c r="H4506" s="36"/>
      <c r="I4506" s="125"/>
      <c r="S4506" s="4"/>
      <c r="T4506" s="124"/>
      <c r="U4506" s="22"/>
      <c r="V4506" s="22"/>
      <c r="W4506" s="78"/>
      <c r="X4506" s="78"/>
      <c r="AF4506"/>
      <c r="AG4506"/>
      <c r="AH4506"/>
      <c r="AI4506"/>
      <c r="AJ4506"/>
      <c r="AK4506"/>
    </row>
    <row r="4507" spans="1:37" ht="13.05" customHeight="1" x14ac:dyDescent="0.25">
      <c r="A4507"/>
      <c r="C4507" s="191"/>
      <c r="D4507" s="191"/>
      <c r="F4507"/>
      <c r="G4507"/>
      <c r="H4507" s="36"/>
      <c r="I4507" s="125"/>
      <c r="S4507" s="4"/>
      <c r="T4507" s="124"/>
      <c r="U4507" s="22"/>
      <c r="V4507" s="22"/>
      <c r="W4507" s="78"/>
      <c r="X4507" s="78"/>
      <c r="AF4507"/>
      <c r="AG4507"/>
      <c r="AH4507"/>
      <c r="AI4507"/>
      <c r="AJ4507"/>
      <c r="AK4507"/>
    </row>
    <row r="4508" spans="1:37" ht="13.05" customHeight="1" x14ac:dyDescent="0.25">
      <c r="A4508"/>
      <c r="C4508" s="191"/>
      <c r="D4508" s="191"/>
      <c r="F4508"/>
      <c r="G4508"/>
      <c r="H4508" s="36"/>
      <c r="I4508" s="125"/>
      <c r="S4508" s="4"/>
      <c r="T4508" s="124"/>
      <c r="U4508" s="22"/>
      <c r="V4508" s="22"/>
      <c r="W4508" s="78"/>
      <c r="X4508" s="78"/>
      <c r="AF4508"/>
      <c r="AG4508"/>
      <c r="AH4508"/>
      <c r="AI4508"/>
      <c r="AJ4508"/>
      <c r="AK4508"/>
    </row>
    <row r="4509" spans="1:37" ht="13.05" customHeight="1" x14ac:dyDescent="0.25">
      <c r="A4509"/>
      <c r="C4509" s="191"/>
      <c r="D4509" s="191"/>
      <c r="F4509"/>
      <c r="G4509"/>
      <c r="H4509" s="36"/>
      <c r="I4509" s="125"/>
      <c r="S4509" s="4"/>
      <c r="T4509" s="124"/>
      <c r="U4509" s="22"/>
      <c r="V4509" s="22"/>
      <c r="W4509" s="78"/>
      <c r="X4509" s="78"/>
      <c r="AF4509"/>
      <c r="AG4509"/>
      <c r="AH4509"/>
      <c r="AI4509"/>
      <c r="AJ4509"/>
      <c r="AK4509"/>
    </row>
    <row r="4510" spans="1:37" ht="13.05" customHeight="1" x14ac:dyDescent="0.25">
      <c r="A4510"/>
      <c r="C4510" s="191"/>
      <c r="D4510" s="191"/>
      <c r="F4510"/>
      <c r="G4510"/>
      <c r="H4510" s="36"/>
      <c r="I4510" s="125"/>
      <c r="S4510" s="4"/>
      <c r="T4510" s="124"/>
      <c r="U4510" s="22"/>
      <c r="V4510" s="22"/>
      <c r="W4510" s="78"/>
      <c r="X4510" s="78"/>
      <c r="AF4510"/>
      <c r="AG4510"/>
      <c r="AH4510"/>
      <c r="AI4510"/>
      <c r="AJ4510"/>
      <c r="AK4510"/>
    </row>
    <row r="4511" spans="1:37" ht="13.05" customHeight="1" x14ac:dyDescent="0.25">
      <c r="A4511"/>
      <c r="C4511" s="191"/>
      <c r="D4511" s="191"/>
      <c r="F4511"/>
      <c r="G4511"/>
      <c r="H4511" s="36"/>
      <c r="I4511" s="125"/>
      <c r="S4511" s="4"/>
      <c r="T4511" s="124"/>
      <c r="U4511" s="22"/>
      <c r="V4511" s="22"/>
      <c r="W4511" s="78"/>
      <c r="X4511" s="78"/>
      <c r="AF4511"/>
      <c r="AG4511"/>
      <c r="AH4511"/>
      <c r="AI4511"/>
      <c r="AJ4511"/>
      <c r="AK4511"/>
    </row>
    <row r="4512" spans="1:37" ht="13.05" customHeight="1" x14ac:dyDescent="0.25">
      <c r="A4512"/>
      <c r="C4512" s="191"/>
      <c r="D4512" s="191"/>
      <c r="F4512"/>
      <c r="G4512"/>
      <c r="H4512" s="36"/>
      <c r="I4512" s="125"/>
      <c r="S4512" s="4"/>
      <c r="T4512" s="124"/>
      <c r="U4512" s="22"/>
      <c r="V4512" s="22"/>
      <c r="W4512" s="78"/>
      <c r="X4512" s="78"/>
      <c r="AF4512"/>
      <c r="AG4512"/>
      <c r="AH4512"/>
      <c r="AI4512"/>
      <c r="AJ4512"/>
      <c r="AK4512"/>
    </row>
    <row r="4513" spans="1:37" ht="13.05" customHeight="1" x14ac:dyDescent="0.25">
      <c r="A4513"/>
      <c r="C4513" s="191"/>
      <c r="D4513" s="191"/>
      <c r="F4513"/>
      <c r="G4513"/>
      <c r="H4513" s="36"/>
      <c r="I4513" s="125"/>
      <c r="S4513" s="4"/>
      <c r="T4513" s="124"/>
      <c r="U4513" s="22"/>
      <c r="V4513" s="22"/>
      <c r="W4513" s="78"/>
      <c r="X4513" s="78"/>
      <c r="AF4513"/>
      <c r="AG4513"/>
      <c r="AH4513"/>
      <c r="AI4513"/>
      <c r="AJ4513"/>
      <c r="AK4513"/>
    </row>
    <row r="4514" spans="1:37" ht="13.05" customHeight="1" x14ac:dyDescent="0.25">
      <c r="A4514"/>
      <c r="C4514" s="191"/>
      <c r="D4514" s="191"/>
      <c r="F4514"/>
      <c r="G4514"/>
      <c r="H4514" s="36"/>
      <c r="I4514" s="125"/>
      <c r="S4514" s="4"/>
      <c r="T4514" s="124"/>
      <c r="U4514" s="22"/>
      <c r="V4514" s="22"/>
      <c r="W4514" s="78"/>
      <c r="X4514" s="78"/>
      <c r="AF4514"/>
      <c r="AG4514"/>
      <c r="AH4514"/>
      <c r="AI4514"/>
      <c r="AJ4514"/>
      <c r="AK4514"/>
    </row>
    <row r="4515" spans="1:37" ht="13.05" customHeight="1" x14ac:dyDescent="0.25">
      <c r="A4515"/>
      <c r="C4515" s="191"/>
      <c r="D4515" s="191"/>
      <c r="F4515"/>
      <c r="G4515"/>
      <c r="H4515" s="36"/>
      <c r="I4515" s="125"/>
      <c r="S4515" s="4"/>
      <c r="T4515" s="124"/>
      <c r="U4515" s="22"/>
      <c r="V4515" s="22"/>
      <c r="W4515" s="78"/>
      <c r="X4515" s="78"/>
      <c r="AF4515"/>
      <c r="AG4515"/>
      <c r="AH4515"/>
      <c r="AI4515"/>
      <c r="AJ4515"/>
      <c r="AK4515"/>
    </row>
    <row r="4516" spans="1:37" ht="13.05" customHeight="1" x14ac:dyDescent="0.25">
      <c r="A4516"/>
      <c r="C4516" s="191"/>
      <c r="D4516" s="191"/>
      <c r="F4516"/>
      <c r="G4516"/>
      <c r="H4516" s="36"/>
      <c r="I4516" s="125"/>
      <c r="S4516" s="4"/>
      <c r="T4516" s="124"/>
      <c r="U4516" s="22"/>
      <c r="V4516" s="22"/>
      <c r="W4516" s="78"/>
      <c r="X4516" s="78"/>
      <c r="AF4516"/>
      <c r="AG4516"/>
      <c r="AH4516"/>
      <c r="AI4516"/>
      <c r="AJ4516"/>
      <c r="AK4516"/>
    </row>
    <row r="4517" spans="1:37" ht="13.05" customHeight="1" x14ac:dyDescent="0.25">
      <c r="A4517"/>
      <c r="C4517" s="191"/>
      <c r="D4517" s="191"/>
      <c r="F4517"/>
      <c r="G4517"/>
      <c r="H4517" s="36"/>
      <c r="I4517" s="125"/>
      <c r="S4517" s="4"/>
      <c r="T4517" s="124"/>
      <c r="U4517" s="22"/>
      <c r="V4517" s="22"/>
      <c r="W4517" s="78"/>
      <c r="X4517" s="78"/>
      <c r="AF4517"/>
      <c r="AG4517"/>
      <c r="AH4517"/>
      <c r="AI4517"/>
      <c r="AJ4517"/>
      <c r="AK4517"/>
    </row>
    <row r="4518" spans="1:37" ht="13.05" customHeight="1" x14ac:dyDescent="0.25">
      <c r="A4518"/>
      <c r="C4518" s="191"/>
      <c r="D4518" s="191"/>
      <c r="F4518"/>
      <c r="G4518"/>
      <c r="H4518" s="36"/>
      <c r="I4518" s="125"/>
      <c r="S4518" s="4"/>
      <c r="T4518" s="124"/>
      <c r="U4518" s="22"/>
      <c r="V4518" s="22"/>
      <c r="W4518" s="78"/>
      <c r="X4518" s="78"/>
      <c r="AF4518"/>
      <c r="AG4518"/>
      <c r="AH4518"/>
      <c r="AI4518"/>
      <c r="AJ4518"/>
      <c r="AK4518"/>
    </row>
    <row r="4519" spans="1:37" ht="13.05" customHeight="1" x14ac:dyDescent="0.25">
      <c r="A4519"/>
      <c r="C4519" s="191"/>
      <c r="D4519" s="191"/>
      <c r="F4519"/>
      <c r="G4519"/>
      <c r="H4519" s="36"/>
      <c r="I4519" s="125"/>
      <c r="S4519" s="4"/>
      <c r="T4519" s="124"/>
      <c r="U4519" s="22"/>
      <c r="V4519" s="22"/>
      <c r="W4519" s="78"/>
      <c r="X4519" s="78"/>
      <c r="AF4519"/>
      <c r="AG4519"/>
      <c r="AH4519"/>
      <c r="AI4519"/>
      <c r="AJ4519"/>
      <c r="AK4519"/>
    </row>
    <row r="4520" spans="1:37" ht="13.05" customHeight="1" x14ac:dyDescent="0.25">
      <c r="A4520"/>
      <c r="C4520" s="191"/>
      <c r="D4520" s="191"/>
      <c r="F4520"/>
      <c r="G4520"/>
      <c r="H4520" s="36"/>
      <c r="I4520" s="125"/>
      <c r="S4520" s="4"/>
      <c r="T4520" s="124"/>
      <c r="U4520" s="22"/>
      <c r="V4520" s="22"/>
      <c r="W4520" s="78"/>
      <c r="X4520" s="78"/>
      <c r="AF4520"/>
      <c r="AG4520"/>
      <c r="AH4520"/>
      <c r="AI4520"/>
      <c r="AJ4520"/>
      <c r="AK4520"/>
    </row>
    <row r="4521" spans="1:37" ht="13.05" customHeight="1" x14ac:dyDescent="0.25">
      <c r="A4521"/>
      <c r="C4521" s="191"/>
      <c r="D4521" s="191"/>
      <c r="F4521"/>
      <c r="G4521"/>
      <c r="H4521" s="36"/>
      <c r="I4521" s="125"/>
      <c r="S4521" s="4"/>
      <c r="T4521" s="124"/>
      <c r="U4521" s="22"/>
      <c r="V4521" s="22"/>
      <c r="W4521" s="78"/>
      <c r="X4521" s="78"/>
      <c r="AF4521"/>
      <c r="AG4521"/>
      <c r="AH4521"/>
      <c r="AI4521"/>
      <c r="AJ4521"/>
      <c r="AK4521"/>
    </row>
    <row r="4522" spans="1:37" ht="13.05" customHeight="1" x14ac:dyDescent="0.25">
      <c r="A4522"/>
      <c r="C4522" s="191"/>
      <c r="D4522" s="191"/>
      <c r="F4522"/>
      <c r="G4522"/>
      <c r="H4522" s="36"/>
      <c r="I4522" s="125"/>
      <c r="S4522" s="4"/>
      <c r="T4522" s="124"/>
      <c r="U4522" s="22"/>
      <c r="V4522" s="22"/>
      <c r="W4522" s="78"/>
      <c r="X4522" s="78"/>
      <c r="AF4522"/>
      <c r="AG4522"/>
      <c r="AH4522"/>
      <c r="AI4522"/>
      <c r="AJ4522"/>
      <c r="AK4522"/>
    </row>
    <row r="4523" spans="1:37" ht="13.05" customHeight="1" x14ac:dyDescent="0.25">
      <c r="A4523"/>
      <c r="C4523" s="191"/>
      <c r="D4523" s="191"/>
      <c r="F4523"/>
      <c r="G4523"/>
      <c r="H4523" s="36"/>
      <c r="I4523" s="125"/>
      <c r="S4523" s="4"/>
      <c r="T4523" s="124"/>
      <c r="U4523" s="22"/>
      <c r="V4523" s="22"/>
      <c r="W4523" s="78"/>
      <c r="X4523" s="78"/>
      <c r="AF4523"/>
      <c r="AG4523"/>
      <c r="AH4523"/>
      <c r="AI4523"/>
      <c r="AJ4523"/>
      <c r="AK4523"/>
    </row>
    <row r="4524" spans="1:37" ht="13.05" customHeight="1" x14ac:dyDescent="0.25">
      <c r="A4524"/>
      <c r="C4524" s="191"/>
      <c r="D4524" s="191"/>
      <c r="F4524"/>
      <c r="G4524"/>
      <c r="H4524" s="36"/>
      <c r="I4524" s="125"/>
      <c r="S4524" s="4"/>
      <c r="T4524" s="124"/>
      <c r="U4524" s="22"/>
      <c r="V4524" s="22"/>
      <c r="W4524" s="78"/>
      <c r="X4524" s="78"/>
      <c r="AF4524"/>
      <c r="AG4524"/>
      <c r="AH4524"/>
      <c r="AI4524"/>
      <c r="AJ4524"/>
      <c r="AK4524"/>
    </row>
    <row r="4525" spans="1:37" ht="13.05" customHeight="1" x14ac:dyDescent="0.25">
      <c r="A4525"/>
      <c r="C4525" s="191"/>
      <c r="D4525" s="191"/>
      <c r="F4525"/>
      <c r="G4525"/>
      <c r="H4525" s="36"/>
      <c r="I4525" s="125"/>
      <c r="S4525" s="4"/>
      <c r="T4525" s="124"/>
      <c r="U4525" s="22"/>
      <c r="V4525" s="22"/>
      <c r="W4525" s="78"/>
      <c r="X4525" s="78"/>
      <c r="AF4525"/>
      <c r="AG4525"/>
      <c r="AH4525"/>
      <c r="AI4525"/>
      <c r="AJ4525"/>
      <c r="AK4525"/>
    </row>
    <row r="4526" spans="1:37" ht="13.05" customHeight="1" x14ac:dyDescent="0.25">
      <c r="A4526"/>
      <c r="C4526" s="191"/>
      <c r="D4526" s="191"/>
      <c r="F4526"/>
      <c r="G4526"/>
      <c r="H4526" s="36"/>
      <c r="I4526" s="125"/>
      <c r="S4526" s="4"/>
      <c r="T4526" s="124"/>
      <c r="U4526" s="22"/>
      <c r="V4526" s="22"/>
      <c r="W4526" s="78"/>
      <c r="X4526" s="78"/>
      <c r="AF4526"/>
      <c r="AG4526"/>
      <c r="AH4526"/>
      <c r="AI4526"/>
      <c r="AJ4526"/>
      <c r="AK4526"/>
    </row>
    <row r="4527" spans="1:37" ht="13.05" customHeight="1" x14ac:dyDescent="0.25">
      <c r="A4527"/>
      <c r="C4527" s="191"/>
      <c r="D4527" s="191"/>
      <c r="F4527"/>
      <c r="G4527"/>
      <c r="H4527" s="36"/>
      <c r="I4527" s="125"/>
      <c r="S4527" s="4"/>
      <c r="T4527" s="124"/>
      <c r="U4527" s="22"/>
      <c r="V4527" s="22"/>
      <c r="W4527" s="78"/>
      <c r="X4527" s="78"/>
      <c r="AF4527"/>
      <c r="AG4527"/>
      <c r="AH4527"/>
      <c r="AI4527"/>
      <c r="AJ4527"/>
      <c r="AK4527"/>
    </row>
    <row r="4528" spans="1:37" ht="13.05" customHeight="1" x14ac:dyDescent="0.25">
      <c r="A4528"/>
      <c r="C4528" s="191"/>
      <c r="D4528" s="191"/>
      <c r="F4528"/>
      <c r="G4528"/>
      <c r="H4528" s="36"/>
      <c r="I4528" s="125"/>
      <c r="S4528" s="4"/>
      <c r="T4528" s="124"/>
      <c r="U4528" s="22"/>
      <c r="V4528" s="22"/>
      <c r="W4528" s="78"/>
      <c r="X4528" s="78"/>
      <c r="AF4528"/>
      <c r="AG4528"/>
      <c r="AH4528"/>
      <c r="AI4528"/>
      <c r="AJ4528"/>
      <c r="AK4528"/>
    </row>
    <row r="4529" spans="1:37" ht="13.05" customHeight="1" x14ac:dyDescent="0.25">
      <c r="A4529"/>
      <c r="C4529" s="191"/>
      <c r="D4529" s="191"/>
      <c r="F4529"/>
      <c r="G4529"/>
      <c r="H4529" s="36"/>
      <c r="I4529" s="125"/>
      <c r="S4529" s="4"/>
      <c r="T4529" s="124"/>
      <c r="U4529" s="22"/>
      <c r="V4529" s="22"/>
      <c r="W4529" s="78"/>
      <c r="X4529" s="78"/>
      <c r="AF4529"/>
      <c r="AG4529"/>
      <c r="AH4529"/>
      <c r="AI4529"/>
      <c r="AJ4529"/>
      <c r="AK4529"/>
    </row>
    <row r="4530" spans="1:37" ht="13.05" customHeight="1" x14ac:dyDescent="0.25">
      <c r="A4530"/>
      <c r="C4530" s="191"/>
      <c r="D4530" s="191"/>
      <c r="F4530"/>
      <c r="G4530"/>
      <c r="H4530" s="36"/>
      <c r="I4530" s="125"/>
      <c r="S4530" s="4"/>
      <c r="T4530" s="124"/>
      <c r="U4530" s="22"/>
      <c r="V4530" s="22"/>
      <c r="W4530" s="78"/>
      <c r="X4530" s="78"/>
      <c r="AF4530"/>
      <c r="AG4530"/>
      <c r="AH4530"/>
      <c r="AI4530"/>
      <c r="AJ4530"/>
      <c r="AK4530"/>
    </row>
    <row r="4531" spans="1:37" ht="13.05" customHeight="1" x14ac:dyDescent="0.25">
      <c r="A4531"/>
      <c r="C4531" s="191"/>
      <c r="D4531" s="191"/>
      <c r="F4531"/>
      <c r="G4531"/>
      <c r="H4531" s="36"/>
      <c r="I4531" s="125"/>
      <c r="S4531" s="4"/>
      <c r="T4531" s="124"/>
      <c r="U4531" s="22"/>
      <c r="V4531" s="22"/>
      <c r="W4531" s="78"/>
      <c r="X4531" s="78"/>
      <c r="AF4531"/>
      <c r="AG4531"/>
      <c r="AH4531"/>
      <c r="AI4531"/>
      <c r="AJ4531"/>
      <c r="AK4531"/>
    </row>
    <row r="4532" spans="1:37" ht="13.05" customHeight="1" x14ac:dyDescent="0.25">
      <c r="A4532"/>
      <c r="C4532" s="191"/>
      <c r="D4532" s="191"/>
      <c r="F4532"/>
      <c r="G4532"/>
      <c r="H4532" s="36"/>
      <c r="I4532" s="125"/>
      <c r="S4532" s="4"/>
      <c r="T4532" s="124"/>
      <c r="U4532" s="22"/>
      <c r="V4532" s="22"/>
      <c r="W4532" s="78"/>
      <c r="X4532" s="78"/>
      <c r="AF4532"/>
      <c r="AG4532"/>
      <c r="AH4532"/>
      <c r="AI4532"/>
      <c r="AJ4532"/>
      <c r="AK4532"/>
    </row>
    <row r="4533" spans="1:37" ht="13.05" customHeight="1" x14ac:dyDescent="0.25">
      <c r="A4533"/>
      <c r="C4533" s="191"/>
      <c r="D4533" s="191"/>
      <c r="F4533"/>
      <c r="G4533"/>
      <c r="H4533" s="36"/>
      <c r="I4533" s="125"/>
      <c r="S4533" s="4"/>
      <c r="T4533" s="124"/>
      <c r="U4533" s="22"/>
      <c r="V4533" s="22"/>
      <c r="W4533" s="78"/>
      <c r="X4533" s="78"/>
      <c r="AF4533"/>
      <c r="AG4533"/>
      <c r="AH4533"/>
      <c r="AI4533"/>
      <c r="AJ4533"/>
      <c r="AK4533"/>
    </row>
    <row r="4534" spans="1:37" ht="13.05" customHeight="1" x14ac:dyDescent="0.25">
      <c r="A4534"/>
      <c r="C4534" s="191"/>
      <c r="D4534" s="191"/>
      <c r="F4534"/>
      <c r="G4534"/>
      <c r="H4534" s="36"/>
      <c r="I4534" s="125"/>
      <c r="S4534" s="4"/>
      <c r="T4534" s="124"/>
      <c r="U4534" s="22"/>
      <c r="V4534" s="22"/>
      <c r="W4534" s="78"/>
      <c r="X4534" s="78"/>
      <c r="AF4534"/>
      <c r="AG4534"/>
      <c r="AH4534"/>
      <c r="AI4534"/>
      <c r="AJ4534"/>
      <c r="AK4534"/>
    </row>
    <row r="4535" spans="1:37" ht="13.05" customHeight="1" x14ac:dyDescent="0.25">
      <c r="A4535"/>
      <c r="C4535" s="191"/>
      <c r="D4535" s="191"/>
      <c r="F4535"/>
      <c r="G4535"/>
      <c r="H4535" s="36"/>
      <c r="I4535" s="125"/>
      <c r="S4535" s="4"/>
      <c r="T4535" s="124"/>
      <c r="U4535" s="22"/>
      <c r="V4535" s="22"/>
      <c r="W4535" s="78"/>
      <c r="X4535" s="78"/>
      <c r="AF4535"/>
      <c r="AG4535"/>
      <c r="AH4535"/>
      <c r="AI4535"/>
      <c r="AJ4535"/>
      <c r="AK4535"/>
    </row>
    <row r="4536" spans="1:37" ht="13.05" customHeight="1" x14ac:dyDescent="0.25">
      <c r="A4536"/>
      <c r="C4536" s="191"/>
      <c r="D4536" s="191"/>
      <c r="F4536"/>
      <c r="G4536"/>
      <c r="H4536" s="36"/>
      <c r="I4536" s="125"/>
      <c r="S4536" s="4"/>
      <c r="T4536" s="124"/>
      <c r="U4536" s="22"/>
      <c r="V4536" s="22"/>
      <c r="W4536" s="78"/>
      <c r="X4536" s="78"/>
      <c r="AF4536"/>
      <c r="AG4536"/>
      <c r="AH4536"/>
      <c r="AI4536"/>
      <c r="AJ4536"/>
      <c r="AK4536"/>
    </row>
    <row r="4537" spans="1:37" ht="13.05" customHeight="1" x14ac:dyDescent="0.25">
      <c r="A4537"/>
      <c r="C4537" s="191"/>
      <c r="D4537" s="191"/>
      <c r="F4537"/>
      <c r="G4537"/>
      <c r="H4537" s="36"/>
      <c r="I4537" s="125"/>
      <c r="S4537" s="4"/>
      <c r="T4537" s="124"/>
      <c r="U4537" s="22"/>
      <c r="V4537" s="22"/>
      <c r="W4537" s="78"/>
      <c r="X4537" s="78"/>
      <c r="AF4537"/>
      <c r="AG4537"/>
      <c r="AH4537"/>
      <c r="AI4537"/>
      <c r="AJ4537"/>
      <c r="AK4537"/>
    </row>
    <row r="4538" spans="1:37" ht="13.05" customHeight="1" x14ac:dyDescent="0.25">
      <c r="A4538"/>
      <c r="C4538" s="191"/>
      <c r="D4538" s="191"/>
      <c r="F4538"/>
      <c r="G4538"/>
      <c r="H4538" s="36"/>
      <c r="I4538" s="125"/>
      <c r="S4538" s="4"/>
      <c r="T4538" s="124"/>
      <c r="U4538" s="22"/>
      <c r="V4538" s="22"/>
      <c r="W4538" s="78"/>
      <c r="X4538" s="78"/>
      <c r="AF4538"/>
      <c r="AG4538"/>
      <c r="AH4538"/>
      <c r="AI4538"/>
      <c r="AJ4538"/>
      <c r="AK4538"/>
    </row>
    <row r="4539" spans="1:37" ht="13.05" customHeight="1" x14ac:dyDescent="0.25">
      <c r="A4539"/>
      <c r="C4539" s="191"/>
      <c r="D4539" s="191"/>
      <c r="F4539"/>
      <c r="G4539"/>
      <c r="H4539" s="36"/>
      <c r="I4539" s="125"/>
      <c r="S4539" s="4"/>
      <c r="T4539" s="124"/>
      <c r="U4539" s="22"/>
      <c r="V4539" s="22"/>
      <c r="W4539" s="78"/>
      <c r="X4539" s="78"/>
      <c r="AF4539"/>
      <c r="AG4539"/>
      <c r="AH4539"/>
      <c r="AI4539"/>
      <c r="AJ4539"/>
      <c r="AK4539"/>
    </row>
    <row r="4540" spans="1:37" ht="13.05" customHeight="1" x14ac:dyDescent="0.25">
      <c r="A4540"/>
      <c r="C4540" s="191"/>
      <c r="D4540" s="191"/>
      <c r="F4540"/>
      <c r="G4540"/>
      <c r="H4540" s="36"/>
      <c r="I4540" s="125"/>
      <c r="S4540" s="4"/>
      <c r="T4540" s="124"/>
      <c r="U4540" s="22"/>
      <c r="V4540" s="22"/>
      <c r="W4540" s="78"/>
      <c r="X4540" s="78"/>
      <c r="AF4540"/>
      <c r="AG4540"/>
      <c r="AH4540"/>
      <c r="AI4540"/>
      <c r="AJ4540"/>
      <c r="AK4540"/>
    </row>
    <row r="4541" spans="1:37" ht="13.05" customHeight="1" x14ac:dyDescent="0.25">
      <c r="A4541"/>
      <c r="C4541" s="191"/>
      <c r="D4541" s="191"/>
      <c r="F4541"/>
      <c r="G4541"/>
      <c r="H4541" s="36"/>
      <c r="I4541" s="125"/>
      <c r="S4541" s="4"/>
      <c r="T4541" s="124"/>
      <c r="U4541" s="22"/>
      <c r="V4541" s="22"/>
      <c r="W4541" s="78"/>
      <c r="X4541" s="78"/>
      <c r="AF4541"/>
      <c r="AG4541"/>
      <c r="AH4541"/>
      <c r="AI4541"/>
      <c r="AJ4541"/>
      <c r="AK4541"/>
    </row>
    <row r="4542" spans="1:37" ht="13.05" customHeight="1" x14ac:dyDescent="0.25">
      <c r="A4542"/>
      <c r="C4542" s="191"/>
      <c r="D4542" s="191"/>
      <c r="F4542"/>
      <c r="G4542"/>
      <c r="H4542" s="36"/>
      <c r="I4542" s="125"/>
      <c r="S4542" s="4"/>
      <c r="T4542" s="124"/>
      <c r="U4542" s="22"/>
      <c r="V4542" s="22"/>
      <c r="W4542" s="78"/>
      <c r="X4542" s="78"/>
      <c r="AF4542"/>
      <c r="AG4542"/>
      <c r="AH4542"/>
      <c r="AI4542"/>
      <c r="AJ4542"/>
      <c r="AK4542"/>
    </row>
    <row r="4543" spans="1:37" ht="13.05" customHeight="1" x14ac:dyDescent="0.25">
      <c r="A4543"/>
      <c r="C4543" s="191"/>
      <c r="D4543" s="191"/>
      <c r="F4543"/>
      <c r="G4543"/>
      <c r="H4543" s="36"/>
      <c r="I4543" s="125"/>
      <c r="S4543" s="4"/>
      <c r="T4543" s="124"/>
      <c r="U4543" s="22"/>
      <c r="V4543" s="22"/>
      <c r="W4543" s="78"/>
      <c r="X4543" s="78"/>
      <c r="AF4543"/>
      <c r="AG4543"/>
      <c r="AH4543"/>
      <c r="AI4543"/>
      <c r="AJ4543"/>
      <c r="AK4543"/>
    </row>
    <row r="4544" spans="1:37" ht="13.05" customHeight="1" x14ac:dyDescent="0.25">
      <c r="A4544"/>
      <c r="C4544" s="191"/>
      <c r="D4544" s="191"/>
      <c r="F4544"/>
      <c r="G4544"/>
      <c r="H4544" s="36"/>
      <c r="I4544" s="125"/>
      <c r="S4544" s="4"/>
      <c r="T4544" s="124"/>
      <c r="U4544" s="22"/>
      <c r="V4544" s="22"/>
      <c r="W4544" s="78"/>
      <c r="X4544" s="78"/>
      <c r="AF4544"/>
      <c r="AG4544"/>
      <c r="AH4544"/>
      <c r="AI4544"/>
      <c r="AJ4544"/>
      <c r="AK4544"/>
    </row>
    <row r="4545" spans="1:37" ht="13.05" customHeight="1" x14ac:dyDescent="0.25">
      <c r="A4545"/>
      <c r="C4545" s="191"/>
      <c r="D4545" s="191"/>
      <c r="F4545"/>
      <c r="G4545"/>
      <c r="H4545" s="36"/>
      <c r="I4545" s="125"/>
      <c r="S4545" s="4"/>
      <c r="T4545" s="124"/>
      <c r="U4545" s="22"/>
      <c r="V4545" s="22"/>
      <c r="W4545" s="78"/>
      <c r="X4545" s="78"/>
      <c r="AF4545"/>
      <c r="AG4545"/>
      <c r="AH4545"/>
      <c r="AI4545"/>
      <c r="AJ4545"/>
      <c r="AK4545"/>
    </row>
    <row r="4546" spans="1:37" ht="13.05" customHeight="1" x14ac:dyDescent="0.25">
      <c r="A4546"/>
      <c r="C4546" s="191"/>
      <c r="D4546" s="191"/>
      <c r="F4546"/>
      <c r="G4546"/>
      <c r="H4546" s="36"/>
      <c r="I4546" s="125"/>
      <c r="S4546" s="4"/>
      <c r="T4546" s="124"/>
      <c r="U4546" s="22"/>
      <c r="V4546" s="22"/>
      <c r="W4546" s="78"/>
      <c r="X4546" s="78"/>
      <c r="AF4546"/>
      <c r="AG4546"/>
      <c r="AH4546"/>
      <c r="AI4546"/>
      <c r="AJ4546"/>
      <c r="AK4546"/>
    </row>
    <row r="4547" spans="1:37" ht="13.05" customHeight="1" x14ac:dyDescent="0.25">
      <c r="A4547"/>
      <c r="C4547" s="191"/>
      <c r="D4547" s="191"/>
      <c r="F4547"/>
      <c r="G4547"/>
      <c r="H4547" s="36"/>
      <c r="I4547" s="125"/>
      <c r="S4547" s="4"/>
      <c r="T4547" s="124"/>
      <c r="U4547" s="22"/>
      <c r="V4547" s="22"/>
      <c r="W4547" s="78"/>
      <c r="X4547" s="78"/>
      <c r="AF4547"/>
      <c r="AG4547"/>
      <c r="AH4547"/>
      <c r="AI4547"/>
      <c r="AJ4547"/>
      <c r="AK4547"/>
    </row>
    <row r="4548" spans="1:37" ht="13.05" customHeight="1" x14ac:dyDescent="0.25">
      <c r="A4548"/>
      <c r="C4548" s="191"/>
      <c r="D4548" s="191"/>
      <c r="F4548"/>
      <c r="G4548"/>
      <c r="H4548" s="36"/>
      <c r="I4548" s="125"/>
      <c r="S4548" s="4"/>
      <c r="T4548" s="124"/>
      <c r="U4548" s="22"/>
      <c r="V4548" s="22"/>
      <c r="W4548" s="78"/>
      <c r="X4548" s="78"/>
      <c r="AF4548"/>
      <c r="AG4548"/>
      <c r="AH4548"/>
      <c r="AI4548"/>
      <c r="AJ4548"/>
      <c r="AK4548"/>
    </row>
    <row r="4549" spans="1:37" ht="13.05" customHeight="1" x14ac:dyDescent="0.25">
      <c r="A4549"/>
      <c r="C4549" s="191"/>
      <c r="D4549" s="191"/>
      <c r="F4549"/>
      <c r="G4549"/>
      <c r="H4549" s="36"/>
      <c r="I4549" s="125"/>
      <c r="S4549" s="4"/>
      <c r="T4549" s="124"/>
      <c r="U4549" s="22"/>
      <c r="V4549" s="22"/>
      <c r="W4549" s="78"/>
      <c r="X4549" s="78"/>
      <c r="AF4549"/>
      <c r="AG4549"/>
      <c r="AH4549"/>
      <c r="AI4549"/>
      <c r="AJ4549"/>
      <c r="AK4549"/>
    </row>
    <row r="4550" spans="1:37" ht="13.05" customHeight="1" x14ac:dyDescent="0.25">
      <c r="A4550"/>
      <c r="C4550" s="191"/>
      <c r="D4550" s="191"/>
      <c r="F4550"/>
      <c r="G4550"/>
      <c r="H4550" s="36"/>
      <c r="I4550" s="125"/>
      <c r="S4550" s="4"/>
      <c r="T4550" s="124"/>
      <c r="U4550" s="22"/>
      <c r="V4550" s="22"/>
      <c r="W4550" s="78"/>
      <c r="X4550" s="78"/>
      <c r="AF4550"/>
      <c r="AG4550"/>
      <c r="AH4550"/>
      <c r="AI4550"/>
      <c r="AJ4550"/>
      <c r="AK4550"/>
    </row>
    <row r="4551" spans="1:37" ht="13.05" customHeight="1" x14ac:dyDescent="0.25">
      <c r="A4551"/>
      <c r="C4551" s="191"/>
      <c r="D4551" s="191"/>
      <c r="F4551"/>
      <c r="G4551"/>
      <c r="H4551" s="36"/>
      <c r="I4551" s="125"/>
      <c r="S4551" s="4"/>
      <c r="T4551" s="124"/>
      <c r="U4551" s="22"/>
      <c r="V4551" s="22"/>
      <c r="W4551" s="78"/>
      <c r="X4551" s="78"/>
      <c r="AF4551"/>
      <c r="AG4551"/>
      <c r="AH4551"/>
      <c r="AI4551"/>
      <c r="AJ4551"/>
      <c r="AK4551"/>
    </row>
    <row r="4552" spans="1:37" ht="13.05" customHeight="1" x14ac:dyDescent="0.25">
      <c r="A4552"/>
      <c r="C4552" s="191"/>
      <c r="D4552" s="191"/>
      <c r="F4552"/>
      <c r="G4552"/>
      <c r="H4552" s="36"/>
      <c r="I4552" s="125"/>
      <c r="S4552" s="4"/>
      <c r="T4552" s="124"/>
      <c r="U4552" s="22"/>
      <c r="V4552" s="22"/>
      <c r="W4552" s="78"/>
      <c r="X4552" s="78"/>
      <c r="AF4552"/>
      <c r="AG4552"/>
      <c r="AH4552"/>
      <c r="AI4552"/>
      <c r="AJ4552"/>
      <c r="AK4552"/>
    </row>
    <row r="4553" spans="1:37" ht="13.05" customHeight="1" x14ac:dyDescent="0.25">
      <c r="A4553"/>
      <c r="C4553" s="191"/>
      <c r="D4553" s="191"/>
      <c r="F4553"/>
      <c r="G4553"/>
      <c r="H4553" s="36"/>
      <c r="I4553" s="125"/>
      <c r="S4553" s="4"/>
      <c r="T4553" s="124"/>
      <c r="U4553" s="22"/>
      <c r="V4553" s="22"/>
      <c r="W4553" s="78"/>
      <c r="X4553" s="78"/>
      <c r="AF4553"/>
      <c r="AG4553"/>
      <c r="AH4553"/>
      <c r="AI4553"/>
      <c r="AJ4553"/>
      <c r="AK4553"/>
    </row>
    <row r="4554" spans="1:37" ht="13.05" customHeight="1" x14ac:dyDescent="0.25">
      <c r="A4554"/>
      <c r="C4554" s="191"/>
      <c r="D4554" s="191"/>
      <c r="F4554"/>
      <c r="G4554"/>
      <c r="H4554" s="36"/>
      <c r="I4554" s="125"/>
      <c r="S4554" s="4"/>
      <c r="T4554" s="124"/>
      <c r="U4554" s="22"/>
      <c r="V4554" s="22"/>
      <c r="W4554" s="78"/>
      <c r="X4554" s="78"/>
      <c r="AF4554"/>
      <c r="AG4554"/>
      <c r="AH4554"/>
      <c r="AI4554"/>
      <c r="AJ4554"/>
      <c r="AK4554"/>
    </row>
    <row r="4555" spans="1:37" ht="13.05" customHeight="1" x14ac:dyDescent="0.25">
      <c r="A4555"/>
      <c r="C4555" s="191"/>
      <c r="D4555" s="191"/>
      <c r="F4555"/>
      <c r="G4555"/>
      <c r="H4555" s="36"/>
      <c r="I4555" s="125"/>
      <c r="S4555" s="4"/>
      <c r="T4555" s="124"/>
      <c r="U4555" s="22"/>
      <c r="V4555" s="22"/>
      <c r="W4555" s="78"/>
      <c r="X4555" s="78"/>
      <c r="AF4555"/>
      <c r="AG4555"/>
      <c r="AH4555"/>
      <c r="AI4555"/>
      <c r="AJ4555"/>
      <c r="AK4555"/>
    </row>
    <row r="4556" spans="1:37" ht="13.05" customHeight="1" x14ac:dyDescent="0.25">
      <c r="A4556"/>
      <c r="C4556" s="191"/>
      <c r="D4556" s="191"/>
      <c r="F4556"/>
      <c r="G4556"/>
      <c r="H4556" s="36"/>
      <c r="I4556" s="125"/>
      <c r="S4556" s="4"/>
      <c r="T4556" s="124"/>
      <c r="U4556" s="22"/>
      <c r="V4556" s="22"/>
      <c r="W4556" s="78"/>
      <c r="X4556" s="78"/>
      <c r="AF4556"/>
      <c r="AG4556"/>
      <c r="AH4556"/>
      <c r="AI4556"/>
      <c r="AJ4556"/>
      <c r="AK4556"/>
    </row>
    <row r="4557" spans="1:37" ht="13.05" customHeight="1" x14ac:dyDescent="0.25">
      <c r="A4557"/>
      <c r="C4557" s="191"/>
      <c r="D4557" s="191"/>
      <c r="F4557"/>
      <c r="G4557"/>
      <c r="H4557" s="36"/>
      <c r="I4557" s="125"/>
      <c r="S4557" s="4"/>
      <c r="T4557" s="124"/>
      <c r="U4557" s="22"/>
      <c r="V4557" s="22"/>
      <c r="W4557" s="78"/>
      <c r="X4557" s="78"/>
      <c r="AF4557"/>
      <c r="AG4557"/>
      <c r="AH4557"/>
      <c r="AI4557"/>
      <c r="AJ4557"/>
      <c r="AK4557"/>
    </row>
    <row r="4558" spans="1:37" ht="13.05" customHeight="1" x14ac:dyDescent="0.25">
      <c r="A4558"/>
      <c r="C4558" s="191"/>
      <c r="D4558" s="191"/>
      <c r="F4558"/>
      <c r="G4558"/>
      <c r="H4558" s="36"/>
      <c r="I4558" s="125"/>
      <c r="S4558" s="4"/>
      <c r="T4558" s="124"/>
      <c r="U4558" s="22"/>
      <c r="V4558" s="22"/>
      <c r="W4558" s="78"/>
      <c r="X4558" s="78"/>
      <c r="AF4558"/>
      <c r="AG4558"/>
      <c r="AH4558"/>
      <c r="AI4558"/>
      <c r="AJ4558"/>
      <c r="AK4558"/>
    </row>
    <row r="4559" spans="1:37" ht="13.05" customHeight="1" x14ac:dyDescent="0.25">
      <c r="A4559"/>
      <c r="C4559" s="191"/>
      <c r="D4559" s="191"/>
      <c r="F4559"/>
      <c r="G4559"/>
      <c r="H4559" s="36"/>
      <c r="I4559" s="125"/>
      <c r="S4559" s="4"/>
      <c r="T4559" s="124"/>
      <c r="U4559" s="22"/>
      <c r="V4559" s="22"/>
      <c r="W4559" s="78"/>
      <c r="X4559" s="78"/>
      <c r="AF4559"/>
      <c r="AG4559"/>
      <c r="AH4559"/>
      <c r="AI4559"/>
      <c r="AJ4559"/>
      <c r="AK4559"/>
    </row>
    <row r="4560" spans="1:37" ht="13.05" customHeight="1" x14ac:dyDescent="0.25">
      <c r="A4560"/>
      <c r="C4560" s="191"/>
      <c r="D4560" s="191"/>
      <c r="F4560"/>
      <c r="G4560"/>
      <c r="H4560" s="36"/>
      <c r="I4560" s="125"/>
      <c r="S4560" s="4"/>
      <c r="T4560" s="124"/>
      <c r="U4560" s="22"/>
      <c r="V4560" s="22"/>
      <c r="W4560" s="78"/>
      <c r="X4560" s="78"/>
      <c r="AF4560"/>
      <c r="AG4560"/>
      <c r="AH4560"/>
      <c r="AI4560"/>
      <c r="AJ4560"/>
      <c r="AK4560"/>
    </row>
    <row r="4561" spans="1:37" ht="13.05" customHeight="1" x14ac:dyDescent="0.25">
      <c r="A4561"/>
      <c r="C4561" s="191"/>
      <c r="D4561" s="191"/>
      <c r="F4561"/>
      <c r="G4561"/>
      <c r="H4561" s="36"/>
      <c r="I4561" s="125"/>
      <c r="S4561" s="4"/>
      <c r="T4561" s="124"/>
      <c r="U4561" s="22"/>
      <c r="V4561" s="22"/>
      <c r="W4561" s="78"/>
      <c r="X4561" s="78"/>
      <c r="AF4561"/>
      <c r="AG4561"/>
      <c r="AH4561"/>
      <c r="AI4561"/>
      <c r="AJ4561"/>
      <c r="AK4561"/>
    </row>
    <row r="4562" spans="1:37" ht="13.05" customHeight="1" x14ac:dyDescent="0.25">
      <c r="A4562"/>
      <c r="C4562" s="191"/>
      <c r="D4562" s="191"/>
      <c r="F4562"/>
      <c r="G4562"/>
      <c r="H4562" s="36"/>
      <c r="I4562" s="125"/>
      <c r="S4562" s="4"/>
      <c r="T4562" s="124"/>
      <c r="U4562" s="22"/>
      <c r="V4562" s="22"/>
      <c r="W4562" s="78"/>
      <c r="X4562" s="78"/>
      <c r="AF4562"/>
      <c r="AG4562"/>
      <c r="AH4562"/>
      <c r="AI4562"/>
      <c r="AJ4562"/>
      <c r="AK4562"/>
    </row>
    <row r="4563" spans="1:37" ht="13.05" customHeight="1" x14ac:dyDescent="0.25">
      <c r="A4563"/>
      <c r="C4563" s="191"/>
      <c r="D4563" s="191"/>
      <c r="F4563"/>
      <c r="G4563"/>
      <c r="H4563" s="36"/>
      <c r="I4563" s="125"/>
      <c r="S4563" s="4"/>
      <c r="T4563" s="124"/>
      <c r="U4563" s="22"/>
      <c r="V4563" s="22"/>
      <c r="W4563" s="78"/>
      <c r="X4563" s="78"/>
      <c r="AF4563"/>
      <c r="AG4563"/>
      <c r="AH4563"/>
      <c r="AI4563"/>
      <c r="AJ4563"/>
      <c r="AK4563"/>
    </row>
    <row r="4564" spans="1:37" ht="13.05" customHeight="1" x14ac:dyDescent="0.25">
      <c r="A4564"/>
      <c r="C4564" s="191"/>
      <c r="D4564" s="191"/>
      <c r="F4564"/>
      <c r="G4564"/>
      <c r="H4564" s="36"/>
      <c r="I4564" s="125"/>
      <c r="S4564" s="4"/>
      <c r="T4564" s="124"/>
      <c r="U4564" s="22"/>
      <c r="V4564" s="22"/>
      <c r="W4564" s="78"/>
      <c r="X4564" s="78"/>
      <c r="AF4564"/>
      <c r="AG4564"/>
      <c r="AH4564"/>
      <c r="AI4564"/>
      <c r="AJ4564"/>
      <c r="AK4564"/>
    </row>
    <row r="4565" spans="1:37" ht="13.05" customHeight="1" x14ac:dyDescent="0.25">
      <c r="A4565"/>
      <c r="C4565" s="191"/>
      <c r="D4565" s="191"/>
      <c r="F4565"/>
      <c r="G4565"/>
      <c r="H4565" s="36"/>
      <c r="I4565" s="125"/>
      <c r="S4565" s="4"/>
      <c r="T4565" s="124"/>
      <c r="U4565" s="22"/>
      <c r="V4565" s="22"/>
      <c r="W4565" s="78"/>
      <c r="X4565" s="78"/>
      <c r="AF4565"/>
      <c r="AG4565"/>
      <c r="AH4565"/>
      <c r="AI4565"/>
      <c r="AJ4565"/>
      <c r="AK4565"/>
    </row>
    <row r="4566" spans="1:37" ht="13.05" customHeight="1" x14ac:dyDescent="0.25">
      <c r="A4566"/>
      <c r="C4566" s="191"/>
      <c r="D4566" s="191"/>
      <c r="F4566"/>
      <c r="G4566"/>
      <c r="H4566" s="36"/>
      <c r="I4566" s="125"/>
      <c r="S4566" s="4"/>
      <c r="T4566" s="124"/>
      <c r="U4566" s="22"/>
      <c r="V4566" s="22"/>
      <c r="W4566" s="78"/>
      <c r="X4566" s="78"/>
      <c r="AF4566"/>
      <c r="AG4566"/>
      <c r="AH4566"/>
      <c r="AI4566"/>
      <c r="AJ4566"/>
      <c r="AK4566"/>
    </row>
    <row r="4567" spans="1:37" ht="13.05" customHeight="1" x14ac:dyDescent="0.25">
      <c r="A4567"/>
      <c r="C4567" s="191"/>
      <c r="D4567" s="191"/>
      <c r="F4567"/>
      <c r="G4567"/>
      <c r="H4567" s="36"/>
      <c r="I4567" s="125"/>
      <c r="S4567" s="4"/>
      <c r="T4567" s="124"/>
      <c r="U4567" s="22"/>
      <c r="V4567" s="22"/>
      <c r="W4567" s="78"/>
      <c r="X4567" s="78"/>
      <c r="AF4567"/>
      <c r="AG4567"/>
      <c r="AH4567"/>
      <c r="AI4567"/>
      <c r="AJ4567"/>
      <c r="AK4567"/>
    </row>
    <row r="4568" spans="1:37" ht="13.05" customHeight="1" x14ac:dyDescent="0.25">
      <c r="A4568"/>
      <c r="C4568" s="191"/>
      <c r="D4568" s="191"/>
      <c r="F4568"/>
      <c r="G4568"/>
      <c r="H4568" s="36"/>
      <c r="I4568" s="125"/>
      <c r="S4568" s="4"/>
      <c r="T4568" s="124"/>
      <c r="U4568" s="22"/>
      <c r="V4568" s="22"/>
      <c r="W4568" s="78"/>
      <c r="X4568" s="78"/>
      <c r="AF4568"/>
      <c r="AG4568"/>
      <c r="AH4568"/>
      <c r="AI4568"/>
      <c r="AJ4568"/>
      <c r="AK4568"/>
    </row>
    <row r="4569" spans="1:37" ht="13.05" customHeight="1" x14ac:dyDescent="0.25">
      <c r="A4569"/>
      <c r="C4569" s="191"/>
      <c r="D4569" s="191"/>
      <c r="F4569"/>
      <c r="G4569"/>
      <c r="H4569" s="36"/>
      <c r="I4569" s="125"/>
      <c r="S4569" s="4"/>
      <c r="T4569" s="124"/>
      <c r="U4569" s="22"/>
      <c r="V4569" s="22"/>
      <c r="W4569" s="78"/>
      <c r="X4569" s="78"/>
      <c r="AF4569"/>
      <c r="AG4569"/>
      <c r="AH4569"/>
      <c r="AI4569"/>
      <c r="AJ4569"/>
      <c r="AK4569"/>
    </row>
    <row r="4570" spans="1:37" ht="13.05" customHeight="1" x14ac:dyDescent="0.25">
      <c r="A4570"/>
      <c r="C4570" s="191"/>
      <c r="D4570" s="191"/>
      <c r="F4570"/>
      <c r="G4570"/>
      <c r="H4570" s="36"/>
      <c r="I4570" s="125"/>
      <c r="S4570" s="4"/>
      <c r="T4570" s="124"/>
      <c r="U4570" s="22"/>
      <c r="V4570" s="22"/>
      <c r="W4570" s="78"/>
      <c r="X4570" s="78"/>
      <c r="AF4570"/>
      <c r="AG4570"/>
      <c r="AH4570"/>
      <c r="AI4570"/>
      <c r="AJ4570"/>
      <c r="AK4570"/>
    </row>
    <row r="4571" spans="1:37" ht="13.05" customHeight="1" x14ac:dyDescent="0.25">
      <c r="A4571"/>
      <c r="C4571" s="191"/>
      <c r="D4571" s="191"/>
      <c r="F4571"/>
      <c r="G4571"/>
      <c r="H4571" s="36"/>
      <c r="I4571" s="125"/>
      <c r="S4571" s="4"/>
      <c r="T4571" s="124"/>
      <c r="U4571" s="22"/>
      <c r="V4571" s="22"/>
      <c r="W4571" s="78"/>
      <c r="X4571" s="78"/>
      <c r="AF4571"/>
      <c r="AG4571"/>
      <c r="AH4571"/>
      <c r="AI4571"/>
      <c r="AJ4571"/>
      <c r="AK4571"/>
    </row>
    <row r="4572" spans="1:37" ht="13.05" customHeight="1" x14ac:dyDescent="0.25">
      <c r="A4572"/>
      <c r="C4572" s="191"/>
      <c r="D4572" s="191"/>
      <c r="F4572"/>
      <c r="G4572"/>
      <c r="H4572" s="36"/>
      <c r="I4572" s="125"/>
      <c r="S4572" s="4"/>
      <c r="T4572" s="124"/>
      <c r="U4572" s="22"/>
      <c r="V4572" s="22"/>
      <c r="W4572" s="78"/>
      <c r="X4572" s="78"/>
      <c r="AF4572"/>
      <c r="AG4572"/>
      <c r="AH4572"/>
      <c r="AI4572"/>
      <c r="AJ4572"/>
      <c r="AK4572"/>
    </row>
    <row r="4573" spans="1:37" ht="13.05" customHeight="1" x14ac:dyDescent="0.25">
      <c r="A4573"/>
      <c r="C4573" s="191"/>
      <c r="D4573" s="191"/>
      <c r="F4573"/>
      <c r="G4573"/>
      <c r="H4573" s="36"/>
      <c r="I4573" s="125"/>
      <c r="S4573" s="4"/>
      <c r="T4573" s="124"/>
      <c r="U4573" s="22"/>
      <c r="V4573" s="22"/>
      <c r="W4573" s="78"/>
      <c r="X4573" s="78"/>
      <c r="AF4573"/>
      <c r="AG4573"/>
      <c r="AH4573"/>
      <c r="AI4573"/>
      <c r="AJ4573"/>
      <c r="AK4573"/>
    </row>
    <row r="4574" spans="1:37" ht="13.05" customHeight="1" x14ac:dyDescent="0.25">
      <c r="A4574"/>
      <c r="C4574" s="191"/>
      <c r="D4574" s="191"/>
      <c r="F4574"/>
      <c r="G4574"/>
      <c r="H4574" s="36"/>
      <c r="I4574" s="125"/>
      <c r="S4574" s="4"/>
      <c r="T4574" s="124"/>
      <c r="U4574" s="22"/>
      <c r="V4574" s="22"/>
      <c r="W4574" s="78"/>
      <c r="X4574" s="78"/>
      <c r="AF4574"/>
      <c r="AG4574"/>
      <c r="AH4574"/>
      <c r="AI4574"/>
      <c r="AJ4574"/>
      <c r="AK4574"/>
    </row>
    <row r="4575" spans="1:37" ht="13.05" customHeight="1" x14ac:dyDescent="0.25">
      <c r="A4575"/>
      <c r="C4575" s="191"/>
      <c r="D4575" s="191"/>
      <c r="F4575"/>
      <c r="G4575"/>
      <c r="H4575" s="36"/>
      <c r="I4575" s="125"/>
      <c r="S4575" s="4"/>
      <c r="T4575" s="124"/>
      <c r="U4575" s="22"/>
      <c r="V4575" s="22"/>
      <c r="W4575" s="78"/>
      <c r="X4575" s="78"/>
      <c r="AF4575"/>
      <c r="AG4575"/>
      <c r="AH4575"/>
      <c r="AI4575"/>
      <c r="AJ4575"/>
      <c r="AK4575"/>
    </row>
    <row r="4576" spans="1:37" ht="13.05" customHeight="1" x14ac:dyDescent="0.25">
      <c r="A4576"/>
      <c r="C4576" s="191"/>
      <c r="D4576" s="191"/>
      <c r="F4576"/>
      <c r="G4576"/>
      <c r="H4576" s="36"/>
      <c r="I4576" s="125"/>
      <c r="S4576" s="4"/>
      <c r="T4576" s="124"/>
      <c r="U4576" s="22"/>
      <c r="V4576" s="22"/>
      <c r="W4576" s="78"/>
      <c r="X4576" s="78"/>
      <c r="AF4576"/>
      <c r="AG4576"/>
      <c r="AH4576"/>
      <c r="AI4576"/>
      <c r="AJ4576"/>
      <c r="AK4576"/>
    </row>
    <row r="4577" spans="1:37" ht="13.05" customHeight="1" x14ac:dyDescent="0.25">
      <c r="A4577"/>
      <c r="C4577" s="191"/>
      <c r="D4577" s="191"/>
      <c r="F4577"/>
      <c r="G4577"/>
      <c r="H4577" s="36"/>
      <c r="I4577" s="125"/>
      <c r="S4577" s="4"/>
      <c r="T4577" s="124"/>
      <c r="U4577" s="22"/>
      <c r="V4577" s="22"/>
      <c r="W4577" s="78"/>
      <c r="X4577" s="78"/>
      <c r="AF4577"/>
      <c r="AG4577"/>
      <c r="AH4577"/>
      <c r="AI4577"/>
      <c r="AJ4577"/>
      <c r="AK4577"/>
    </row>
    <row r="4578" spans="1:37" ht="13.05" customHeight="1" x14ac:dyDescent="0.25">
      <c r="A4578"/>
      <c r="C4578" s="191"/>
      <c r="D4578" s="191"/>
      <c r="F4578"/>
      <c r="G4578"/>
      <c r="H4578" s="36"/>
      <c r="I4578" s="125"/>
      <c r="S4578" s="4"/>
      <c r="T4578" s="124"/>
      <c r="U4578" s="22"/>
      <c r="V4578" s="22"/>
      <c r="W4578" s="78"/>
      <c r="X4578" s="78"/>
      <c r="AF4578"/>
      <c r="AG4578"/>
      <c r="AH4578"/>
      <c r="AI4578"/>
      <c r="AJ4578"/>
      <c r="AK4578"/>
    </row>
    <row r="4579" spans="1:37" ht="13.05" customHeight="1" x14ac:dyDescent="0.25">
      <c r="A4579"/>
      <c r="C4579" s="191"/>
      <c r="D4579" s="191"/>
      <c r="F4579"/>
      <c r="G4579"/>
      <c r="H4579" s="36"/>
      <c r="I4579" s="125"/>
      <c r="S4579" s="4"/>
      <c r="T4579" s="124"/>
      <c r="U4579" s="22"/>
      <c r="V4579" s="22"/>
      <c r="W4579" s="78"/>
      <c r="X4579" s="78"/>
      <c r="AF4579"/>
      <c r="AG4579"/>
      <c r="AH4579"/>
      <c r="AI4579"/>
      <c r="AJ4579"/>
      <c r="AK4579"/>
    </row>
    <row r="4580" spans="1:37" ht="13.05" customHeight="1" x14ac:dyDescent="0.25">
      <c r="A4580"/>
      <c r="C4580" s="191"/>
      <c r="D4580" s="191"/>
      <c r="F4580"/>
      <c r="G4580"/>
      <c r="H4580" s="36"/>
      <c r="I4580" s="125"/>
      <c r="S4580" s="4"/>
      <c r="T4580" s="124"/>
      <c r="U4580" s="22"/>
      <c r="V4580" s="22"/>
      <c r="W4580" s="78"/>
      <c r="X4580" s="78"/>
      <c r="AF4580"/>
      <c r="AG4580"/>
      <c r="AH4580"/>
      <c r="AI4580"/>
      <c r="AJ4580"/>
      <c r="AK4580"/>
    </row>
    <row r="4581" spans="1:37" ht="13.05" customHeight="1" x14ac:dyDescent="0.25">
      <c r="A4581"/>
      <c r="C4581" s="191"/>
      <c r="D4581" s="191"/>
      <c r="F4581"/>
      <c r="G4581"/>
      <c r="H4581" s="36"/>
      <c r="I4581" s="125"/>
      <c r="S4581" s="4"/>
      <c r="T4581" s="124"/>
      <c r="U4581" s="22"/>
      <c r="V4581" s="22"/>
      <c r="W4581" s="78"/>
      <c r="X4581" s="78"/>
      <c r="AF4581"/>
      <c r="AG4581"/>
      <c r="AH4581"/>
      <c r="AI4581"/>
      <c r="AJ4581"/>
      <c r="AK4581"/>
    </row>
    <row r="4582" spans="1:37" ht="13.05" customHeight="1" x14ac:dyDescent="0.25">
      <c r="A4582"/>
      <c r="C4582" s="191"/>
      <c r="D4582" s="191"/>
      <c r="F4582"/>
      <c r="G4582"/>
      <c r="H4582" s="36"/>
      <c r="I4582" s="125"/>
      <c r="S4582" s="4"/>
      <c r="T4582" s="124"/>
      <c r="U4582" s="22"/>
      <c r="V4582" s="22"/>
      <c r="W4582" s="78"/>
      <c r="X4582" s="78"/>
      <c r="AF4582"/>
      <c r="AG4582"/>
      <c r="AH4582"/>
      <c r="AI4582"/>
      <c r="AJ4582"/>
      <c r="AK4582"/>
    </row>
    <row r="4583" spans="1:37" ht="13.05" customHeight="1" x14ac:dyDescent="0.25">
      <c r="A4583"/>
      <c r="C4583" s="191"/>
      <c r="D4583" s="191"/>
      <c r="F4583"/>
      <c r="G4583"/>
      <c r="H4583" s="36"/>
      <c r="I4583" s="125"/>
      <c r="S4583" s="4"/>
      <c r="T4583" s="124"/>
      <c r="U4583" s="22"/>
      <c r="V4583" s="22"/>
      <c r="W4583" s="78"/>
      <c r="X4583" s="78"/>
      <c r="AF4583"/>
      <c r="AG4583"/>
      <c r="AH4583"/>
      <c r="AI4583"/>
      <c r="AJ4583"/>
      <c r="AK4583"/>
    </row>
    <row r="4584" spans="1:37" ht="13.05" customHeight="1" x14ac:dyDescent="0.25">
      <c r="A4584"/>
      <c r="C4584" s="191"/>
      <c r="D4584" s="191"/>
      <c r="F4584"/>
      <c r="G4584"/>
      <c r="H4584" s="36"/>
      <c r="I4584" s="125"/>
      <c r="S4584" s="4"/>
      <c r="T4584" s="124"/>
      <c r="U4584" s="22"/>
      <c r="V4584" s="22"/>
      <c r="W4584" s="78"/>
      <c r="X4584" s="78"/>
      <c r="AF4584"/>
      <c r="AG4584"/>
      <c r="AH4584"/>
      <c r="AI4584"/>
      <c r="AJ4584"/>
      <c r="AK4584"/>
    </row>
    <row r="4585" spans="1:37" ht="13.05" customHeight="1" x14ac:dyDescent="0.25">
      <c r="A4585"/>
      <c r="C4585" s="191"/>
      <c r="D4585" s="191"/>
      <c r="F4585"/>
      <c r="G4585"/>
      <c r="H4585" s="36"/>
      <c r="I4585" s="125"/>
      <c r="S4585" s="4"/>
      <c r="T4585" s="124"/>
      <c r="U4585" s="22"/>
      <c r="V4585" s="22"/>
      <c r="W4585" s="78"/>
      <c r="X4585" s="78"/>
      <c r="AF4585"/>
      <c r="AG4585"/>
      <c r="AH4585"/>
      <c r="AI4585"/>
      <c r="AJ4585"/>
      <c r="AK4585"/>
    </row>
    <row r="4586" spans="1:37" ht="13.05" customHeight="1" x14ac:dyDescent="0.25">
      <c r="A4586"/>
      <c r="C4586" s="191"/>
      <c r="D4586" s="191"/>
      <c r="F4586"/>
      <c r="G4586"/>
      <c r="H4586" s="36"/>
      <c r="I4586" s="125"/>
      <c r="S4586" s="4"/>
      <c r="T4586" s="124"/>
      <c r="U4586" s="22"/>
      <c r="V4586" s="22"/>
      <c r="W4586" s="78"/>
      <c r="X4586" s="78"/>
      <c r="AF4586"/>
      <c r="AG4586"/>
      <c r="AH4586"/>
      <c r="AI4586"/>
      <c r="AJ4586"/>
      <c r="AK4586"/>
    </row>
    <row r="4587" spans="1:37" ht="13.05" customHeight="1" x14ac:dyDescent="0.25">
      <c r="A4587"/>
      <c r="C4587" s="191"/>
      <c r="D4587" s="191"/>
      <c r="F4587"/>
      <c r="G4587"/>
      <c r="H4587" s="36"/>
      <c r="I4587" s="125"/>
      <c r="S4587" s="4"/>
      <c r="T4587" s="124"/>
      <c r="U4587" s="22"/>
      <c r="V4587" s="22"/>
      <c r="W4587" s="78"/>
      <c r="X4587" s="78"/>
      <c r="AF4587"/>
      <c r="AG4587"/>
      <c r="AH4587"/>
      <c r="AI4587"/>
      <c r="AJ4587"/>
      <c r="AK4587"/>
    </row>
    <row r="4588" spans="1:37" ht="13.05" customHeight="1" x14ac:dyDescent="0.25">
      <c r="A4588"/>
      <c r="C4588" s="191"/>
      <c r="D4588" s="191"/>
      <c r="F4588"/>
      <c r="G4588"/>
      <c r="H4588" s="36"/>
      <c r="I4588" s="125"/>
      <c r="S4588" s="4"/>
      <c r="T4588" s="124"/>
      <c r="U4588" s="22"/>
      <c r="V4588" s="22"/>
      <c r="W4588" s="78"/>
      <c r="X4588" s="78"/>
      <c r="AF4588"/>
      <c r="AG4588"/>
      <c r="AH4588"/>
      <c r="AI4588"/>
      <c r="AJ4588"/>
      <c r="AK4588"/>
    </row>
    <row r="4589" spans="1:37" ht="13.05" customHeight="1" x14ac:dyDescent="0.25">
      <c r="A4589"/>
      <c r="C4589" s="191"/>
      <c r="D4589" s="191"/>
      <c r="F4589"/>
      <c r="G4589"/>
      <c r="H4589" s="36"/>
      <c r="I4589" s="125"/>
      <c r="S4589" s="4"/>
      <c r="T4589" s="124"/>
      <c r="U4589" s="22"/>
      <c r="V4589" s="22"/>
      <c r="W4589" s="78"/>
      <c r="X4589" s="78"/>
      <c r="AF4589"/>
      <c r="AG4589"/>
      <c r="AH4589"/>
      <c r="AI4589"/>
      <c r="AJ4589"/>
      <c r="AK4589"/>
    </row>
  </sheetData>
  <autoFilter ref="Z1:Z4589"/>
  <dataConsolidate/>
  <mergeCells count="1">
    <mergeCell ref="H408:H419"/>
  </mergeCells>
  <phoneticPr fontId="0" type="noConversion"/>
  <dataValidations xWindow="1140" yWindow="966" count="10">
    <dataValidation allowBlank="1" showInputMessage="1" showErrorMessage="1" promptTitle="Nº de ejemplares u objetos" prompt="Total de elementos iguares/similares, independientemente del nº de elementos o partes que lo integran (p.e.: colección de diapositivas)" sqref="U24 U2577 U1435:U1436 U1614 U44 U54 U58 U60 U1:U3 U1733 U2208 U2216 U2227 U2251:U2252 U2293:U2296 U1682:U1719 V3265:V3267 U3273:V3273 U3274:U1048576 U65:U67 U74:U84 U70:U72 U2703:U3248 U405 U357:U358 U2422:U2566 U3249:V3259 U3260:U3272 V3260:V3262 V3238:V3248 U2595:U2682 U2583:U2593 U2311:U2420 U421:U1378"/>
    <dataValidation allowBlank="1" showInputMessage="1" showErrorMessage="1" promptTitle="Nº de elementos o partes" prompt="Nº total de elementos o partes que integran un objeto, p.e.: nº de accesorios de un microscopio, nº de diapositivas de una colección..._x000a_" sqref="U406:U420 U85:U356 U359:U404"/>
    <dataValidation allowBlank="1" showInputMessage="1" showErrorMessage="1" promptTitle="Observaciones conservación:" prompt="Descripción desperfectos, piezas ausentes, craquelado, disfunción..." sqref="T2638:T2647 T3225:T3226 T2533:T2546 T2422:T2531 T2548:T2636 T2649:T3216 T3232:T1048576 T1:T2420"/>
    <dataValidation allowBlank="1" showInputMessage="1" showErrorMessage="1" promptTitle="Procedencia: recolección/adquisi" prompt="Continente, pais, region, provincia, localidad." sqref="N2228:O2233"/>
    <dataValidation allowBlank="1" showInputMessage="1" showErrorMessage="1" promptTitle="Nº de elementos o partes" prompt="Nº total de elementos o partes que integran un objeto divisible_x000a_, p.e.: nº de accesorios de un microscopio, nº de diapositivas de una colección..._x000a_" sqref="U2567:U2576 U2683:U2702 V1575:V1613 U45:U53 U55:U57 U61:U64 U1720:U1732 U2217:U2226 U1379:U1434 U1574:V1574 U2297:U2310 V3240:V3248 U3241:U3248 U59 U3168:U3178 U1615:U1681 U2578:U2582 U2594 U4:U23 U2228:U2250 U3245:V3262 U2209:U2215 U25:U43 V3265:V1048576 U3273 U73 U68:U69 U3180:V3237 U1437:U1613 U2598:V2626 V2628:V3179 U3243:V3243 V2422:V2597 U2730 U2732:U2733 U2727:U2728 U2253:U2292 V1615:V2420 U1734:U2207 V1:V1573"/>
    <dataValidation allowBlank="1" showInputMessage="1" showErrorMessage="1" prompt="Procedencia: recolección/adquisición" sqref="P1"/>
    <dataValidation allowBlank="1" showInputMessage="1" showErrorMessage="1" promptTitle="Fecha Intervención curativa" sqref="AH1251:AH1285 AH1160:AH1249 AG1160:AG1285 AG1:AH1159 AG1286:AH1048576"/>
    <dataValidation allowBlank="1" showInputMessage="1" showErrorMessage="1" promptTitle="Procedencia: recolección/adquisi" sqref="Q1598 N55:O55 N75:O75 P56:P74 Q98 Q109 Q265 O110 Q115 P113:P114 Q148 Q167 Q364:Q367 Q201 Q205 P202:P204 Q214 O1836 Q271 O215:O216 O85 Q90 P86:P89 O93 P91:P92 P94:P97 O105 P99:P104 P106:P108 O116:O120 O125 P121:P124 O218:O221 O160:O162 P163:P166 O180 P168:P179 O191 P181:P190 P192:P200 Q257 O496:O498 Q1733:Q1736 O1730 P1731:P1732 O1775 P1771:P1774 O1784 P1776:P1783 O1812 O1791 O1814 P1813 O1818:O1820 P1827 P1785:P1790 P1815:P1817 P1821 P2702:P3188 P1825 O1842 O1838 P1833:P1837 P1839:P1841 O1844 P770:P1215 P1845 O1855:O1858 O1870:O1871 O1873:P1873 P1872 P1874:P1875 O1876 O1865:O1866 P1859:P1869 O1822:O1826 P206:P213 P432:P440 O272:P272 Q289 Q327 O331 O337:P337 P332:P336 O342 P338:P341 O346:O347 Q350 O487:O488 Q376 Q378 P377 Q1216 O383 P382 O400 Q401 O424 Q111:Q112 O441 P442:P443 O444:O446 O450 P447:P449 O467:O468 P451:P455 O456:O457 O471 P480 O357 P76:P84 P273:P297 P299:P330 O296:O298 O769 Q2966:Q2970 Q2980:Q2981 N56:N57 P2:P54 O1831:O1832 P425:P430 P215:P270 P149:P159 P384:P423 O602:O605 O584 O607 P605:P606 O610:O611 P608:P609 O620 P611:P619 O2186 P1599:P1729 Q3156 Q3159 Q2675:Q2681 Q2683:Q2701 P2682 Q2628:Q2669 P2670:P2676 P3190:P3194 P343:P349 P367:P375 P621:P768 O1130:O1134 O1102:O1103 P126:P147 R2516:R2517 P1877:P2174 P1737:P1769 O481:O484 P3196:P1048576 O379:O381 P458:P465 Q492 P469:P470 P492:P495 O491 O477:O479 P472:P476 P485:P486 P489:P490 P362:P363 Q361 P351:P356 P359:P360 Q358 P2176:P2185 P2518:P2627 P499 P501:P600 O500 P2187:P2515 P1792:P1811 P1843 P1852:P1854 O1828:O1829 O1846 O1848 P1847 P1217:P1597"/>
    <dataValidation allowBlank="1" showInputMessage="1" showErrorMessage="1" promptTitle="Referencia datación" prompt="Memoria, catálogo, inventario... y el año_x000a_" sqref="L277 K276:K277 M276:M277 L3261:M3262 K3196:M3260 O3261:O3262 J3072 L3072:M3072 K1:M275 K3073:M3194 K3263:M1048576 K278:M3071"/>
    <dataValidation allowBlank="1" showInputMessage="1" showErrorMessage="1" promptTitle="Valoración:" prompt="Precio de adquisición (año), precio de venta actual (año)" sqref="AE1:AE1048576"/>
  </dataValidations>
  <hyperlinks>
    <hyperlink ref="K2727" r:id="rId1"/>
    <hyperlink ref="I1128" r:id="rId2"/>
    <hyperlink ref="K2308" r:id="rId3"/>
    <hyperlink ref="P1770" r:id="rId4" tooltip="Renania del Norte-Westfalia" display="https://es.wikipedia.org/wiki/Renania_del_Norte-Westfalia"/>
    <hyperlink ref="P1791" r:id="rId5" tooltip="Renania-Palatinado" display="https://es.wikipedia.org/wiki/Renania-Palatinado"/>
    <hyperlink ref="H478" r:id="rId6" tooltip="Pozzuoli" display="https://es.wikipedia.org/wiki/Pozzuoli"/>
  </hyperlinks>
  <pageMargins left="0.25" right="0.25" top="0.75" bottom="0.75" header="0.3" footer="0.3"/>
  <pageSetup paperSize="9" orientation="landscape" verticalDpi="1200" r:id="rId7"/>
  <headerFooter alignWithMargins="0"/>
  <extLst>
    <ext xmlns:x14="http://schemas.microsoft.com/office/spreadsheetml/2009/9/main" uri="{CCE6A557-97BC-4b89-ADB6-D9C93CAAB3DF}">
      <x14:dataValidations xmlns:xm="http://schemas.microsoft.com/office/excel/2006/main" xWindow="1140" yWindow="966" count="8">
        <x14:dataValidation type="list" allowBlank="1" showInputMessage="1" showErrorMessage="1" promptTitle="Intervención curativa">
          <x14:formula1>
            <xm:f>'TABLAS ACCESORIAS'!$J$2:$J$15</xm:f>
          </x14:formula1>
          <xm:sqref>AF2956:AF1048576 AF1:AF2954</xm:sqref>
        </x14:dataValidation>
        <x14:dataValidation type="list" allowBlank="1" showInputMessage="1" showErrorMessage="1">
          <x14:formula1>
            <xm:f>'TABLAS ACCESORIAS'!$K$2:$K$17</xm:f>
          </x14:formula1>
          <xm:sqref>AI1:AI2954 AI2956:AI1048576</xm:sqref>
        </x14:dataValidation>
        <x14:dataValidation type="list" allowBlank="1" showInputMessage="1" showErrorMessage="1">
          <x14:formula1>
            <xm:f>'TABLAS ACCESORIAS'!$L$2:$L$9</xm:f>
          </x14:formula1>
          <xm:sqref>S2956:S1048576 S1:S2954</xm:sqref>
        </x14:dataValidation>
        <x14:dataValidation type="list" allowBlank="1" showInputMessage="1" showErrorMessage="1">
          <x14:formula1>
            <xm:f>'TABLAS ACCESORIAS'!$F$5:$F$8</xm:f>
          </x14:formula1>
          <xm:sqref>AC2956:AC1048576 AC1:AC2954</xm:sqref>
        </x14:dataValidation>
        <x14:dataValidation type="list" allowBlank="1" showInputMessage="1" showErrorMessage="1">
          <x14:formula1>
            <xm:f>'TABLAS ACCESORIAS'!$B$3:$B$25</xm:f>
          </x14:formula1>
          <xm:sqref>Y2956:Y1048576 Z2799 Z2803 AA2797:AA2863 Y1:Y2954</xm:sqref>
        </x14:dataValidation>
        <x14:dataValidation type="list" allowBlank="1" showInputMessage="1" showErrorMessage="1">
          <x14:formula1>
            <xm:f>'TABLAS ACCESORIAS'!$G$2:$G$15</xm:f>
          </x14:formula1>
          <xm:sqref>E2956:E3194 E3196:E1048576 E1:E2954</xm:sqref>
        </x14:dataValidation>
        <x14:dataValidation type="list" allowBlank="1" showErrorMessage="1">
          <x14:formula1>
            <xm:f>'TABLAS ACCESORIAS'!$Q$2:$Q$9</xm:f>
          </x14:formula1>
          <xm:sqref>R2956:R1048576 R1:R2954</xm:sqref>
        </x14:dataValidation>
        <x14:dataValidation type="list" allowBlank="1" showInputMessage="1" showErrorMessage="1" promptTitle="Donante/depositante/elaborador">
          <x14:formula1>
            <xm:f>'TABLAS ACCESORIAS'!$D$4:$D$77</xm:f>
          </x14:formula1>
          <xm:sqref>Z2804:Z2954 Z2:Z2798 Z2800:Z2802 Z2956:Z1048576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7"/>
  <sheetViews>
    <sheetView workbookViewId="0">
      <selection activeCell="D6" sqref="D6"/>
    </sheetView>
  </sheetViews>
  <sheetFormatPr baseColWidth="10" defaultRowHeight="13.2" x14ac:dyDescent="0.25"/>
  <cols>
    <col min="1" max="1" width="20.44140625" customWidth="1"/>
    <col min="2" max="5" width="23.77734375" customWidth="1"/>
    <col min="6" max="6" width="28.44140625" customWidth="1"/>
    <col min="7" max="7" width="21.33203125" style="145" customWidth="1"/>
    <col min="8" max="9" width="21.33203125" customWidth="1"/>
    <col min="10" max="10" width="25.109375" customWidth="1"/>
    <col min="11" max="11" width="29.5546875" customWidth="1"/>
  </cols>
  <sheetData>
    <row r="1" spans="1:17" x14ac:dyDescent="0.25">
      <c r="A1" s="8" t="s">
        <v>2996</v>
      </c>
      <c r="B1" s="8" t="s">
        <v>2825</v>
      </c>
      <c r="C1" s="8" t="s">
        <v>2960</v>
      </c>
      <c r="D1" s="8" t="s">
        <v>2908</v>
      </c>
      <c r="E1" s="8"/>
      <c r="F1" s="8" t="s">
        <v>2823</v>
      </c>
      <c r="G1" s="143" t="s">
        <v>2170</v>
      </c>
      <c r="H1" s="8" t="s">
        <v>3000</v>
      </c>
      <c r="I1" s="8" t="s">
        <v>2933</v>
      </c>
      <c r="J1" s="8" t="s">
        <v>3006</v>
      </c>
      <c r="K1" s="8" t="s">
        <v>2870</v>
      </c>
      <c r="L1" s="8" t="s">
        <v>2872</v>
      </c>
      <c r="M1" s="8" t="s">
        <v>2987</v>
      </c>
      <c r="N1" s="8" t="s">
        <v>2991</v>
      </c>
      <c r="P1" s="8" t="s">
        <v>3662</v>
      </c>
      <c r="Q1" s="8" t="s">
        <v>3661</v>
      </c>
    </row>
    <row r="2" spans="1:17" x14ac:dyDescent="0.25">
      <c r="A2" s="4" t="s">
        <v>2997</v>
      </c>
      <c r="B2" s="4" t="s">
        <v>4114</v>
      </c>
      <c r="C2" s="4" t="s">
        <v>2961</v>
      </c>
      <c r="D2" s="4" t="s">
        <v>5224</v>
      </c>
      <c r="E2" s="4" t="s">
        <v>6394</v>
      </c>
      <c r="F2" s="4" t="s">
        <v>6267</v>
      </c>
      <c r="G2" s="144" t="s">
        <v>5301</v>
      </c>
      <c r="H2" s="4" t="s">
        <v>3001</v>
      </c>
      <c r="I2" s="4" t="s">
        <v>2921</v>
      </c>
      <c r="J2" s="4" t="s">
        <v>3400</v>
      </c>
      <c r="K2" s="4" t="s">
        <v>2946</v>
      </c>
      <c r="L2" s="4" t="s">
        <v>3436</v>
      </c>
      <c r="M2" s="4" t="s">
        <v>2990</v>
      </c>
      <c r="N2" s="4" t="s">
        <v>2992</v>
      </c>
      <c r="Q2" s="4" t="s">
        <v>1811</v>
      </c>
    </row>
    <row r="3" spans="1:17" x14ac:dyDescent="0.25">
      <c r="B3" s="4" t="s">
        <v>3584</v>
      </c>
      <c r="C3" s="4" t="s">
        <v>2962</v>
      </c>
      <c r="D3" s="4" t="s">
        <v>6374</v>
      </c>
      <c r="E3" s="4" t="s">
        <v>6375</v>
      </c>
      <c r="F3" s="4" t="s">
        <v>5224</v>
      </c>
      <c r="G3" s="144" t="s">
        <v>2926</v>
      </c>
      <c r="H3" s="4" t="s">
        <v>3002</v>
      </c>
      <c r="I3" s="4" t="s">
        <v>2922</v>
      </c>
      <c r="J3" s="4" t="s">
        <v>2936</v>
      </c>
      <c r="K3" s="4" t="s">
        <v>2948</v>
      </c>
      <c r="L3" s="4" t="s">
        <v>3412</v>
      </c>
      <c r="M3" s="4" t="s">
        <v>2988</v>
      </c>
      <c r="N3" s="4" t="s">
        <v>2993</v>
      </c>
      <c r="Q3" s="4" t="s">
        <v>3665</v>
      </c>
    </row>
    <row r="4" spans="1:17" x14ac:dyDescent="0.25">
      <c r="B4" s="4" t="s">
        <v>3585</v>
      </c>
      <c r="C4" s="4" t="s">
        <v>2963</v>
      </c>
      <c r="D4" s="4" t="s">
        <v>2890</v>
      </c>
      <c r="E4" s="4"/>
      <c r="F4" s="4" t="s">
        <v>5381</v>
      </c>
      <c r="G4" s="144" t="s">
        <v>2927</v>
      </c>
      <c r="H4" s="4" t="s">
        <v>3003</v>
      </c>
      <c r="I4" s="4" t="s">
        <v>2923</v>
      </c>
      <c r="J4" s="4" t="s">
        <v>2938</v>
      </c>
      <c r="K4" s="4" t="s">
        <v>2947</v>
      </c>
      <c r="L4" s="4" t="s">
        <v>2983</v>
      </c>
      <c r="M4" s="4" t="s">
        <v>2989</v>
      </c>
      <c r="N4" s="4" t="s">
        <v>2994</v>
      </c>
      <c r="Q4" s="4" t="s">
        <v>2014</v>
      </c>
    </row>
    <row r="5" spans="1:17" x14ac:dyDescent="0.25">
      <c r="B5" t="s">
        <v>3612</v>
      </c>
      <c r="C5" s="4" t="s">
        <v>3459</v>
      </c>
      <c r="D5" s="4" t="s">
        <v>2899</v>
      </c>
      <c r="E5" s="4"/>
      <c r="F5" s="4" t="s">
        <v>2885</v>
      </c>
      <c r="G5" s="144" t="s">
        <v>2928</v>
      </c>
      <c r="H5" s="4" t="s">
        <v>3004</v>
      </c>
      <c r="I5" s="4" t="s">
        <v>2924</v>
      </c>
      <c r="J5" s="4" t="s">
        <v>2935</v>
      </c>
      <c r="K5" s="4" t="s">
        <v>2204</v>
      </c>
      <c r="L5" s="4" t="s">
        <v>2980</v>
      </c>
      <c r="N5" s="4" t="s">
        <v>2995</v>
      </c>
      <c r="Q5" s="4" t="s">
        <v>1792</v>
      </c>
    </row>
    <row r="6" spans="1:17" x14ac:dyDescent="0.25">
      <c r="B6" s="4" t="s">
        <v>3586</v>
      </c>
      <c r="C6" s="4" t="s">
        <v>2964</v>
      </c>
      <c r="D6" s="4" t="s">
        <v>7290</v>
      </c>
      <c r="E6" s="4" t="s">
        <v>7291</v>
      </c>
      <c r="F6" s="4"/>
      <c r="G6" s="144" t="s">
        <v>5300</v>
      </c>
      <c r="H6" s="4"/>
      <c r="I6" s="4" t="s">
        <v>2941</v>
      </c>
      <c r="J6" s="4" t="s">
        <v>2943</v>
      </c>
      <c r="K6" s="4" t="s">
        <v>2949</v>
      </c>
      <c r="L6" s="4" t="s">
        <v>2981</v>
      </c>
      <c r="Q6" s="4" t="s">
        <v>3663</v>
      </c>
    </row>
    <row r="7" spans="1:17" x14ac:dyDescent="0.25">
      <c r="B7" s="4" t="s">
        <v>3587</v>
      </c>
      <c r="C7" s="4" t="s">
        <v>3409</v>
      </c>
      <c r="D7" s="4" t="s">
        <v>7238</v>
      </c>
      <c r="E7" s="4" t="s">
        <v>7239</v>
      </c>
      <c r="F7" s="4"/>
      <c r="G7" s="144" t="s">
        <v>2930</v>
      </c>
      <c r="H7" s="4"/>
      <c r="I7" s="4"/>
      <c r="J7" s="4" t="s">
        <v>2942</v>
      </c>
      <c r="K7" s="4" t="s">
        <v>2958</v>
      </c>
      <c r="L7" s="4" t="s">
        <v>2982</v>
      </c>
      <c r="Q7" s="4" t="s">
        <v>3666</v>
      </c>
    </row>
    <row r="8" spans="1:17" x14ac:dyDescent="0.25">
      <c r="B8" s="4" t="s">
        <v>3588</v>
      </c>
      <c r="C8" s="4" t="s">
        <v>2966</v>
      </c>
      <c r="D8" s="4" t="s">
        <v>6230</v>
      </c>
      <c r="E8" t="s">
        <v>6241</v>
      </c>
      <c r="F8" s="4"/>
      <c r="G8" s="144" t="s">
        <v>5302</v>
      </c>
      <c r="H8" s="4"/>
      <c r="I8" s="4"/>
      <c r="J8" s="4" t="s">
        <v>2944</v>
      </c>
      <c r="K8" s="4" t="s">
        <v>2955</v>
      </c>
      <c r="Q8" s="4" t="s">
        <v>3664</v>
      </c>
    </row>
    <row r="9" spans="1:17" x14ac:dyDescent="0.25">
      <c r="B9" s="4" t="s">
        <v>3590</v>
      </c>
      <c r="C9" s="4" t="s">
        <v>3410</v>
      </c>
      <c r="D9" s="4" t="s">
        <v>5863</v>
      </c>
      <c r="E9" s="4" t="s">
        <v>6393</v>
      </c>
      <c r="G9" s="144" t="s">
        <v>2932</v>
      </c>
      <c r="H9" s="4"/>
      <c r="I9" s="4"/>
      <c r="J9" s="4" t="s">
        <v>3401</v>
      </c>
      <c r="K9" s="4" t="s">
        <v>2956</v>
      </c>
      <c r="Q9" s="4" t="s">
        <v>1954</v>
      </c>
    </row>
    <row r="10" spans="1:17" x14ac:dyDescent="0.25">
      <c r="B10" s="4" t="s">
        <v>3582</v>
      </c>
      <c r="C10" s="4" t="s">
        <v>3411</v>
      </c>
      <c r="D10" s="4" t="s">
        <v>2904</v>
      </c>
      <c r="E10" s="4"/>
      <c r="G10" s="144" t="s">
        <v>2912</v>
      </c>
      <c r="H10" s="4"/>
      <c r="I10" s="4"/>
      <c r="J10" s="4" t="s">
        <v>2945</v>
      </c>
      <c r="K10" s="4" t="s">
        <v>2959</v>
      </c>
    </row>
    <row r="11" spans="1:17" x14ac:dyDescent="0.25">
      <c r="B11" s="4" t="s">
        <v>4300</v>
      </c>
      <c r="C11" s="4" t="s">
        <v>2967</v>
      </c>
      <c r="D11" s="4" t="s">
        <v>7199</v>
      </c>
      <c r="E11" s="4" t="s">
        <v>7200</v>
      </c>
      <c r="G11" s="144" t="s">
        <v>2913</v>
      </c>
      <c r="H11" s="4"/>
      <c r="I11" s="4"/>
      <c r="J11" s="4" t="s">
        <v>2934</v>
      </c>
      <c r="K11" s="4" t="s">
        <v>2957</v>
      </c>
    </row>
    <row r="12" spans="1:17" x14ac:dyDescent="0.25">
      <c r="B12" t="s">
        <v>3589</v>
      </c>
      <c r="C12" s="4" t="s">
        <v>2968</v>
      </c>
      <c r="D12" s="4" t="s">
        <v>3581</v>
      </c>
      <c r="E12" s="4" t="s">
        <v>6256</v>
      </c>
      <c r="G12" s="144" t="s">
        <v>2985</v>
      </c>
      <c r="H12" s="4"/>
      <c r="J12" s="4" t="s">
        <v>2937</v>
      </c>
      <c r="K12" s="4" t="s">
        <v>2954</v>
      </c>
    </row>
    <row r="13" spans="1:17" x14ac:dyDescent="0.25">
      <c r="B13" s="4" t="s">
        <v>3583</v>
      </c>
      <c r="C13" s="4" t="s">
        <v>2969</v>
      </c>
      <c r="D13" s="4" t="s">
        <v>2884</v>
      </c>
      <c r="E13" s="4" t="s">
        <v>6268</v>
      </c>
      <c r="J13" s="4" t="s">
        <v>2939</v>
      </c>
      <c r="K13" s="4" t="s">
        <v>2953</v>
      </c>
    </row>
    <row r="14" spans="1:17" x14ac:dyDescent="0.25">
      <c r="B14" s="4" t="s">
        <v>5303</v>
      </c>
      <c r="C14" s="4"/>
      <c r="D14" s="4" t="s">
        <v>7180</v>
      </c>
      <c r="E14" s="4" t="s">
        <v>7181</v>
      </c>
      <c r="J14" s="4"/>
      <c r="K14" s="4"/>
    </row>
    <row r="15" spans="1:17" x14ac:dyDescent="0.25">
      <c r="B15" s="4" t="s">
        <v>5304</v>
      </c>
      <c r="D15" s="4" t="s">
        <v>5787</v>
      </c>
      <c r="E15" s="4"/>
      <c r="J15" s="4" t="s">
        <v>2940</v>
      </c>
      <c r="K15" s="4" t="s">
        <v>2952</v>
      </c>
    </row>
    <row r="16" spans="1:17" x14ac:dyDescent="0.25">
      <c r="B16" s="4" t="s">
        <v>5745</v>
      </c>
      <c r="D16" s="4" t="s">
        <v>2905</v>
      </c>
      <c r="E16" s="4"/>
      <c r="J16" s="4" t="s">
        <v>3399</v>
      </c>
      <c r="K16" s="4" t="s">
        <v>2951</v>
      </c>
    </row>
    <row r="17" spans="2:11" x14ac:dyDescent="0.25">
      <c r="B17" s="4" t="s">
        <v>5744</v>
      </c>
      <c r="D17" s="4" t="s">
        <v>2887</v>
      </c>
      <c r="E17" s="4" t="s">
        <v>6392</v>
      </c>
      <c r="K17" s="4" t="s">
        <v>2950</v>
      </c>
    </row>
    <row r="18" spans="2:11" x14ac:dyDescent="0.25">
      <c r="B18" s="4" t="s">
        <v>3592</v>
      </c>
      <c r="D18" s="4" t="s">
        <v>2901</v>
      </c>
      <c r="E18" s="4"/>
      <c r="K18" s="4"/>
    </row>
    <row r="19" spans="2:11" x14ac:dyDescent="0.25">
      <c r="B19" s="4" t="s">
        <v>2986</v>
      </c>
      <c r="D19" s="4" t="s">
        <v>4290</v>
      </c>
      <c r="E19" s="4"/>
      <c r="K19" s="4" t="s">
        <v>3007</v>
      </c>
    </row>
    <row r="20" spans="2:11" x14ac:dyDescent="0.25">
      <c r="B20" s="4" t="s">
        <v>3591</v>
      </c>
      <c r="D20" s="4" t="s">
        <v>2886</v>
      </c>
      <c r="E20" s="4"/>
    </row>
    <row r="21" spans="2:11" x14ac:dyDescent="0.25">
      <c r="B21" s="4" t="s">
        <v>4060</v>
      </c>
      <c r="D21" s="4" t="s">
        <v>2906</v>
      </c>
      <c r="E21" s="4"/>
    </row>
    <row r="22" spans="2:11" x14ac:dyDescent="0.25">
      <c r="B22" s="4" t="s">
        <v>4059</v>
      </c>
      <c r="D22" s="4" t="s">
        <v>5012</v>
      </c>
      <c r="E22" s="4" t="s">
        <v>6257</v>
      </c>
    </row>
    <row r="23" spans="2:11" x14ac:dyDescent="0.25">
      <c r="B23" s="4" t="s">
        <v>5749</v>
      </c>
      <c r="D23" s="4" t="s">
        <v>7138</v>
      </c>
      <c r="E23" t="s">
        <v>7139</v>
      </c>
    </row>
    <row r="24" spans="2:11" x14ac:dyDescent="0.25">
      <c r="B24" s="4" t="s">
        <v>5746</v>
      </c>
      <c r="D24" s="4" t="s">
        <v>2896</v>
      </c>
      <c r="E24" s="4"/>
    </row>
    <row r="25" spans="2:11" x14ac:dyDescent="0.25">
      <c r="B25" s="4" t="s">
        <v>5748</v>
      </c>
      <c r="D25" s="4" t="s">
        <v>2900</v>
      </c>
      <c r="E25" s="4"/>
    </row>
    <row r="26" spans="2:11" x14ac:dyDescent="0.25">
      <c r="B26" s="4" t="s">
        <v>5747</v>
      </c>
      <c r="D26" s="4" t="s">
        <v>2909</v>
      </c>
      <c r="E26" s="4"/>
    </row>
    <row r="27" spans="2:11" x14ac:dyDescent="0.25">
      <c r="D27" s="4" t="s">
        <v>5299</v>
      </c>
      <c r="E27" s="4" t="s">
        <v>6254</v>
      </c>
    </row>
    <row r="28" spans="2:11" x14ac:dyDescent="0.25">
      <c r="D28" s="4" t="s">
        <v>6909</v>
      </c>
      <c r="E28" t="s">
        <v>6910</v>
      </c>
    </row>
    <row r="29" spans="2:11" x14ac:dyDescent="0.25">
      <c r="D29" s="4" t="s">
        <v>5242</v>
      </c>
      <c r="E29" s="4"/>
    </row>
    <row r="30" spans="2:11" x14ac:dyDescent="0.25">
      <c r="D30" s="4" t="s">
        <v>5786</v>
      </c>
      <c r="E30" s="4" t="s">
        <v>6255</v>
      </c>
    </row>
    <row r="31" spans="2:11" x14ac:dyDescent="0.25">
      <c r="D31" s="4" t="s">
        <v>2893</v>
      </c>
      <c r="E31" s="4" t="s">
        <v>7209</v>
      </c>
    </row>
    <row r="32" spans="2:11" x14ac:dyDescent="0.25">
      <c r="D32" s="4" t="s">
        <v>2894</v>
      </c>
      <c r="E32" s="4"/>
    </row>
    <row r="33" spans="4:5" x14ac:dyDescent="0.25">
      <c r="D33" s="4" t="s">
        <v>2898</v>
      </c>
      <c r="E33" s="4"/>
    </row>
    <row r="34" spans="4:5" x14ac:dyDescent="0.25">
      <c r="D34" s="4" t="s">
        <v>7133</v>
      </c>
      <c r="E34" s="4" t="s">
        <v>7134</v>
      </c>
    </row>
    <row r="35" spans="4:5" x14ac:dyDescent="0.25">
      <c r="D35" s="4" t="s">
        <v>2553</v>
      </c>
      <c r="E35" s="4" t="s">
        <v>6258</v>
      </c>
    </row>
    <row r="36" spans="4:5" x14ac:dyDescent="0.25">
      <c r="D36" s="4" t="s">
        <v>2911</v>
      </c>
      <c r="E36" s="4"/>
    </row>
    <row r="37" spans="4:5" x14ac:dyDescent="0.25">
      <c r="D37" s="4" t="s">
        <v>4985</v>
      </c>
      <c r="E37" s="4"/>
    </row>
    <row r="38" spans="4:5" x14ac:dyDescent="0.25">
      <c r="D38" s="4" t="s">
        <v>5044</v>
      </c>
      <c r="E38" s="4"/>
    </row>
    <row r="39" spans="4:5" x14ac:dyDescent="0.25">
      <c r="D39" s="4" t="s">
        <v>4291</v>
      </c>
      <c r="E39" s="4"/>
    </row>
    <row r="40" spans="4:5" x14ac:dyDescent="0.25">
      <c r="D40" s="4" t="s">
        <v>5145</v>
      </c>
      <c r="E40" s="4"/>
    </row>
    <row r="41" spans="4:5" x14ac:dyDescent="0.25">
      <c r="D41" s="4" t="s">
        <v>2888</v>
      </c>
      <c r="E41" s="4" t="s">
        <v>6259</v>
      </c>
    </row>
    <row r="42" spans="4:5" x14ac:dyDescent="0.25">
      <c r="D42" s="4" t="s">
        <v>4961</v>
      </c>
      <c r="E42" s="4" t="s">
        <v>6260</v>
      </c>
    </row>
    <row r="43" spans="4:5" x14ac:dyDescent="0.25">
      <c r="D43" s="4" t="s">
        <v>7263</v>
      </c>
      <c r="E43" t="s">
        <v>7267</v>
      </c>
    </row>
    <row r="44" spans="4:5" x14ac:dyDescent="0.25">
      <c r="D44" s="4" t="s">
        <v>6493</v>
      </c>
      <c r="E44" s="4" t="s">
        <v>6494</v>
      </c>
    </row>
    <row r="45" spans="4:5" x14ac:dyDescent="0.25">
      <c r="D45" s="4" t="s">
        <v>2895</v>
      </c>
      <c r="E45" s="4"/>
    </row>
    <row r="46" spans="4:5" x14ac:dyDescent="0.25">
      <c r="D46" s="4" t="s">
        <v>4047</v>
      </c>
      <c r="E46" s="4" t="s">
        <v>6345</v>
      </c>
    </row>
    <row r="47" spans="4:5" x14ac:dyDescent="0.25">
      <c r="D47" s="4" t="s">
        <v>6495</v>
      </c>
      <c r="E47" s="4" t="s">
        <v>6496</v>
      </c>
    </row>
    <row r="48" spans="4:5" x14ac:dyDescent="0.25">
      <c r="D48" s="4" t="s">
        <v>4515</v>
      </c>
      <c r="E48" s="4" t="s">
        <v>6595</v>
      </c>
    </row>
    <row r="49" spans="4:5" x14ac:dyDescent="0.25">
      <c r="D49" s="4" t="s">
        <v>4142</v>
      </c>
      <c r="E49" s="4" t="s">
        <v>6391</v>
      </c>
    </row>
    <row r="50" spans="4:5" x14ac:dyDescent="0.25">
      <c r="D50" s="4" t="s">
        <v>2891</v>
      </c>
      <c r="E50" s="4"/>
    </row>
    <row r="51" spans="4:5" x14ac:dyDescent="0.25">
      <c r="D51" s="4" t="s">
        <v>6238</v>
      </c>
      <c r="E51" s="4" t="s">
        <v>6261</v>
      </c>
    </row>
    <row r="52" spans="4:5" x14ac:dyDescent="0.25">
      <c r="D52" s="4" t="s">
        <v>6506</v>
      </c>
      <c r="E52" s="4" t="s">
        <v>6507</v>
      </c>
    </row>
    <row r="53" spans="4:5" x14ac:dyDescent="0.25">
      <c r="D53" s="4" t="s">
        <v>6683</v>
      </c>
    </row>
    <row r="54" spans="4:5" x14ac:dyDescent="0.25">
      <c r="D54" s="4" t="s">
        <v>5381</v>
      </c>
      <c r="E54" s="4" t="s">
        <v>6262</v>
      </c>
    </row>
    <row r="55" spans="4:5" x14ac:dyDescent="0.25">
      <c r="D55" s="4" t="s">
        <v>4967</v>
      </c>
      <c r="E55" s="4"/>
    </row>
    <row r="56" spans="4:5" x14ac:dyDescent="0.25">
      <c r="D56" s="4" t="s">
        <v>4292</v>
      </c>
      <c r="E56" s="4" t="s">
        <v>6263</v>
      </c>
    </row>
    <row r="57" spans="4:5" x14ac:dyDescent="0.25">
      <c r="D57" s="4" t="s">
        <v>4912</v>
      </c>
      <c r="E57" s="4"/>
    </row>
    <row r="58" spans="4:5" x14ac:dyDescent="0.25">
      <c r="D58" s="4" t="s">
        <v>2965</v>
      </c>
      <c r="E58" s="4"/>
    </row>
    <row r="59" spans="4:5" x14ac:dyDescent="0.25">
      <c r="D59" s="4" t="s">
        <v>6473</v>
      </c>
      <c r="E59" t="s">
        <v>6472</v>
      </c>
    </row>
    <row r="60" spans="4:5" x14ac:dyDescent="0.25">
      <c r="D60" s="4" t="s">
        <v>5026</v>
      </c>
      <c r="E60" s="4"/>
    </row>
    <row r="61" spans="4:5" x14ac:dyDescent="0.25">
      <c r="D61" s="4" t="s">
        <v>5655</v>
      </c>
      <c r="E61" s="4" t="s">
        <v>6264</v>
      </c>
    </row>
    <row r="62" spans="4:5" x14ac:dyDescent="0.25">
      <c r="D62" s="4" t="s">
        <v>6252</v>
      </c>
      <c r="E62" s="4" t="s">
        <v>6253</v>
      </c>
    </row>
    <row r="63" spans="4:5" x14ac:dyDescent="0.25">
      <c r="D63" s="4" t="s">
        <v>2885</v>
      </c>
      <c r="E63" s="4" t="s">
        <v>6388</v>
      </c>
    </row>
    <row r="64" spans="4:5" x14ac:dyDescent="0.25">
      <c r="D64" s="4" t="s">
        <v>6821</v>
      </c>
      <c r="E64" s="4" t="s">
        <v>6822</v>
      </c>
    </row>
    <row r="65" spans="4:5" x14ac:dyDescent="0.25">
      <c r="D65" s="4" t="s">
        <v>6630</v>
      </c>
      <c r="E65" s="4" t="s">
        <v>6631</v>
      </c>
    </row>
    <row r="66" spans="4:5" x14ac:dyDescent="0.25">
      <c r="D66" s="4" t="s">
        <v>7150</v>
      </c>
      <c r="E66" s="4" t="s">
        <v>7151</v>
      </c>
    </row>
    <row r="67" spans="4:5" x14ac:dyDescent="0.25">
      <c r="D67" s="4" t="s">
        <v>5759</v>
      </c>
      <c r="E67" s="4"/>
    </row>
    <row r="68" spans="4:5" x14ac:dyDescent="0.25">
      <c r="D68" s="4" t="s">
        <v>2889</v>
      </c>
      <c r="E68" s="4"/>
    </row>
    <row r="69" spans="4:5" x14ac:dyDescent="0.25">
      <c r="D69" s="4" t="s">
        <v>2892</v>
      </c>
      <c r="E69" s="4" t="s">
        <v>6265</v>
      </c>
    </row>
    <row r="70" spans="4:5" x14ac:dyDescent="0.25">
      <c r="D70" s="4" t="s">
        <v>6712</v>
      </c>
      <c r="E70" s="4" t="s">
        <v>6713</v>
      </c>
    </row>
    <row r="71" spans="4:5" x14ac:dyDescent="0.25">
      <c r="D71" s="4" t="s">
        <v>6377</v>
      </c>
      <c r="E71" s="4" t="s">
        <v>6378</v>
      </c>
    </row>
    <row r="72" spans="4:5" x14ac:dyDescent="0.25">
      <c r="D72" s="4" t="s">
        <v>2903</v>
      </c>
      <c r="E72" s="4"/>
    </row>
    <row r="73" spans="4:5" x14ac:dyDescent="0.25">
      <c r="D73" s="4" t="s">
        <v>4793</v>
      </c>
      <c r="E73" s="4" t="s">
        <v>6389</v>
      </c>
    </row>
    <row r="74" spans="4:5" x14ac:dyDescent="0.25">
      <c r="D74" s="4" t="s">
        <v>2902</v>
      </c>
      <c r="E74" s="4"/>
    </row>
    <row r="75" spans="4:5" x14ac:dyDescent="0.25">
      <c r="D75" s="4" t="s">
        <v>2897</v>
      </c>
      <c r="E75" s="4" t="s">
        <v>6390</v>
      </c>
    </row>
    <row r="76" spans="4:5" x14ac:dyDescent="0.25">
      <c r="D76" s="4" t="s">
        <v>5382</v>
      </c>
      <c r="E76" s="4" t="s">
        <v>6266</v>
      </c>
    </row>
    <row r="77" spans="4:5" x14ac:dyDescent="0.25">
      <c r="D77" s="4" t="s">
        <v>6239</v>
      </c>
      <c r="E77" s="4" t="s">
        <v>6240</v>
      </c>
    </row>
  </sheetData>
  <sortState ref="Q2:Q8">
    <sortCondition ref="Q2"/>
  </sortState>
  <phoneticPr fontId="0" type="noConversion"/>
  <dataValidations count="1">
    <dataValidation type="list" allowBlank="1" showInputMessage="1" showErrorMessage="1" sqref="B24:B26 B6:B13 B2 B18:B22">
      <formula1>$B$6:$B$30</formula1>
    </dataValidation>
  </dataValidations>
  <pageMargins left="0.75" right="0.75" top="1" bottom="1" header="0" footer="0"/>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3.2" x14ac:dyDescent="0.25"/>
  <sheetData/>
  <phoneticPr fontId="0" type="noConversion"/>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INVENTARIO</vt:lpstr>
      <vt:lpstr>TABLAS ACCESORIAS</vt:lpstr>
      <vt:lpstr>Hoja3</vt:lpstr>
      <vt:lpstr>TIPOLOGÍA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biologia</dc:creator>
  <cp:keywords/>
  <dc:description/>
  <cp:lastModifiedBy>José Luis R.-Campra Berbel</cp:lastModifiedBy>
  <cp:lastPrinted>2015-06-16T22:29:57Z</cp:lastPrinted>
  <dcterms:created xsi:type="dcterms:W3CDTF">2007-01-24T09:02:47Z</dcterms:created>
  <dcterms:modified xsi:type="dcterms:W3CDTF">2025-10-01T11:57:37Z</dcterms:modified>
  <cp:category/>
</cp:coreProperties>
</file>